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Master 0264" sheetId="1" r:id="rId4"/>
    <sheet state="visible" name="YES Rera 0377" sheetId="2" r:id="rId5"/>
    <sheet state="visible" name="YES IDW 0490" sheetId="3" r:id="rId6"/>
    <sheet state="visible" name="YES CR Free 2477" sheetId="4" r:id="rId7"/>
    <sheet state="visible" name="BOM 905" sheetId="5" r:id="rId8"/>
    <sheet state="visible" name="BOM 675" sheetId="6" r:id="rId9"/>
    <sheet state="visible" name="YES AH 2314" sheetId="7" r:id="rId10"/>
    <sheet state="visible" name="YES AH IDW 2457" sheetId="8" r:id="rId11"/>
    <sheet state="visible" name="Rera Pivot Table Q1" sheetId="9" r:id="rId12"/>
    <sheet state="visible" name="AMB Benefeciary" sheetId="10" r:id="rId13"/>
    <sheet state="visible" name="Sheet3" sheetId="11" r:id="rId14"/>
  </sheets>
  <definedNames>
    <definedName name="Master">#REF!</definedName>
    <definedName name="Sub_head">#REF!</definedName>
    <definedName name="NamedRange1">#REF!</definedName>
    <definedName hidden="1" localSheetId="0" name="_xlnm._FilterDatabase">'YES Master 0264'!$A$2:$AC$236</definedName>
    <definedName hidden="1" localSheetId="1" name="_xlnm._FilterDatabase">'YES Rera 0377'!$A$2:$AB$76</definedName>
    <definedName hidden="1" localSheetId="2" name="_xlnm._FilterDatabase">'YES IDW 0490'!$A$2:$AB$432</definedName>
    <definedName hidden="1" localSheetId="3" name="_xlnm._FilterDatabase">'YES CR Free 2477'!$A$2:$AC$114</definedName>
    <definedName hidden="1" localSheetId="4" name="_xlnm._FilterDatabase">'BOM 905'!$A$2:$W$68</definedName>
    <definedName hidden="1" localSheetId="5" name="_xlnm._FilterDatabase">'BOM 675'!$A$2:$W$66</definedName>
    <definedName hidden="1" localSheetId="6" name="_xlnm._FilterDatabase">'YES AH 2314'!$A$2:$W$86</definedName>
    <definedName hidden="1" localSheetId="7" name="_xlnm._FilterDatabase">'YES AH IDW 2457'!$A$2:$W$34</definedName>
    <definedName hidden="1" localSheetId="9" name="_xlnm._FilterDatabase">'AMB Benefeciary'!$A$1:$U$995</definedName>
    <definedName hidden="1" localSheetId="1" name="Z_349BE81A_EADF_4EC0_BA06_361C2A3477E7_.wvu.FilterData">'YES Rera 0377'!$A$2:$W$76</definedName>
    <definedName hidden="1" localSheetId="3" name="Z_349BE81A_EADF_4EC0_BA06_361C2A3477E7_.wvu.FilterData">'YES CR Free 2477'!$A$2:$W$115</definedName>
    <definedName hidden="1" localSheetId="7" name="Z_349BE81A_EADF_4EC0_BA06_361C2A3477E7_.wvu.FilterData">'YES AH IDW 2457'!$A$2:$W$34</definedName>
    <definedName hidden="1" localSheetId="0" name="Z_349BE81A_EADF_4EC0_BA06_361C2A3477E7_.wvu.FilterData">'YES Master 0264'!$A$2:$W$235</definedName>
    <definedName hidden="1" localSheetId="6" name="Z_349BE81A_EADF_4EC0_BA06_361C2A3477E7_.wvu.FilterData">'YES AH 2314'!$A$2:$W$86</definedName>
    <definedName hidden="1" localSheetId="2" name="Z_349BE81A_EADF_4EC0_BA06_361C2A3477E7_.wvu.FilterData">'YES IDW 0490'!$A$2:$W$432</definedName>
    <definedName hidden="1" localSheetId="6" name="Z_2BE9E0CC_5B1C_4E86_9694_AE3C5E5DB71B_.wvu.FilterData">'YES AH 2314'!$T$24</definedName>
    <definedName hidden="1" localSheetId="0" name="Z_70237D74_8771_48BE_995E_95BE0C94BD6E_.wvu.FilterData">'YES Master 0264'!$A$1:$W$236</definedName>
    <definedName hidden="1" localSheetId="5" name="Z_CC689192_7AC6_4299_926D_E270C56A13E2_.wvu.FilterData">'BOM 675'!$A$2:$W$66</definedName>
    <definedName hidden="1" localSheetId="0" name="Z_4B837E91_648A_448B_B5A2_FAD46C5782F5_.wvu.FilterData">'YES Master 0264'!$A$1:$W$235</definedName>
  </definedNames>
  <calcPr/>
  <customWorkbookViews>
    <customWorkbookView activeSheetId="0" maximized="1" windowHeight="0" windowWidth="0" guid="{349BE81A-EADF-4EC0-BA06-361C2A3477E7}" name="VJ"/>
    <customWorkbookView activeSheetId="0" maximized="1" windowHeight="0" windowWidth="0" guid="{2BE9E0CC-5B1C-4E86-9694-AE3C5E5DB71B}" name="A1"/>
    <customWorkbookView activeSheetId="0" maximized="1" windowHeight="0" windowWidth="0" guid="{70237D74-8771-48BE-995E-95BE0C94BD6E}" name="Anil"/>
    <customWorkbookView activeSheetId="0" maximized="1" windowHeight="0" windowWidth="0" guid="{CC689192-7AC6-4299-926D-E270C56A13E2}" name="Vikas"/>
    <customWorkbookView activeSheetId="0" maximized="1" windowHeight="0" windowWidth="0" guid="{4B837E91-648A-448B-B5A2-FAD46C5782F5}" name="Filter 1"/>
  </customWorkbookViews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</pivotCaches>
  <extLst>
    <ext uri="GoogleSheetsCustomDataVersion2">
      <go:sheetsCustomData xmlns:go="http://customooxmlschemas.google.com/" r:id="rId23" roundtripDataChecksum="dxO6hrD0s5f0ITMWuvUtuOoUwbdyt3TaphQ8hJAwu3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ID#AAACF2Cvv1I
tc={f3f81f76-c562-4bdb-a599-0b3d85ddd42a}    (2026-08-24 06:05:42)
[Threaded comment]
Your version of Excel allows you to read this threaded comment; however, any edits to it will get removed if the file is opened in a newer version of Excel. Learn more: https://go.microsoft.com/fwlink/?linkid=870924
Comment:
    -90 as per Books</t>
      </text>
    </comment>
  </commentList>
  <extLst>
    <ext uri="GoogleSheetsCustomDataVersion2">
      <go:sheetsCustomData xmlns:go="http://customooxmlschemas.google.com/" r:id="rId1" roundtripDataSignature="AMtx7mgZuvmgR/zAXpF6Yej+WqRM8Fdm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5">
      <text>
        <t xml:space="preserve">======
ID#AAACF2Cvv1E
tc={94bb7043-6680-4ec7-896c-a712a939588b}    (2026-08-24 06:05:42)
[Threaded comment]
Your version of Excel allows you to read this threaded comment; however, any edits to it will get removed if the file is opened in a newer version of Excel. Learn more: https://go.microsoft.com/fwlink/?linkid=870924
Comment:
    Unit Not Confirmed Yet</t>
      </text>
    </comment>
    <comment authorId="0" ref="I33">
      <text>
        <t xml:space="preserve">======
ID#AAACF2Cvv1A
tc={56505bc6-e64f-4f11-8dfb-8709fa87028b}    (2026-08-24 06:05:42)
[Threaded comment]
Your version of Excel allows you to read this threaded comment; however, any edits to it will get removed if the file is opened in a newer version of Excel. Learn more: https://go.microsoft.com/fwlink/?linkid=870924
Comment:
    Settlement Documents Pending</t>
      </text>
    </comment>
  </commentList>
  <extLst>
    <ext uri="GoogleSheetsCustomDataVersion2">
      <go:sheetsCustomData xmlns:go="http://customooxmlschemas.google.com/" r:id="rId1" roundtripDataSignature="AMtx7mgp4oehpHHbTz24tjxWP0nqzsmUVQ=="/>
    </ext>
  </extLst>
</comments>
</file>

<file path=xl/sharedStrings.xml><?xml version="1.0" encoding="utf-8"?>
<sst xmlns="http://schemas.openxmlformats.org/spreadsheetml/2006/main" count="10650" uniqueCount="2250">
  <si>
    <t xml:space="preserve"> </t>
  </si>
  <si>
    <t>XX0264</t>
  </si>
  <si>
    <t>Cust ID</t>
  </si>
  <si>
    <t>LAST UPDATE</t>
  </si>
  <si>
    <t>SL#</t>
  </si>
  <si>
    <t>QTR</t>
  </si>
  <si>
    <t>MONTH</t>
  </si>
  <si>
    <r>
      <rPr>
        <rFont val="Arial"/>
        <b/>
        <color theme="1"/>
        <sz val="10.0"/>
      </rPr>
      <t>TXN DATE</t>
    </r>
  </si>
  <si>
    <r>
      <rPr>
        <rFont val="Arial"/>
        <b/>
        <color theme="1"/>
        <sz val="10.0"/>
      </rPr>
      <t>VALUE DATE</t>
    </r>
  </si>
  <si>
    <t>TYPE</t>
  </si>
  <si>
    <r>
      <rPr>
        <rFont val="Arial"/>
        <b/>
        <color theme="1"/>
        <sz val="10.0"/>
      </rPr>
      <t>DESCRIPTION</t>
    </r>
  </si>
  <si>
    <r>
      <rPr>
        <rFont val="Arial"/>
        <b/>
        <color theme="1"/>
        <sz val="10.0"/>
      </rPr>
      <t>REFERENCE</t>
    </r>
  </si>
  <si>
    <r>
      <rPr>
        <rFont val="Arial"/>
        <b/>
        <color theme="1"/>
        <sz val="10.0"/>
      </rPr>
      <t>DEBITS</t>
    </r>
  </si>
  <si>
    <r>
      <rPr>
        <rFont val="Arial"/>
        <b/>
        <color theme="1"/>
        <sz val="10.0"/>
      </rPr>
      <t>CREDITS</t>
    </r>
  </si>
  <si>
    <r>
      <rPr>
        <rFont val="Arial"/>
        <b/>
        <color theme="1"/>
        <sz val="10.0"/>
      </rPr>
      <t>BALANCE</t>
    </r>
  </si>
  <si>
    <t>BUSINESS UNIT</t>
  </si>
  <si>
    <t>HEAD</t>
  </si>
  <si>
    <t>SUB HEAD</t>
  </si>
  <si>
    <t>RECO</t>
  </si>
  <si>
    <t>TYPE FOR RERA IDW</t>
  </si>
  <si>
    <t>TCP Head</t>
  </si>
  <si>
    <t>CONCERN</t>
  </si>
  <si>
    <t>CUST ID</t>
  </si>
  <si>
    <t>APT#</t>
  </si>
  <si>
    <t>ACC REMARKS</t>
  </si>
  <si>
    <t>CRM REMARKS</t>
  </si>
  <si>
    <t>NARRATION</t>
  </si>
  <si>
    <t xml:space="preserve">Tax Rate </t>
  </si>
  <si>
    <t>Bal as per AI</t>
  </si>
  <si>
    <t>Check</t>
  </si>
  <si>
    <t>Auth MB</t>
  </si>
  <si>
    <t>Auth MK</t>
  </si>
  <si>
    <t>Auth NM</t>
  </si>
  <si>
    <t>Exp to FV format</t>
  </si>
  <si>
    <t>YIB-NEFT-YESME62340010959-Credit Card-HDFC0000128-HDFC Card 4279-HDFC BANK</t>
  </si>
  <si>
    <t>YESME6234001095900</t>
  </si>
  <si>
    <t>17-Aug-2026</t>
  </si>
  <si>
    <t/>
  </si>
  <si>
    <t>20-Aug-2026</t>
  </si>
  <si>
    <t>YIB-TPT-DWARKADHIS PROJECTS PVT LT D-TRANSFERFROM0264TO0477ONACCONTOFC USTOMER-045563400002477</t>
  </si>
  <si>
    <t>YIB-TPT-DWARKADHIS PROJECTS PRIVATE LIMITED IN CIRP CR IDW-INTERNAL-045563200000490</t>
  </si>
  <si>
    <t>HO</t>
  </si>
  <si>
    <t>Credit Card</t>
  </si>
  <si>
    <t>HO - Admin</t>
  </si>
  <si>
    <t>Other- Administrative Expenses</t>
  </si>
  <si>
    <t>Casa Romana</t>
  </si>
  <si>
    <t>Credit Card Repayment 4279</t>
  </si>
  <si>
    <t>Internal</t>
  </si>
  <si>
    <t>Reco</t>
  </si>
  <si>
    <t>RERA 2 IDW</t>
  </si>
  <si>
    <t>Internal transfer</t>
  </si>
  <si>
    <t>Master to Free</t>
  </si>
  <si>
    <t>22-Aug-2026</t>
  </si>
  <si>
    <t>Internal Fund Transfer (From x0377 to x0490) | Ref: N/A | Type: RERA 2 IDW | BU: Casa Romana | Head: Internal</t>
  </si>
  <si>
    <t>YIB-NEFT-YESME62340021125-MKA DECORATOR-CBIN0283490-CONTRACTOR- CENTRAL BANK OF INDIA</t>
  </si>
  <si>
    <t>Contractor</t>
  </si>
  <si>
    <t>YIB-TPT-DWARKADHIS PROJECTS PRIVATE LIMITED IN CIRP-0455632 00000264</t>
  </si>
  <si>
    <t>Dev- Apt</t>
  </si>
  <si>
    <t>IDW Civil Works</t>
  </si>
  <si>
    <t>Payment Disbursement (Purpose: Casa Romana) | To: MKA DECORATOR | Ref: YESME62340021125 | BU: Casa Romana | Head: Contractor</t>
  </si>
  <si>
    <t>Entry</t>
  </si>
  <si>
    <t>Master 2 RERA</t>
  </si>
  <si>
    <t>Internal Fund Transfer (From x0264 to x0377) | Ref: 0455632 00000264 | Type: Master 2 RERA | BU: Casa Romana | Head: Internal</t>
  </si>
  <si>
    <t>14/08/2026</t>
  </si>
  <si>
    <t>YIB-NEFT-YESME62340022583-MONA POWER TRADING-CNRB0006638-Vendor-CANARA BANK</t>
  </si>
  <si>
    <t>YIB-TPT-DWARKADHIS PROJECTS PRIVATE LIMITED IN CIRP CR IDW-Internal-045563200000490</t>
  </si>
  <si>
    <t>YESME6226004497800</t>
  </si>
  <si>
    <t>Vendor</t>
  </si>
  <si>
    <t>Payment Disbursement (Purpose: Casa Romana) | To: MONA POWER TRADING | Ref: YESME62340022583 | BU: Casa Romana | Head: Contractor</t>
  </si>
  <si>
    <t>12-Aug-2026</t>
  </si>
  <si>
    <t>YIB-NEFT-YESME62340021127-RAM CHAND YADAV-CNRB0006479-SALARY- CANARA BANK</t>
  </si>
  <si>
    <t>Payment Disbursement (Purpose: Salary) | To: RAM CHAND YADAV | Ref: YESME62340021127 | BU: Casa Romana | Head: Salary Site</t>
  </si>
  <si>
    <t>10-Aug-2026</t>
  </si>
  <si>
    <t>YESME6234001095800</t>
  </si>
  <si>
    <t>Free &amp; IDW Loan</t>
  </si>
  <si>
    <t>N/A</t>
  </si>
  <si>
    <t>YIB-NEFT-YESME62340021126-CHOU DHARY ENTERPRISES-IDIB000D618-VEN DOR-INDIAN BANK</t>
  </si>
  <si>
    <t>06-Aug-2026</t>
  </si>
  <si>
    <t>RTGS Cr-AUBL0002011-Sulekh Jain-DWARKADHIS PROJECTS PVT L-AUBLR62026082227133147</t>
  </si>
  <si>
    <t>YES0R6234083472900</t>
  </si>
  <si>
    <t>Payment Disbursement (Purpose: Casa Romana) | To: CHOU DHARY ENTERPRISES | Ref: YESME62340021126 | BU: Casa Romana | Head: Vendor</t>
  </si>
  <si>
    <t>Loan</t>
  </si>
  <si>
    <t>Credit- no effect</t>
  </si>
  <si>
    <t>YIB-NEFT-YESME62340021124-RAVI VATS-UBIN0567370-IMPREST-UNION BANK OF INDIA</t>
  </si>
  <si>
    <t>YIB-TPT-DWARKADHIS PROJECTS PRIVATE LIMITED-TRANSFERFROM026 4TO0377ONACCONTOFCUSTOMER-04556320 0000377</t>
  </si>
  <si>
    <t>Imprest</t>
  </si>
  <si>
    <t>YESME6232005104500</t>
  </si>
  <si>
    <t>Payment Disbursement (Purpose: Casa Romana) | To: RAVI VATS | Ref: YESME62340021124 | BU: Casa Romana | Head: Imprest</t>
  </si>
  <si>
    <t>YIB-NEFT-YESME62340021121-NAVE EN YADAV-HDFC0001977-CONTRACTOR- HDFC BANK</t>
  </si>
  <si>
    <t>YIB-NEFT-YESME62320051046-Dwarkadhis Projects Pvt Ltd-MAHB0001461-For GST Payment-BANK OF MAHARASHTRA</t>
  </si>
  <si>
    <t>YESME6232005104600</t>
  </si>
  <si>
    <t>IMPS/SUNITA SUNITA/XXX8258/ RRN:622911882764/STATE BANK OF INDIA</t>
  </si>
  <si>
    <t>Payment Disbursement (Purpose: Casa Romana) | To: NAVE EN YADAV | Ref: YESME62340021121 | BU: Casa Romana | Head: Contractor</t>
  </si>
  <si>
    <t>GST Payment month of July 2026</t>
  </si>
  <si>
    <t>Collection</t>
  </si>
  <si>
    <t>Customer Collection</t>
  </si>
  <si>
    <t>YIB-NEFT-YESME62340021123-VAHI D-PUNB0116410-CONTRACTOR-PUNJAB NATIONAL BANK</t>
  </si>
  <si>
    <t>P-064</t>
  </si>
  <si>
    <t>Adjust</t>
  </si>
  <si>
    <t>YIB-NEFT-YESME62320045554-Rahul Singla-HDFC0000302-Salary-HDFC BANK</t>
  </si>
  <si>
    <t>YESME6232004555400</t>
  </si>
  <si>
    <t>Salary HO</t>
  </si>
  <si>
    <t>Payment Disbursement (Purpose: Casa Romana) | To: VAHI D | Ref: YESME62340021123 | BU: Casa Romana | Head: Contractor</t>
  </si>
  <si>
    <t>Salary</t>
  </si>
  <si>
    <t>IMPS/MRIGANKACHAKRABORTY/XXX7113/RRN:622810783912/AXIS BANK</t>
  </si>
  <si>
    <t>YBP6228654732943</t>
  </si>
  <si>
    <t>YIB-NEFT-YESME62340021122-SAHIL- HDFC0000168-SALARY-HDFC BANK</t>
  </si>
  <si>
    <t>YIB-NEFT-YESME62320045553-GAMUT INFOSYSTEMS LIMITED-IDIB000M567-Vendor-INDIAN BANK</t>
  </si>
  <si>
    <t>YESME6232004555300</t>
  </si>
  <si>
    <t>05-Aug-2026</t>
  </si>
  <si>
    <t>Salary Site</t>
  </si>
  <si>
    <t>P-071</t>
  </si>
  <si>
    <t>Software Expenses</t>
  </si>
  <si>
    <t>Payment Disbursement (Purpose: Salary) | To: Party | Ref: N/A | BU: Casa Romana | Head: Salary Site</t>
  </si>
  <si>
    <t>YIB-NEFT-YESME62340022581-RAKE SH KUMAR-SBIN0005699-SALARY-STAT E BANK OF INDIA</t>
  </si>
  <si>
    <t>YIB-NEFT-YESME62320047472-Sahil Yadav-BARB0PATAUD-Professional-BANK OF BARODA</t>
  </si>
  <si>
    <t>YESME6232004747200</t>
  </si>
  <si>
    <t>YIB-TPT-DWARKADHIS PROJECTS PVT LT D-INTERNAL-045563400002477</t>
  </si>
  <si>
    <t>Professional</t>
  </si>
  <si>
    <t>Professional Fee</t>
  </si>
  <si>
    <t>Payment Disbursement (Purpose: Salary) | To: RAKE SH KUMAR | Ref: YESME62340022581 | BU: Casa Romana | Head: Salary Site</t>
  </si>
  <si>
    <t>YIB-NEFT-YESME62340022580-MAN MATI YADAV-CNRB0006479-CONTRACTO R-CANARA BANK</t>
  </si>
  <si>
    <t>YIB-NEFT-YESME62320045550-Diksha Sharma-SBIN0050104-Salary-STATE BANK OF INDIA</t>
  </si>
  <si>
    <t>YESME6232004555000</t>
  </si>
  <si>
    <t>YIB-TPT-DWARKADHIS PROJECTS PRIVATE LIMITED-INTERNAL-0455632 00000377</t>
  </si>
  <si>
    <t>Payment Disbursement (Purpose: Casa Romana) | To: MAN MATI YADAV | Ref: YESME62340022580 | BU: Casa Romana | Head: Contractor</t>
  </si>
  <si>
    <t>04-Aug-2026</t>
  </si>
  <si>
    <t>YIB-TPT-DWARKADHIS PROJECTS PRIVATE LIMITED IN CIRP-045563200000264</t>
  </si>
  <si>
    <t>YESME6216001852500</t>
  </si>
  <si>
    <t>YIB-NEFT-YESME62340021120-NASI M-SBIN0014231-CONTRACTOR-STATE BANK OF INDIA</t>
  </si>
  <si>
    <t>YIB-NEFT-YESME62320047473-Arati Sharma-SBIN0050104-Salary-STATE BANK OF INDIA</t>
  </si>
  <si>
    <t>YESME6232004747300</t>
  </si>
  <si>
    <t>11-Aug-2026</t>
  </si>
  <si>
    <t>Payment Disbursement (Purpose: Casa Romana) | To: NASI M | Ref: YESME62340021120 | BU: Casa Romana | Head: Contractor</t>
  </si>
  <si>
    <t>01-Aug-2026</t>
  </si>
  <si>
    <t>YIB-TPT-DWARKADHIS PROJECTS PRIVATE LIMITED IN CIRP W-INTERNAL-045563200000490</t>
  </si>
  <si>
    <t>YESME6213006799900</t>
  </si>
  <si>
    <t>NEFT CR-HDFC0000240- AMIT JAIN-LEKH RAJ BAJAJ-HDFCH01188134343</t>
  </si>
  <si>
    <t>YES0N6223910853400</t>
  </si>
  <si>
    <t>YIB-NEFT-YESME62320047470-Nikhil Manocha and Co-SBIN0011600-Professional-STATE BANK OF INDIA</t>
  </si>
  <si>
    <t>YESME6232004747000</t>
  </si>
  <si>
    <t>YIB-TPT-DWARKADHIS PROJECTS PVT LTD IN CIRP CASA ROMANA FR-045563400002477</t>
  </si>
  <si>
    <t>M-105</t>
  </si>
  <si>
    <t xml:space="preserve">On Account </t>
  </si>
  <si>
    <t>YESME6213006852400</t>
  </si>
  <si>
    <t>YIB-NEFT-YESME62320047469-YOGESH SINGH-SBIN0007604-Salary-STATE BANK OF INDIA</t>
  </si>
  <si>
    <t>YESME6232004746900</t>
  </si>
  <si>
    <t>NEFT CR-KVBL0002101-RAHULENT ERPRISES-DWARKADHIS PROJECTS PRIVA-KVBLH00267884483</t>
  </si>
  <si>
    <t>YESME6211004335200</t>
  </si>
  <si>
    <t>U-013</t>
  </si>
  <si>
    <t>Q2</t>
  </si>
  <si>
    <t>YIB-NEFT-YESME62320045549-Mukesh Kumar Ray-MAHB0001461-Salary-BANK OF MAHARASHTRA</t>
  </si>
  <si>
    <t>YESME6232004554900</t>
  </si>
  <si>
    <t>YIB-NEFT-YESME62320055332-Ram Kishan-SBIN0005699-Contractor-STATE BANK OF INDIA</t>
  </si>
  <si>
    <t>YESME6232005533200</t>
  </si>
  <si>
    <t>YIB-TPT-DWARKADHIS PROJECTS PRIVATE LIMITED IN CIRP CR IDW-internal-045563200000490</t>
  </si>
  <si>
    <t>Construction Expenses</t>
  </si>
  <si>
    <t>YESME6205004965000</t>
  </si>
  <si>
    <t>RTGS Cr-UTIB0004193-ARAVALI MAINTENANCE SERVI-DWARKADHIS PROJECTS PVT L-UTIBR62026082002348983</t>
  </si>
  <si>
    <t>YES0R6232077926500</t>
  </si>
  <si>
    <t>YESME6204005383600</t>
  </si>
  <si>
    <t>YIB-NEFT-YESME62320053538-Ramabati Devi-PUNB0155300-Salary-PUNJAB NATIONAL BANK</t>
  </si>
  <si>
    <t>YESME6232005353800</t>
  </si>
  <si>
    <t>YESME6203005228700</t>
  </si>
  <si>
    <t>YIB-NEFT-YESME62260054990-Rahul Singla-HDFC0000302-Imprest-HDFC BANK</t>
  </si>
  <si>
    <t>YESME6226005499000</t>
  </si>
  <si>
    <t>YESME6203001321900</t>
  </si>
  <si>
    <t>NET-TPT-ASHISH SHUKLA-071691900001571</t>
  </si>
  <si>
    <t>YIB-NEFT-YESME62260054991-Mukesh Kumar Ray-MAHB0001461-Imprest-BANK OF MAHARASHTRA</t>
  </si>
  <si>
    <t>YESME6226005499100</t>
  </si>
  <si>
    <t>T-052</t>
  </si>
  <si>
    <t>YIB-NEFT-YESME62320053535-Santosh-PUNB0HGB001-Salary-PUNJAB NATIONAL BANK</t>
  </si>
  <si>
    <t>YESME6232005353500</t>
  </si>
  <si>
    <t>YESME6199005217500</t>
  </si>
  <si>
    <t>RTGS CR-HDFC0000240-VANDANA KHULLAR-DWARKADHIS PROJECTS PVTL-HDFCR52026080592593517</t>
  </si>
  <si>
    <t>YIB-NEFT-YESME62260056779-Mukesh Bajetha-FDRL0007777-Salary-FEDERAL BANK</t>
  </si>
  <si>
    <t>YESME6196004222000</t>
  </si>
  <si>
    <t>YESME6226005677900</t>
  </si>
  <si>
    <t>L-064</t>
  </si>
  <si>
    <t>YIB-NEFT-YESME62320055329-Ravi Vats-UBIN0567370-Salary-UNION BANK OF INDIA</t>
  </si>
  <si>
    <t>YESME6196003720000</t>
  </si>
  <si>
    <t>YESME6232005532900</t>
  </si>
  <si>
    <t>NEFT CR-HDFC0000001-CHETAN A HUJA-DWARKADHIS PROJECTS PRIVA-HDFCH01173383398</t>
  </si>
  <si>
    <t>YIB-NEFT-YESME62260023290-Guru Nanak Stationery-SBIN0016474-Vendor-STATE BANK OF INDIA</t>
  </si>
  <si>
    <t>YESME6226002329000</t>
  </si>
  <si>
    <t>U-062</t>
  </si>
  <si>
    <t>Purchase of Stationery</t>
  </si>
  <si>
    <t>YESME6194005637900</t>
  </si>
  <si>
    <t>YIB-NEFT-YESME62260021321-Dwarkadhis Projects Pvt Ltd-MAHB0001461-for EPF Payment-BANK OF MAHARASHTRAx9675</t>
  </si>
  <si>
    <t>YESME6226002132100</t>
  </si>
  <si>
    <t>EPF Payment</t>
  </si>
  <si>
    <t>YIB-NEFT-YESME62320053534-Maya Choudhary-SBIN0003508-Salary-STATE BANK OF INDIA</t>
  </si>
  <si>
    <t>YIB-TPT-DWARKADHIS PROJECTS PRIVATE LIMITED IN CIRP CR IDW-CRR To CRI-045563200000490</t>
  </si>
  <si>
    <t>YESME6232005353400</t>
  </si>
  <si>
    <t>YESME6194005184100</t>
  </si>
  <si>
    <t>YIB-NEFT-YESME62260023289-Dwarkadhis Projects Pvt Ltd-MAHB0001461-For ESI Payment-BANK OF MAHARASHTRAx9675</t>
  </si>
  <si>
    <t>YESME6226002328900</t>
  </si>
  <si>
    <t>ESI Payment</t>
  </si>
  <si>
    <t>YESME6192004439800</t>
  </si>
  <si>
    <t>NEFT Cr-MAHB0001461-DWARKADHIS PROJECTS PRIVA-Dwarkadhis Projects Pvt L-MAHBH00461866783x9675</t>
  </si>
  <si>
    <t>YES0N6226476645100</t>
  </si>
  <si>
    <t>YIB-NEFT-YESME62320053533-Amar jeet-SBIN0005699-Salary-STATE BANK OF INDIA</t>
  </si>
  <si>
    <t>YESME6232005353300</t>
  </si>
  <si>
    <t>YESME6192003472600</t>
  </si>
  <si>
    <t>NEFT CR-SBIN0003771-VIDYA DEVI -DWARKADHIS PROJECTS PVT L-SBIN526217498424</t>
  </si>
  <si>
    <t>L-043</t>
  </si>
  <si>
    <t>YESME6189005399200</t>
  </si>
  <si>
    <t>08-Aug-2026</t>
  </si>
  <si>
    <t>YIB-TPT-DWARKADHIS PROJECTS PVT LTD IN CIRP ARAVALI HEIGHTS IDW-INTERNAL-045563400002457</t>
  </si>
  <si>
    <t>YIB-NEFT-YESME62320055327-Rahul Kumar-PUNB0357200-Salary-PUNJAB NATIONAL BANK</t>
  </si>
  <si>
    <t>YESME6232005532700</t>
  </si>
  <si>
    <t>Aravali Heights</t>
  </si>
  <si>
    <t>YESME6187006949800</t>
  </si>
  <si>
    <t>AH - CR</t>
  </si>
  <si>
    <t>YESME6185005631800</t>
  </si>
  <si>
    <t>YIB-NEFT-YESME62180056615-DWAR KADHIS PROJECTS PVT LTD-MAHB00014 61-FOR TDS PAY-BANK OF MAHARAS HTRAx9675</t>
  </si>
  <si>
    <t>TDS Payment</t>
  </si>
  <si>
    <t>YIB-NEFT-YESME62320053529-Jyoti-IDIB000D618-Salary-INDIAN BANK</t>
  </si>
  <si>
    <t>YESME6232005352900</t>
  </si>
  <si>
    <t>YIB-TPT-DWARKADHIS PROJECTS PRIVATE LIMITED IN CIRP CR IDW-tfr I-045563200000490</t>
  </si>
  <si>
    <t>YESME6185005089000</t>
  </si>
  <si>
    <t>NEFT CR-ICIC0SF0002-POONAM K AUR-DWARKADHIS PROJECTS PRIVA-IN12621649590896</t>
  </si>
  <si>
    <t>U-092</t>
  </si>
  <si>
    <t xml:space="preserve">Adjust 31,245 On Account 68,755 </t>
  </si>
  <si>
    <t>NEFT CR-MAHB0001461-DWARKA DHIS PROJECTS PRIVA-DWARKADHI S PROJECTS PVT L-MAHBH00660921711x9675</t>
  </si>
  <si>
    <t>YIB-TPT-DWARKADHIS PROJECTS PRIVATE LIMITED IN CIRP CR IDW-tfr-045563200000490</t>
  </si>
  <si>
    <t>YESME6184006769500</t>
  </si>
  <si>
    <t>ok</t>
  </si>
  <si>
    <t>YIB-NEFT-YESME62320053531-Sanjay Kumar-UBIN0567370-Salary-UNION BANK OF INDIA</t>
  </si>
  <si>
    <t>YESME6232005353100</t>
  </si>
  <si>
    <t>IMPS/REUBEN MUKHERJEE U/G S OUMEN MUKHERJEE/XXX9384/RRN:621655423714/HDFC BANK</t>
  </si>
  <si>
    <t>T-103</t>
  </si>
  <si>
    <t>Adjust 117,160 
On Account 53660
As on</t>
  </si>
  <si>
    <t>YIB-NEFT-YESME62170063440-SHIVA M SINGHAL-SBIN0013420-PROFESSIONAL- STATE BANK OF INDIA</t>
  </si>
  <si>
    <t>YESME6184006155200</t>
  </si>
  <si>
    <t>Professional Fee For Valuation of Property</t>
  </si>
  <si>
    <t>NEFT CR-ICIC0SF0002- SANJAY YADAV-DWAR KADHIS PROJECTS IVA-IN12621649540991</t>
  </si>
  <si>
    <t>YES0N6216966268000</t>
  </si>
  <si>
    <t>YIB-NEFT-YESME62320053530-Ram Sharan-BKID0007415-Salary-BANK OF INDIA</t>
  </si>
  <si>
    <t>YESME6232005353000</t>
  </si>
  <si>
    <t>P-054</t>
  </si>
  <si>
    <t>YESME6184004910700</t>
  </si>
  <si>
    <t>IMPS/AMITKUMAR/X XX3986/RRN:62161 4493753/AXIS BANK</t>
  </si>
  <si>
    <t>YBP6216640374289</t>
  </si>
  <si>
    <t>R-064</t>
  </si>
  <si>
    <t>YIB-NEFT-YESME62170041087-INDIA PRIDE COM-CNRB0001565-VENDOR- CANARA BANK</t>
  </si>
  <si>
    <t>YIB-NEFT-YESME62320055326-Vishwajeet-UBIN0567370-Salary-UNION BANK OF INDIA</t>
  </si>
  <si>
    <t>YESME6232005532600</t>
  </si>
  <si>
    <t>Software and Website Charges</t>
  </si>
  <si>
    <t>NEFT CR-HDFC000000 1-LT JITENDRA KUMAR AGARWAL-DWARKA DHIS PROJECTS PRIV A-HDFCH01168958353</t>
  </si>
  <si>
    <t>YESME6183012155700</t>
  </si>
  <si>
    <t>YES0N6216953371600</t>
  </si>
  <si>
    <t>T-101</t>
  </si>
  <si>
    <t>YIB-TPT-DWARKADHIS PROJECTS PVT LTD-INTERN AL-045563400002477</t>
  </si>
  <si>
    <t>YESME6216001852600</t>
  </si>
  <si>
    <t>YIB-NEFT-YESME62320053527-Sandeep Kumar-UBIN0567370-Salary-UNION BANK OF INDIA</t>
  </si>
  <si>
    <t>YESME6232005352700</t>
  </si>
  <si>
    <t xml:space="preserve">YESME6173005598700                      </t>
  </si>
  <si>
    <t>YIB-TPT-DWARKADHIS OJECTS PRIVATE LIMITED -INTERNAL-045563200000377</t>
  </si>
  <si>
    <t xml:space="preserve">YESME6173005625500                      </t>
  </si>
  <si>
    <t>YIB-NEFT-YESME62320055325-Mohan Singh-BARB0INDBHI-Salary-BANK OF BARODA</t>
  </si>
  <si>
    <t>YESME6232005532500</t>
  </si>
  <si>
    <t>IMPS/ANJANJEET SINGH HAL/XXX5487/RRN:6216097 90512/ICICI BANK LIMITED</t>
  </si>
  <si>
    <t>YBP6216639920533</t>
  </si>
  <si>
    <t xml:space="preserve">YESME6171004625500                      </t>
  </si>
  <si>
    <t>N-104</t>
  </si>
  <si>
    <t>YIB-NEFT-YESME62320055324-VISHAL KUMAR-SBIN0050145-Salary-STATE BANK OF INDIA</t>
  </si>
  <si>
    <t>YESME6232005532400</t>
  </si>
  <si>
    <t>03-Aug-2026</t>
  </si>
  <si>
    <t xml:space="preserve">YESME6170005567100                      </t>
  </si>
  <si>
    <t>NEFT CR-HDFC000000 1-ARUNABH SINGH-D A-HDFCH01166052298</t>
  </si>
  <si>
    <t>YES0N6215790227400</t>
  </si>
  <si>
    <t>M-118</t>
  </si>
  <si>
    <t>YESME6213006789000</t>
  </si>
  <si>
    <t>YIB-TPT-DWARKADHIS PROJECTS PRIVATE LIMITED IN CIRP CR IDW-tfr i-045563200000490</t>
  </si>
  <si>
    <t>YESME6163001000500</t>
  </si>
  <si>
    <t>YIB-NEFT-YESME62320053525-Satish-PUNB0357200-Salary-PUNJAB NATIONAL BANK</t>
  </si>
  <si>
    <t>YESME6232005352500</t>
  </si>
  <si>
    <t>DWARKADHIS PROJECTS PRIV NEFT CR-HDFC000000 1-ARUNABH SINGH-D WARKADHIS PROJECTS PRIV A-HDFCH01166050774</t>
  </si>
  <si>
    <t>YES0N6215789866800</t>
  </si>
  <si>
    <t>YESME6211004463500</t>
  </si>
  <si>
    <t>YESME6163000858600</t>
  </si>
  <si>
    <t>02-Aug-2026</t>
  </si>
  <si>
    <t>IMPS/MRS BHAVNA MAHIPAL/XX X6701/RRN:621411185223/ CANADA: 18334910559</t>
  </si>
  <si>
    <t>YBP6214637582965</t>
  </si>
  <si>
    <t>YESME6162005659400</t>
  </si>
  <si>
    <t>YIB-NEFT-YESME62040058115-Credit Card-HDFC0000128-imprest-HDFC BANK</t>
  </si>
  <si>
    <t>YESME6204005811500</t>
  </si>
  <si>
    <t>R-052</t>
  </si>
  <si>
    <t>YIB-NEFT-YESME62320053524-Devender Kumar-HDFC0003848-Salary-HDFC BANK</t>
  </si>
  <si>
    <t>Credit Card Repayment x4279</t>
  </si>
  <si>
    <t>YESME6232005352400</t>
  </si>
  <si>
    <t>NEFT CR-HDFC0000001-VIJAY AV-DWARKADHIS PROJECTS PVT H01164625739</t>
  </si>
  <si>
    <t>YES0N6214629693100</t>
  </si>
  <si>
    <t>YESME6160001433800</t>
  </si>
  <si>
    <t>YESME6204005383700</t>
  </si>
  <si>
    <t>P-022</t>
  </si>
  <si>
    <t>YIB-TPT-DWARKADHIS PROJECTS D-INTERNAL-045563400002477</t>
  </si>
  <si>
    <t>YIB-NEFT-YESME62030052832-Dwarkadhis Projects Pvt Ltd-MAHB0001461-for tds-BANK OF MAHARASHTRA9675</t>
  </si>
  <si>
    <t>YESME6203005283200</t>
  </si>
  <si>
    <t>YIB-TPT-DWARKADHIS PROJECTS PRIVATE LIMITED IN CIRP CR IDW-DPL I-045563200000490</t>
  </si>
  <si>
    <t>YESME6157003910800</t>
  </si>
  <si>
    <t>IMPS/NA/XXXX1842/RRN:623289456366/PC4533815183110463/PUNJAB NATIONAL/Pooja/POOJA Salary</t>
  </si>
  <si>
    <t>YESI66232008082900</t>
  </si>
  <si>
    <t>YESME6203005190700</t>
  </si>
  <si>
    <t>NET-TPT-DWARKADHIS PROJECTS PRIVATE LIMITED IN CIRP-045563200000264</t>
  </si>
  <si>
    <t>NETPC3811250197852789</t>
  </si>
  <si>
    <t>YIB-TPT-DWARKADHIS PROJECTS PVT LTD IN CIRP ARAVALI HEIGHTS-internal-045563400002314</t>
  </si>
  <si>
    <t>YESME6202002016600</t>
  </si>
  <si>
    <t>NEFT CR-UTIB0000057-ANKIT AR-DWARKADHIS PROJECTS A-AXOMB21302010445</t>
  </si>
  <si>
    <t>YES0N6213471971500</t>
  </si>
  <si>
    <t>R-123</t>
  </si>
  <si>
    <t>YIB-TPT-DWARKADHIS PROJECTS PRIVATE LIMITED IN CIRP CR IDW-045563200000490</t>
  </si>
  <si>
    <t>YESME6201006466000</t>
  </si>
  <si>
    <t>YIB-NEFT-YESME62320053523-Sher Singh-IOBA0002166-Contractor-INDIAN OVERSEAS BANK</t>
  </si>
  <si>
    <t>YESME6156006847900</t>
  </si>
  <si>
    <t>YESME6232005352300</t>
  </si>
  <si>
    <t>YIB-TPT-Dwarkadhis Projects Pvt Ltd-internal-045563400002477</t>
  </si>
  <si>
    <t>YIB-NEFT-YESME62010049480-Dwarkadhis Projects Pvt Ltd-MAHB0001461-for gst payment-BANK OF MAHARASHTRA9675</t>
  </si>
  <si>
    <t>YESME6201004948000</t>
  </si>
  <si>
    <t>YESME6155005150500</t>
  </si>
  <si>
    <t>YESME6199005117700</t>
  </si>
  <si>
    <t>YIB-TPT-DWARKADHIS PROJECTS PRIVATE LIMITED-internal-045563200000377</t>
  </si>
  <si>
    <t>YIB-NEFT-YESME61990049787-Rahul Singla-HDFC0000302-Salary-HDFC BANK</t>
  </si>
  <si>
    <t>YESME6199004978700</t>
  </si>
  <si>
    <t>YESME6153004400900</t>
  </si>
  <si>
    <t>POS GST</t>
  </si>
  <si>
    <t>SCREF01284574169</t>
  </si>
  <si>
    <t>Bank Charges</t>
  </si>
  <si>
    <t>Other- Others</t>
  </si>
  <si>
    <t>GST On Bank Charges</t>
  </si>
  <si>
    <t>YIB-NEFT-YESME61990049788-YOGESH SINGH-SBIN0007604-Salary-STATE BANK OF INDIA</t>
  </si>
  <si>
    <t>YESME6199004978800</t>
  </si>
  <si>
    <t>YESME6150004220900</t>
  </si>
  <si>
    <t>M_Jun26_SBOX_pay.ypbsm000006435_37002065</t>
  </si>
  <si>
    <t>Bank Charges Debited</t>
  </si>
  <si>
    <t>YIB-NEFT-YESME61990050829-Mukesh Kumar Ray-MAHB0001461-Salary-BANK OF MAHARASHTRA</t>
  </si>
  <si>
    <t>YESME6199005082900</t>
  </si>
  <si>
    <t>CHQ DEP HDB 29-JUL-26 SOHNA ROAD</t>
  </si>
  <si>
    <t>YESME6149006118900</t>
  </si>
  <si>
    <t>YIB-NEFT-YESME61990050830-Nikhil Manocha and Co-SBIN0011600-Professional-STATE BANK OF INDIA</t>
  </si>
  <si>
    <t>R-063</t>
  </si>
  <si>
    <t>YESME6199005083000</t>
  </si>
  <si>
    <t>Mr. AMARJEET SINGH DAYMA</t>
  </si>
  <si>
    <t>YIB-TPT-Dwarkadhis Projects Pvt Ltd-Internal-045563400002477</t>
  </si>
  <si>
    <t>YESME6147006265700</t>
  </si>
  <si>
    <t>YIB-NEFT-YESME61990049786-Arati Sharma-SBIN0050104-Salary-STATE BANK OF INDIA</t>
  </si>
  <si>
    <t>YESME6199004978600</t>
  </si>
  <si>
    <t>YIB-NEFT-YESME62320053521-Lakshmi-PUNB0130400-Salary-PUNJAB NATIONAL BANK</t>
  </si>
  <si>
    <t>YESME6232005352100</t>
  </si>
  <si>
    <t>YIB-TPT-DWARKADHIS PROJECTS PRIVATE LIMITED-Internal-045563200000377</t>
  </si>
  <si>
    <t>YIB-NEFT-YESME61990050828-Mukesh Bajetha-FDRL0007777-Salary-FEDERAL BANK</t>
  </si>
  <si>
    <t>YESME6199005082800</t>
  </si>
  <si>
    <t>CASH DEP-SELF-DWARKADHIS PROJECTS PRIVATE LIMITED IN C-SHAMSHABAD</t>
  </si>
  <si>
    <t>YIB-NEFT-YESME62320055323-Ajay-NSPB0000002-Salary-NSDL PAYMENTS BANK LIMITED</t>
  </si>
  <si>
    <t>10004875420260723006900000009</t>
  </si>
  <si>
    <t>YESME6232005532300</t>
  </si>
  <si>
    <t>Ms. KAMAL JEET AGARWAL</t>
  </si>
  <si>
    <t xml:space="preserve">Adjust </t>
  </si>
  <si>
    <t>YIB-NEFT-YESME61990050825-Ashish Gaur-SBIN0007052-Salary-STATE BANK OF INDIA</t>
  </si>
  <si>
    <t>YESME6199005082500</t>
  </si>
  <si>
    <t>YESME6143002884300</t>
  </si>
  <si>
    <t>IMPS/NA/XXXX0091/RRN:623289456349/PC45337666004329/FINO PAYMENTS B/Bharat Singh/Bharat Singh Salary</t>
  </si>
  <si>
    <t>YESI66232008082700</t>
  </si>
  <si>
    <t>YESME6136003636800</t>
  </si>
  <si>
    <t>YIB-NEFT-YESME61990050826-Diksha Sharma-SBIN0050104-Salary-STATE BANK OF INDIA</t>
  </si>
  <si>
    <t>YESME6199005082600</t>
  </si>
  <si>
    <t>YIB-NEFT-YESME62320053520-Balram Mishara-SBIN0015698-Salary-STATE BANK OF INDIA</t>
  </si>
  <si>
    <t>YESME6232005352000</t>
  </si>
  <si>
    <t>NEFT Cr-ICIC0SF0002-HARI KISHAN-DWARKADHIS PROJECTS PRIVA-IN12620247274271</t>
  </si>
  <si>
    <t>YES0N6202072677900</t>
  </si>
  <si>
    <t>YESME6135005445900</t>
  </si>
  <si>
    <t>YIB-NEFT-YESME61990050823-Babu Ram Thapa-PUNB0123710-salary-PUNJAB NATIONAL BANK</t>
  </si>
  <si>
    <t>YESME6199005082300</t>
  </si>
  <si>
    <t>N-054</t>
  </si>
  <si>
    <t>NEFT Cr-KKBK0000958-PRAVEEN KUMAR PAUR-DWARKADHIS PROJECTS PRIVA-KKBKH26202867090</t>
  </si>
  <si>
    <t>YES0N6202046781100</t>
  </si>
  <si>
    <t>YIB-TPT-DWARKADHIS PROJECTS PRIVATE LIMITED IN CIRP CR IDW-Tfr-045563200000490</t>
  </si>
  <si>
    <t>M-087</t>
  </si>
  <si>
    <t>YESME6132007609700</t>
  </si>
  <si>
    <t>YIB-NEFT-YESME62320055322-Babu Ram Thapa-PUNB0123710-Salary-PUNJAB NATIONAL BANK</t>
  </si>
  <si>
    <t>YESME6232005532200</t>
  </si>
  <si>
    <t>YIB-NEFT-YESME61990050824-Sahil Yadav-BARB0PATAUD-Professional-BANK OF BARODA</t>
  </si>
  <si>
    <t>YESME6199005082400</t>
  </si>
  <si>
    <t>YESME6131008786800</t>
  </si>
  <si>
    <t>YESME6199004914800</t>
  </si>
  <si>
    <t>NEFT Cr-ICIC0SF0002-POONAM KAUR-DWARKADHIS PROJECTS PRIVA-IN12619746786146</t>
  </si>
  <si>
    <t>YES0N6197493849800</t>
  </si>
  <si>
    <t>NEFT Cr-MAHB0001461-DWARKADHIS PROJECTS PRIVA-Dwarkadhis Projects Pvt L-MAHBH005589213069675</t>
  </si>
  <si>
    <t>YES0N6196357705900</t>
  </si>
  <si>
    <t>YESME6129003685800</t>
  </si>
  <si>
    <t xml:space="preserve">adjust </t>
  </si>
  <si>
    <t>YIB-TPT-DWARKADHIS PROJECTS PRIVATE LIMITED IN CIRP CR-045563200000377</t>
  </si>
  <si>
    <t>YESME6232004587000</t>
  </si>
  <si>
    <t>YESME6196003934400</t>
  </si>
  <si>
    <t>YESME6129003685400</t>
  </si>
  <si>
    <t>YIB-NEFT-YESME62260054892-Mukesh Kumar-KVBL0004201-Contractor-KARUR VYSYA BANK</t>
  </si>
  <si>
    <t>YESME6226005489200</t>
  </si>
  <si>
    <t>IMPS/SUNITA SUNITA/XXX8258/RRN:619612512425/STATE BANK OF INDIA</t>
  </si>
  <si>
    <t>YIB-NEFT-YESME61940062186-Dwarkadhis Projects Pvt Ltd-MAHB0001461-epf esi payment-BANK OF MAHARASHTRA9675</t>
  </si>
  <si>
    <t>YBP6196616883455</t>
  </si>
  <si>
    <t>YESME6194006218600</t>
  </si>
  <si>
    <t>YESME6127006561800</t>
  </si>
  <si>
    <t>YIB-NEFT-YESME62260056670-Durpati-CNRB0006479-Contractor-CANARA BANK</t>
  </si>
  <si>
    <t>YESME6226005667000</t>
  </si>
  <si>
    <t>NEFT Cr-ICIC0SF0002-NEELKANT GUMMALLA-DWARKADHIS PROJECTS PRIVA-IN12619646598201</t>
  </si>
  <si>
    <t>YES0N6196325504800</t>
  </si>
  <si>
    <t>YESME6194005638000</t>
  </si>
  <si>
    <t>U-102</t>
  </si>
  <si>
    <t>on account</t>
  </si>
  <si>
    <t>YIB-NEFT-YESME62260054890-Manmati Yadav-CNRB0006479-Contractor-CANARA BANK</t>
  </si>
  <si>
    <t>YESME6226005489000</t>
  </si>
  <si>
    <t>YIB-TPT-Dwarkadhis Projects Pvt Ltd-CRM To CRF-045563400002477</t>
  </si>
  <si>
    <t>YESME6127003957500</t>
  </si>
  <si>
    <t>YESME6192004439900</t>
  </si>
  <si>
    <t>YIB-TPT-DWARKADHIS PROJECTS PRIVATE LIMITED-CRM to CRR-045563200000377</t>
  </si>
  <si>
    <t>YIB-NEFT-YESME62260054889-Nasim-SBIN0014231-Contractor-STATE BANK OF INDIA</t>
  </si>
  <si>
    <t>YESME6226005488900</t>
  </si>
  <si>
    <t>YESME6126005382800</t>
  </si>
  <si>
    <t>IMPS/MRIGANKACHAKRABORTY/XXX7113/RRN:619321078962/AXIS BANK</t>
  </si>
  <si>
    <t>YIB-NEFT-YESME61890064769-Lekh Raj Bajaj-UBIN0932329-Professional-UNION BANK OF INDIA</t>
  </si>
  <si>
    <t>YBP6193613167067</t>
  </si>
  <si>
    <t>YESME6189006476900</t>
  </si>
  <si>
    <t>YIB-NEFT-YESME62260056669-Lalan Yadav-FDRL0002158-Contractor-FEDERAL BANK</t>
  </si>
  <si>
    <t>YESME6226005666900</t>
  </si>
  <si>
    <t>Professional Fees</t>
  </si>
  <si>
    <t>YESME6125006751600</t>
  </si>
  <si>
    <t>YESME6189005399100</t>
  </si>
  <si>
    <t>YIB-NEFT-YESME62260056661-Ravi Vats-UBIN0567370-Imprest-UNION BANK OF INDIA</t>
  </si>
  <si>
    <t>YESME6226005666100</t>
  </si>
  <si>
    <t>Imprest For Site Expenses</t>
  </si>
  <si>
    <t>YESME6124007732000</t>
  </si>
  <si>
    <t>YIB-NEFT-YESME61890035694-Sumesh Dhawan-ICIC0000332-Professional-ICICI BANK LIMITED</t>
  </si>
  <si>
    <t>YESME6189003569400</t>
  </si>
  <si>
    <t>CHQ DEP CBI 10-JUL-26 SAKET</t>
  </si>
  <si>
    <t>YIB-NEFT-YESME62260056659-MKA Decorator-CBIN0283490-Contractor-CENTRAL BANK OF INDIA</t>
  </si>
  <si>
    <t>YESME6226005665900</t>
  </si>
  <si>
    <t>M-072</t>
  </si>
  <si>
    <t>JOGINDER PAUL SUD</t>
  </si>
  <si>
    <t>as on 21-July
adjust</t>
  </si>
  <si>
    <t>YESME6124007568200</t>
  </si>
  <si>
    <t>IMPS/ABHIJEET ./XXX1052/RRN:619113959999/</t>
  </si>
  <si>
    <t>YBP6191609955191</t>
  </si>
  <si>
    <t>YESME6187006949700</t>
  </si>
  <si>
    <t>YIB-NEFT-YESME62260056664-Ram Chand Yadav-CNRB0006479-Contractor-CANARA BANK</t>
  </si>
  <si>
    <t>YESME6226005666400</t>
  </si>
  <si>
    <t>N-124</t>
  </si>
  <si>
    <t>adjust</t>
  </si>
  <si>
    <t>YESME6124003686900</t>
  </si>
  <si>
    <t>YIB-TPT-Dwarkadhis Projects Pvt Ltd-tfr F-045563400002477</t>
  </si>
  <si>
    <t>YIB-NEFT-YESME62260056663-Sahun-BARB0TIJARA-Contractor-BANK OF BARODA</t>
  </si>
  <si>
    <t>YESME6226005666300</t>
  </si>
  <si>
    <t>YIB-NEFT-YESME61870055022-Dwarkadhis Projects Pvt Ltd-MAHB0001461-for tds-BANK OF MAHARASHTRABOM9675</t>
  </si>
  <si>
    <t>YESME6187005502200</t>
  </si>
  <si>
    <t>YESME6122005804600</t>
  </si>
  <si>
    <t>YIB-TPT-DWARKADHIS PROJECTS PRIVATE LIMITED-tfr r-045563200000377</t>
  </si>
  <si>
    <t>IMPS/NA/XXXX0441/RRN:618748611007/PC4070866130330234/UNION BANK OF I/Naresh K Jain and Co/Certificate</t>
  </si>
  <si>
    <t>YESI66187006037100</t>
  </si>
  <si>
    <t>UPI/169410392263/From:9811295007@ybl/To:045563200000264@YESB0000455.ifsc.npci/Payment from PhonePe</t>
  </si>
  <si>
    <t>YBS6188921330701</t>
  </si>
  <si>
    <t>YESME6121002471700</t>
  </si>
  <si>
    <t>U-072</t>
  </si>
  <si>
    <t>Mr. VIJAY SHARMA</t>
  </si>
  <si>
    <t>YIB-NEFT-YESME62260022720-DWARKADHIS PROJECTS PVT LTD-MAHB0001461-transferfrom490to675onaccountofepfpaymen-BANK OF MAHARx9675</t>
  </si>
  <si>
    <t>YESME6226002272000</t>
  </si>
  <si>
    <t>YESME6185005485200</t>
  </si>
  <si>
    <t>UPI/310650751520/From:9799400249-2@axl/To:045563200000264@YESB0000455.ifsc.npci/Payment from PhonePe</t>
  </si>
  <si>
    <t>YBS6188920633298</t>
  </si>
  <si>
    <t>N-041</t>
  </si>
  <si>
    <t>Ms. SUMAN</t>
  </si>
  <si>
    <t>YESME6120006890400</t>
  </si>
  <si>
    <t>YIB-NEFT-YESME62260022719-DWARKADHIS PROJECTS PVT LTD-MAHB0001461-transferfrom490to675onaccountofesipaymen-BANK OF MAHARx9675</t>
  </si>
  <si>
    <t>YESME6184006254900</t>
  </si>
  <si>
    <t>YESME6226002271900</t>
  </si>
  <si>
    <t>NEFT Cr-IDFB0021001-Mrs. ANSHU SHARMA-DWARKADHIS PROJECTS PRIVA-IDFB6187M8433490</t>
  </si>
  <si>
    <t>YES0N6187270443400</t>
  </si>
  <si>
    <t>S-064</t>
  </si>
  <si>
    <t>YESME6184004910600</t>
  </si>
  <si>
    <t>YESME6120006789500</t>
  </si>
  <si>
    <t>YIB-NEFT-YESME62260022718-Durpati-CNRB0006479-Contractor-CANARA BANK</t>
  </si>
  <si>
    <t>YESME6226002271800</t>
  </si>
  <si>
    <t>NEFT Cr-ICIC0SF0002-ROHITAS KUMAR-DWARKADHIS PROJECTS PRIVA-IN12618745392512</t>
  </si>
  <si>
    <t>YES0N6187256961500</t>
  </si>
  <si>
    <t>YESME6183012280200</t>
  </si>
  <si>
    <t>L-113</t>
  </si>
  <si>
    <t xml:space="preserve">on Account </t>
  </si>
  <si>
    <t>YESME6182006049800</t>
  </si>
  <si>
    <t>YESME6118003633400</t>
  </si>
  <si>
    <t>YIB-TPT-DWARKADHIS PROJECTS PRIVATE LIMITED-tfr R-045563200000377</t>
  </si>
  <si>
    <t>YIB-NEFT-YESME62220060227-RAM CHAND YADAV-CNRB0006479-CONTRAC TOR-CANARA BANK</t>
  </si>
  <si>
    <t>YESME6182005971800</t>
  </si>
  <si>
    <t>YIB-TPT-Dwarkadhis Projects Pvt Ltd-tfr f-045563400002477</t>
  </si>
  <si>
    <t>YESME6117007191200</t>
  </si>
  <si>
    <t>YESME6178007612800</t>
  </si>
  <si>
    <t>YIB-NEFT-YESME62220059858-AWES OME PAINT PLANNERS PVT LTD-ICIC0003 254-VENDOR-ICICI BANK LIMITED</t>
  </si>
  <si>
    <t>IMPS/AMITKUMAR/XXX3986/RRN:618712584961/AXIS BANK</t>
  </si>
  <si>
    <t>YBP6187604198173</t>
  </si>
  <si>
    <t>YIB-TPT-DWARKADHIS PROJECTS PRIVATE LIMITED IN CIRP CR IDW-intr-045563200000490</t>
  </si>
  <si>
    <t>YESME6112005561500</t>
  </si>
  <si>
    <t>Purchase of Material for Construction</t>
  </si>
  <si>
    <t>YESME6174004653700</t>
  </si>
  <si>
    <t xml:space="preserve">on account </t>
  </si>
  <si>
    <t>YIB-NEFT-YESME62220060226-SHAR MA PAINTS-PUNB0166500-VENDOR-PU NJAB NATIONAL BANK</t>
  </si>
  <si>
    <t>NEFT Cr-HDFC0000001-MANISH ANAND-DWARKADHIS PROJECTS PRIVA-HDFCH01105733681</t>
  </si>
  <si>
    <t>YES0N6187209039700</t>
  </si>
  <si>
    <t>YIB-NEFT-YESME61740045616-Diksha Sharma-SBIN0050104-imprest-STATE BANK OF INDIA</t>
  </si>
  <si>
    <t>YESME6174004561600</t>
  </si>
  <si>
    <t>YESME6112002311100</t>
  </si>
  <si>
    <t>M-128</t>
  </si>
  <si>
    <t>Imprest For Expenses</t>
  </si>
  <si>
    <t>UPI/220961157514/From:9811295007@ybl/To:045563200000264@YESB0000455.ifsc.npci/Payment from PhonePe</t>
  </si>
  <si>
    <t>YIB-TPT-DWARKADHIS PROJECTS PVT LTD IN CIRP ARAVALI HEIGHT-045563400002457</t>
  </si>
  <si>
    <t>YBS6187912508427</t>
  </si>
  <si>
    <t>YESME6174004107300</t>
  </si>
  <si>
    <r>
      <rPr>
        <rFont val="Arial MT"/>
        <color theme="1"/>
        <sz val="9.0"/>
      </rPr>
      <t>B/F ...</t>
    </r>
  </si>
  <si>
    <t>YIB-NEFT-YESME62220059857-MAN MATI YADAV-CNRB0006479-CONTRACTO R-CANARA BANK</t>
  </si>
  <si>
    <t>Opening Balance</t>
  </si>
  <si>
    <t xml:space="preserve">
Mr. VIJAY SHARMA</t>
  </si>
  <si>
    <t>NEFT Cr-ICIC0SF0002-RAMJI TIWARI-DWARKADHIS PROJECTS PRIVA-IN12618645202215</t>
  </si>
  <si>
    <t>YES0N6186130900100</t>
  </si>
  <si>
    <t>YIB-NEFT-YESME61730059291-India PRIDE COM-CNRB0001565-tfr-CANARA BANK</t>
  </si>
  <si>
    <t>YESME61730059291</t>
  </si>
  <si>
    <t>YIB-NEFT-YESME62220059856-MKA DECORATOR-CBIN0283490-CONTRACTOR- CENTRAL BANK OF INDIA</t>
  </si>
  <si>
    <t>M-097</t>
  </si>
  <si>
    <t>NET9ONZ9JO4VW</t>
  </si>
  <si>
    <t>YIB-NEFT-YESME61730060528-Yashvir Singh Balhara-KKBK0000259-Professional-KOTAK MAHINDRA BANK LIMITED</t>
  </si>
  <si>
    <t>YESME61730060528</t>
  </si>
  <si>
    <t>YIB-NEFT-YESME62220059855-NASI M-SBIN0014231-CONTRACTOR-STATE BANK OF INDIA</t>
  </si>
  <si>
    <t>Professional Fees for Legal Cases</t>
  </si>
  <si>
    <t>IMPS/Jayant Raitani/XXX8180/RRN:618614869331/</t>
  </si>
  <si>
    <t>YBP6186603163022</t>
  </si>
  <si>
    <t>M-096</t>
  </si>
  <si>
    <t>YIB-NEFT-YESME62220060223-LALAN YADAV-FDRL0002158-CONTRACTOR-FED ERAL BANK</t>
  </si>
  <si>
    <t>NEFT Cr-HDFC0000001-VIJAY YADAV-Dwarkadhis projects pvt l-HDFCH01104907359</t>
  </si>
  <si>
    <t>YES0N6186115947700</t>
  </si>
  <si>
    <t>YIB-NEFT-YESME61730031104-Credit Card-HDFC0000128-card 4279-HDFC BANK</t>
  </si>
  <si>
    <t>YESME61730031104</t>
  </si>
  <si>
    <t>YIB-NEFT-YESME62220059851-RAVI VATS-UBIN0567370-IMPREST-UNION BANK OF INDIA</t>
  </si>
  <si>
    <t>YIB-NEFT-YESME61710048944-YOGESH SINGH-SBIN0007604-imprest-STATE BANK OF INDIA</t>
  </si>
  <si>
    <t xml:space="preserve">YESME6171004894400                      </t>
  </si>
  <si>
    <t>Imprest For  Expenses</t>
  </si>
  <si>
    <t>YIB-NEFT-YESME62220059849-MUKE SH KUMAR-KVBL0004201-CONTRACTOR- KARUR VYSYA BANK</t>
  </si>
  <si>
    <t>YIB-NEFT-YESME61710048943-Dwarkadhis Projects Pvt Ltd-MAHB0001461-tfr-BANK OF MAHARASHTRABOM9675</t>
  </si>
  <si>
    <t xml:space="preserve">YESME6171004894300                      </t>
  </si>
  <si>
    <t>RTGS Cr-HDFC0000240-VANDANA KHULLAR-Dwarkadhis Projects Pvt L-HDFCR52026070478907371</t>
  </si>
  <si>
    <t>YES0R6185962256600</t>
  </si>
  <si>
    <t xml:space="preserve">YESME6171004894200                      </t>
  </si>
  <si>
    <t>YIB-NEFT-YESME62220059850-MOHA MMAD KHALIL-SBIN0008152-CONTRACTO R-STATE BANK OF INDIA</t>
  </si>
  <si>
    <t>IMPS/RENUYADAV/XXX2338/RRN:618512880646/</t>
  </si>
  <si>
    <t>YBP6185601840539</t>
  </si>
  <si>
    <t xml:space="preserve">YESME6171003990900                      </t>
  </si>
  <si>
    <t>S-083</t>
  </si>
  <si>
    <t>YIB-TPT-DWARKADHIS PROJECTS PRIVATE LIMITED IN CIRP 563200000377</t>
  </si>
  <si>
    <t>CR-045</t>
  </si>
  <si>
    <t>IMPS/ANJANJEET SINGH DHAL/XXX5487/RRN:618511574196/ICICI BANK LIMITED</t>
  </si>
  <si>
    <t>YBP6185601699391</t>
  </si>
  <si>
    <t>On Account</t>
  </si>
  <si>
    <t xml:space="preserve">YESME6170005567200                      </t>
  </si>
  <si>
    <t>NEFT Cr-SBIN0018624-Avnish Singh-DWARKADHIS PROJECTS PRIVA-SBIN226185086272</t>
  </si>
  <si>
    <t>YES0N6185981875200</t>
  </si>
  <si>
    <t>YIB-NEFT-YESME62200043189-A N FILLING STATION-ICIC0003494-VENDOR-I CICI BANK LIMITED</t>
  </si>
  <si>
    <t>L-074</t>
  </si>
  <si>
    <t>Fuel Expenses</t>
  </si>
  <si>
    <t>RTGS Cr-ICIC0000083-RAJEEV SAINI-DWARKADHIS PROJECTS PRIVA-ICICR12026070411554969</t>
  </si>
  <si>
    <t>YES0R6185961655600</t>
  </si>
  <si>
    <t>N-034</t>
  </si>
  <si>
    <t>YIB-TPT-DWARKADHIS PROJECTS PVT LTD IN CIRP ARAVALI HEIGHTS-045563400002457</t>
  </si>
  <si>
    <t>Manual</t>
  </si>
  <si>
    <t>DPL</t>
  </si>
  <si>
    <t>YIB-NEFT-YESME62180057304-DWA RKADHIS PROJECTS PVT LTD-MA HB0001461-FOR TDS PAY-BANK OF MAHARASHTRAx9675</t>
  </si>
  <si>
    <t>DWARKADHIS PROJECTS PRIVATE LIMITED</t>
  </si>
  <si>
    <t>UPI/618466458932/From:snehlatasharma057-2@okaxis/To:045563200000264@yesb0000455.ifsc.npci/UPI</t>
  </si>
  <si>
    <t>YBS6184890842465</t>
  </si>
  <si>
    <t>For TDS</t>
  </si>
  <si>
    <t>N-093</t>
  </si>
  <si>
    <t>as on 21-Jul
Adjust - 14,152
On Account - 75848</t>
  </si>
  <si>
    <t>YIB-NEFT-YESME62180059046-MONO ATOM LABS PRIVATE LIMITED-IDFB0040 311-VENDOR-IDFC FIRST BANK LTD</t>
  </si>
  <si>
    <t>YIB-NEFT-YESME62180057305-ULTRAT ECH CEMENT LTD-YESB0CMSNOC-VE NDOR-YESB0CMSNOC</t>
  </si>
  <si>
    <t>YIB-NEFT-YESME61660073249-Rohit Kumar-IDFB0020151-Professional-IDFC FIRST BANK LTD</t>
  </si>
  <si>
    <r>
      <rPr>
        <rFont val="Arial MT"/>
        <color theme="1"/>
        <sz val="10.0"/>
      </rPr>
      <t>B/F ...</t>
    </r>
  </si>
  <si>
    <t>YIB-NEFT-YESME62170060821-RAM CHAND YADAV-CNRB0006479-CONTRAC TOR-CANARA BANK</t>
  </si>
  <si>
    <t>NEFT Cr-UTIB0003100-DEVENDER KUMAR-Dwarkadhis Projects Pvt L-AXOIR18400916137</t>
  </si>
  <si>
    <t>YES0N6184844527200</t>
  </si>
  <si>
    <t>IMPS</t>
  </si>
  <si>
    <t>IMPS/48/609499021382/**9335/DWARKADHIS PROJECTS PV</t>
  </si>
  <si>
    <t>N-112</t>
  </si>
  <si>
    <t>YIB-NEFT-YESME62170060820-MUKE SH KUMAR-KVBL0004201-CONTRACTOR- KARUR VYSYA BANK</t>
  </si>
  <si>
    <t>NEFT Cr-UTIB0003100-DEVENDER KUMAR-Dwarkadhis Projects Pvt L-AXOIR18400916039</t>
  </si>
  <si>
    <t>YES0N6184844247700</t>
  </si>
  <si>
    <t>YIB-NEFT-YESME61660061890-Sahil Yadav-BARB0PATAUD-Professional-BANK OF BARODA</t>
  </si>
  <si>
    <t>YIB-NEFT-YESME62170060819-MOHA MMAD KHALIL-SBIN0008152-CONTRACTO R-STATE BANK OF INDIA</t>
  </si>
  <si>
    <t>Charges</t>
  </si>
  <si>
    <t>UPI/952208863984/From:madaankanwalnain@ybl/To:045563200000264@YESB0000455.ifsc.npci/Payment from PhonePe</t>
  </si>
  <si>
    <t>NEFT MAHBN12026040447704369 Dwarkadhis Projects Pv
 YESB0000455</t>
  </si>
  <si>
    <t>YBS6184883664618</t>
  </si>
  <si>
    <t>YIB-NEFT-YESME61660067994-Rahul Singla-HDFC0000302-Salary-HDFC BANK</t>
  </si>
  <si>
    <t>M-007</t>
  </si>
  <si>
    <t xml:space="preserve">On account </t>
  </si>
  <si>
    <t>YIB-NEFT-YESME62170062063-SHRI S HYAM TRADERS-IDFB0021009-VENDOR-I DFC FIRST BANK LTD</t>
  </si>
  <si>
    <t>NEFT Cr-ICIC0SF0002-POONAM KAUR-DWARKADHIS PROJECTS PRIVA-IN12618344640995</t>
  </si>
  <si>
    <t>NEFT YESBN12026040605648488 DWARKADHIS PROJECTS PV
 YESB0000001</t>
  </si>
  <si>
    <t>YES0N6183754426000</t>
  </si>
  <si>
    <t>YIB-NEFT-YESME61660061887-Mukesh Kumar Ray-MAHB0001461-Salary-BANK OF MAHARASHTRA</t>
  </si>
  <si>
    <t>IMPS/VIDYA DEVI/XXX7419/RRN:618321555666/STATE BANK OF INDIA</t>
  </si>
  <si>
    <t>YBP6183599798717</t>
  </si>
  <si>
    <t>NEFT MAHBN12026040647895077 Dwarkadhis Projects Pv
 YESB0000455</t>
  </si>
  <si>
    <t>YIB-NEFT-YESME62170062064-RAKIB A BIBI-SBIN0007204-CONTRACTOR-STA TE BANK OF INDIA</t>
  </si>
  <si>
    <t>YIB-NEFT-YESME61660067991-Mukesh Bajetha-FDRL0007777-Salary-FEDERAL BANK</t>
  </si>
  <si>
    <t>LF CHG CA AC</t>
  </si>
  <si>
    <t>YIB-NEFT-YESME62170060818-RAVI VATS-UBIN0567370-IMPREST-UNION BANK OF INDIA</t>
  </si>
  <si>
    <t>YIB-NEFT-YESME61660067993-Arati Sharma-SBIN0050104-Salary-STATE BANK OF INDIA</t>
  </si>
  <si>
    <t>YIB-NEFT-YESME62170060817-NASI M-SBIN0014231-CONTRACTOR-STATE BANK OF INDIA</t>
  </si>
  <si>
    <t>GST</t>
  </si>
  <si>
    <t>YIB-NEFT-YESME61660067989-Nikhil Manocha and Co-SBIN0011600-Professional-STATE BANK OF INDIA</t>
  </si>
  <si>
    <t>YIB-NEFT-YESME61660061885-Diksha Sharma-SBIN0050104-Salary-STATE BANK OF INDIA</t>
  </si>
  <si>
    <t>YIB-NEFT-YESME62170062061-MKA DECORATOR-CBIN0283490-CONTRACTOR- CENTRAL BANK OF INDIA</t>
  </si>
  <si>
    <t>IMPS/MANISHAAHUJA/XXX6587/RRN:618316849837/AXIS BANK</t>
  </si>
  <si>
    <t>YBP6183599357610</t>
  </si>
  <si>
    <t>NEFT YESBN12026041105829300 DWARKADHIS PROJECTS PV
 YESB0000001</t>
  </si>
  <si>
    <t>YIB-NEFT-YESME61660067988-Ashish Gaur-SBIN0007052-Salary-STATE BANK OF INDIA</t>
  </si>
  <si>
    <t>NEFT Cr-HDFC0000001-ARUNABH SINGH-Dwarkadhis Projects Priva-HDFCH01096757544</t>
  </si>
  <si>
    <t>YES0N6183718812300</t>
  </si>
  <si>
    <t>YIB-NEFT-YESME62170060815-MAN MATI YADAV-CNRB0006479-CONTRACTO R-CANARA BANK</t>
  </si>
  <si>
    <t>NEFT MAHBN12026041148686286 Dwarkadhis Projects Pv
 YESB0000455</t>
  </si>
  <si>
    <t>YIB-NEFT-YESME61660067987-Yogesh Singh-SBIN0007604-Salary-STATE BANK OF INDIA</t>
  </si>
  <si>
    <t>NEFT Cr-HDFC0000001-ARUNABH SINGH-Dwarkadhis Projects Priva-HDFCH01096753563</t>
  </si>
  <si>
    <t>YES0N6183718515500</t>
  </si>
  <si>
    <t>YIB-NEFT-YESME62170060816-LALAN YADAV-FDRL0002158-CONTRACTOR-FED ERAL BANK</t>
  </si>
  <si>
    <t>NEFT YESBN12026041305407636 DWARKADHIS PROJECTS PR
 YESB0000001</t>
  </si>
  <si>
    <t>YIB-TPT-DWARKADHIS PROJECTS PVT LTD IN CIRP ARAVALI HEIGHTS-045563400002314</t>
  </si>
  <si>
    <t>UPI/138765928691/From:anoopkatiyar2001@ybl/To:045563200000264@YESB0000455.ifsc.npci/Payment from PhonePe</t>
  </si>
  <si>
    <t>YBS6183876026934</t>
  </si>
  <si>
    <t>R-083</t>
  </si>
  <si>
    <t>EPFO PAYMENT, TRRN :2604101219314
 TO 60417258123
 TRANSFER TO 60417258123
 TO EMPLOYEES PROVIDENT FUND ORGANISATION</t>
  </si>
  <si>
    <t>EPF/ESI</t>
  </si>
  <si>
    <t>YIB-NEFT-YESME61630003670-Dwarkadhis Projects Pvt Ltd-MAHB0001461-for esi epf-BANK OF MAHARASHTRA</t>
  </si>
  <si>
    <t>YESME6163000367000</t>
  </si>
  <si>
    <t>EPF</t>
  </si>
  <si>
    <t>YIB-NEFT-YESME621500 72816-DURGA HARDWARE AND ELECTRICALS-HDFC0005 460-VENDOR-HDFC BANK</t>
  </si>
  <si>
    <t>YESME6215007281600</t>
  </si>
  <si>
    <t>ONLINE esi CBOMLUA1HDHPA7
 TO 60037971586
 TRANSFER TO 60037971586
 TO BILLDESK</t>
  </si>
  <si>
    <t>YESME6163000858700</t>
  </si>
  <si>
    <t>YIB-NEFT-YESME6215 0074109-VAHID-PUNB0 116410-CONTRACTOR-PUN JAB NATIONAL BANK</t>
  </si>
  <si>
    <t>YESME6215007410900</t>
  </si>
  <si>
    <t>IMPS/NA/XXXX6622/RRN:616294174358/PC3863380272601926/STATE BANK OF I/Yogesh Singh/Yogesh Singh Imprest</t>
  </si>
  <si>
    <t>YESI66162010029000</t>
  </si>
  <si>
    <t>ONLINE esi CBOMJZE1HDI7YN
 TO 60037971586
 TRANSFER TO 60037971586
 TO BILLDESK</t>
  </si>
  <si>
    <t>IMPS/BHAVNA MAHIPAL/XXX6701/RRN:618311871867/</t>
  </si>
  <si>
    <t>YBP6183598901911</t>
  </si>
  <si>
    <t>YIB-NEFT-YESME61620056436-Jaskaran Singh Bhatia-HDFC0000011-professional-HDFC BANK</t>
  </si>
  <si>
    <t>YESME6162005643600</t>
  </si>
  <si>
    <t>YIB-NEFT-YESME621500 74108-VIPUL ENTERPRISES-R MGB0001499-VENDOR-RA JASTHAN GRAMIN BANK</t>
  </si>
  <si>
    <t>NEFT YESBN12026041405921376 DWARKADHIS PROJECTS PV
 YESB0000001</t>
  </si>
  <si>
    <t>YESME6215007410800</t>
  </si>
  <si>
    <t>NEFT Cr-UTIB0000057-ANKIT NAHAR-DWARKADHIS PROJECTS PRIVA-AXOMB18302013646</t>
  </si>
  <si>
    <t>YES0N6183688218900</t>
  </si>
  <si>
    <t>YESME6160001433900</t>
  </si>
  <si>
    <t>IMPS/ABHIJIT SHARMA/XXX2427/RRN:618208516598/ICICI BANK LIMITED</t>
  </si>
  <si>
    <t>YBP6182597113662</t>
  </si>
  <si>
    <t>NEFT MAHBN12026041448982127 Dwarkadhis Projects Pv
 YESB0000455</t>
  </si>
  <si>
    <t>YESME621300679 9900</t>
  </si>
  <si>
    <t>M-12A2</t>
  </si>
  <si>
    <t>YIB-NEFT-YESME61590064987-Value Plus Insolvency Resolution Professionals Pvt Ltd-PUNB0025120-Professional-PUNJAB NATIONAL BANK</t>
  </si>
  <si>
    <t>YESME6159006498700</t>
  </si>
  <si>
    <t>on account - 42,847
Adjust -10,930</t>
  </si>
  <si>
    <t>SCREF01283997998</t>
  </si>
  <si>
    <t>RTGS YESBR12026041500036274 DWARKADHIS PROJECTS PV
 YESB0000001</t>
  </si>
  <si>
    <t>YIB-NEFT-YESME61580006972-Dwarkadhis Projects Pvt Ltd-MAHB0001461-for tds pay-BANK OF MAHARASHTRA</t>
  </si>
  <si>
    <t>YESME6158000697200</t>
  </si>
  <si>
    <t>GST on Bank Charges Debited</t>
  </si>
  <si>
    <t>M_May26_SBOX_ypbsm000006435_37002065</t>
  </si>
  <si>
    <t>YESME6157003886400</t>
  </si>
  <si>
    <t>NEFT MAHBN12026041549066330 Dwarkadhis Projects Pv
 YESB0000455</t>
  </si>
  <si>
    <t>YIB-NEFT-YESME62080025994-Ram Chand Yadav-CNRB0006479-Contractor-CANARA BANK</t>
  </si>
  <si>
    <t>YESME6208002599400</t>
  </si>
  <si>
    <t>NEFT Cr-MAHB0001461-DWARKADHIS PROJECTS PRIVA-Dwarkadhis Projects Pvt L-MAHBH00654782285</t>
  </si>
  <si>
    <t>YES0N6157719970100</t>
  </si>
  <si>
    <t xml:space="preserve">YESME6173005625400                      </t>
  </si>
  <si>
    <t>NEFT MAHBN12026041549112005 Diksha Sharma
SBIN0050104</t>
  </si>
  <si>
    <t>YIB-NEFT-YESME62080025993-Mukesh Kumar-KVBL0004201-Contractor-KARUR VYSYA BANK</t>
  </si>
  <si>
    <t>YESME6208002599300</t>
  </si>
  <si>
    <t>NEFT Cr-MAHB0001461-DWARKADHIS PROJECTS PRIVA-Dwarkadhis Projects Pvt L-MAHBH00554694381</t>
  </si>
  <si>
    <t>YES0N6156606722100</t>
  </si>
  <si>
    <t>NEFT Cr-ICIC0SF0002-POONAM  KAUR-DWARKADHIS PROJECTS PRIVA-IN12617342864822</t>
  </si>
  <si>
    <t xml:space="preserve">YES0N6173537735300                      </t>
  </si>
  <si>
    <t>NEFT MAHBN12026041549117390 Rahul Singla
 HDFC0000302</t>
  </si>
  <si>
    <t>YIB-NEFT-YESME62080025992-Lalan Yadav-FDRL0002158-Contractor-FEDERAL BANK</t>
  </si>
  <si>
    <t>YESME6208002599200</t>
  </si>
  <si>
    <t>YESME6156006847800</t>
  </si>
  <si>
    <t>CHQ DEP HDB 20-JUN-26 SOHNA ROAD</t>
  </si>
  <si>
    <t>000000000062</t>
  </si>
  <si>
    <t>NEFT MAHBN12026041549119763 Nikhil Manocha and CO
 SBIN0011600</t>
  </si>
  <si>
    <r>
      <rPr>
        <rFont val="Arial MT"/>
        <color theme="1"/>
        <sz val="9.0"/>
      </rPr>
      <t>B/F ...</t>
    </r>
  </si>
  <si>
    <t>YIB-NEFT-YESME62080027534-MKA Decorator-CBIN0283490-Contractor-CENTRAL BANK OF INDIA</t>
  </si>
  <si>
    <t>YESME6208002753400</t>
  </si>
  <si>
    <t>NEFT Cr-KKBK0000958-EKTA YADAV-DWARKADHISH PROJECT-KKBKH26171664267</t>
  </si>
  <si>
    <t xml:space="preserve">YES0N6171366255200                      </t>
  </si>
  <si>
    <t>salary
 TO 68011054006
 TRANSFER TO 68011054006
 TO Mr. MUKESH KUMAR RAY</t>
  </si>
  <si>
    <t>S-013</t>
  </si>
  <si>
    <t>YIB-NEFT-YESME62080025988-Rakiba BIBI-SBIN0007204-Contractor-STATE BANK OF INDIA</t>
  </si>
  <si>
    <t>YESME6208002598800</t>
  </si>
  <si>
    <t>RTGS YESBR12026041600032429 DWARKADHIS PROJECTS PV
 YESB0000001</t>
  </si>
  <si>
    <t>NEFT MAHBN12026041649196694 Dwarkadhis Projects Pv
 YESB0000455</t>
  </si>
  <si>
    <t>YIB-NEFT-YESME62080025989-Manmati Yadav-CNRB0006479-Contractor-CANARA BANK</t>
  </si>
  <si>
    <t>YESME6208002598900</t>
  </si>
  <si>
    <t>NEFT Cr-HDFC0000001-AMIT JAIN-LEKH RAJ  BAJAJ-HDFCH01071137852</t>
  </si>
  <si>
    <t xml:space="preserve">YES0N6170227049000                      </t>
  </si>
  <si>
    <t>NEFT YESBN12026041808609500 DWARKADHIS PROJECTS PV
 YESB0000001</t>
  </si>
  <si>
    <t>YIB-NEFT-YESME62080025987-Nasim-SBIN0014231-Contractor-STATE BANK OF INDIA</t>
  </si>
  <si>
    <t>YESME6208002598700</t>
  </si>
  <si>
    <t>RTGS YESBR12026042000041867 DWARKADHIS PROJECTS PV
 YESB0000001</t>
  </si>
  <si>
    <t>YIB-NEFT-YESME62080027532-Mohammad Khalil-SBIN0008152-Contractor-STATE BANK OF INDIA</t>
  </si>
  <si>
    <t>YESME6208002753200</t>
  </si>
  <si>
    <t>NEFT MAHBN12026042049627060 Dwarkadhis Projects Pv
 YESB0000455</t>
  </si>
  <si>
    <t>NEFT Cr-KVBL0002101-RAHULENTERPRISES-dwarkadhis projects priva-KVBLH00263507186</t>
  </si>
  <si>
    <t>YES0N6162341811100</t>
  </si>
  <si>
    <t>Adjust- 60,248/-
On Ac- 39,752/-</t>
  </si>
  <si>
    <t>GS-200420265GSTTAX 26040600214109
 TO 60285510225
 TRANSFER TO 60285510225
 TO BANK OF MAHARASHTRA GST POOL ACCOUNT</t>
  </si>
  <si>
    <t>Tax</t>
  </si>
  <si>
    <t>YIB-TPT-DWARKADHIS PROJECTS PRIVATE LIMITED -tfr r-045563200000377</t>
  </si>
  <si>
    <t>IMPS/NA/XXXX5421/RRN:620565635433/PC4267675229661928/HDFC BANK/Pallavi Fibre Glass/Vendor</t>
  </si>
  <si>
    <t>YESI66205008620600</t>
  </si>
  <si>
    <t>NEFT YESBN12026042005753582 DWARKADHIS PROJECTS PR
 YESB0000001</t>
  </si>
  <si>
    <t>YIB-NEFT-YESME62050054046-Exen Chem-KKBK0000208-Vendor-KOTAK MAHINDRA BANK LIMITED</t>
  </si>
  <si>
    <t>YESME6205005404600</t>
  </si>
  <si>
    <t>ONLINE DHBVN CBOMAAF1I00813
 TO 60037971586
 TRANSFER TO 60037971586
 TO BILLDESK</t>
  </si>
  <si>
    <t>Electricity</t>
  </si>
  <si>
    <t>IMPS/MRIGANKACHAKRABORTY/XXX7113/RRN:615720769510/AXIS BANK</t>
  </si>
  <si>
    <t>Electricity Charges - DHBVN</t>
  </si>
  <si>
    <t>YBP6157565187580</t>
  </si>
  <si>
    <t>NEFT YESBN12026042205358338 DWARKADHIS PROJECTS PR
 YESB0000001</t>
  </si>
  <si>
    <t>NET-TPT-DWARKADHIS PROJECTS PRIVATE LIMITED IN CIRP CR-dpl r-045563200000377</t>
  </si>
  <si>
    <t>NEFT MAHBN12026042249915404 Falcon Advertisers
 SBIN0009371</t>
  </si>
  <si>
    <t>YIB-TPT-Dwarkadhis Projects Pvt Ltd-dpl f-045563400002477</t>
  </si>
  <si>
    <t>Advertising Expenses</t>
  </si>
  <si>
    <t>RTGS YESBR12026042300036988 DWARKADHIS PROJECTS PV
 YESB0000001</t>
  </si>
  <si>
    <t>NEFT Cr-CNRB0002040-GIAN SINGH-DWARKADHIS PROJECTS PRIVA-CNRBH00137463745</t>
  </si>
  <si>
    <t>YES0N6157715640100</t>
  </si>
  <si>
    <t>N-052</t>
  </si>
  <si>
    <t>OP</t>
  </si>
  <si>
    <t>b/f</t>
  </si>
  <si>
    <t>NEFT YESBN12026042305663243 DWARKADHIS PROJECTS PV
 YESB0000001</t>
  </si>
  <si>
    <t>RTGS Cr-HDFC0000240-VANDANA KHULLAR-Dwarkadhis Projects Pvt L-HDFCR52026060667520804</t>
  </si>
  <si>
    <t>YES0R6157893120100</t>
  </si>
  <si>
    <t>YIB-NEFT-YESME62050054045-Sharma Paints-PUNB0166500-Vendor-PUNJAB NATIONAL BANK</t>
  </si>
  <si>
    <t>YESME6205005404500</t>
  </si>
  <si>
    <t>NEFT MAHBN12026052153213157 Dwarkadhis Projects Pv YESB0000455</t>
  </si>
  <si>
    <t>NEFT MAHBN12026042350004677 Dwarkadhis Projects Pv
 YESB0000455</t>
  </si>
  <si>
    <t>NEFT Cr-SBIN0003771-VIDYA DEVI-Dwarkadhis Projects Pvt L-SBIN226157418825</t>
  </si>
  <si>
    <t>YES0N6157694128700</t>
  </si>
  <si>
    <t>NEFT YESBN12026052205879579 DWARKADHIS PROJECTS PV YESB0000001</t>
  </si>
  <si>
    <t>IMPS/ANIL KUMAR SHARMA/XXX1777/RRN:615621039659/ICICI BANK LIMITED</t>
  </si>
  <si>
    <t>YIB-NEFT-YESME62050054044-Auro Chemical Industries Pvt Ltd-KKBK0000190-Vendor-KOTAK MAHINDRA BANK LIMITED</t>
  </si>
  <si>
    <t>NEFT YESBN12026042305775618 DWARKADHIS PROJECTS PR
 YESB0000001</t>
  </si>
  <si>
    <t>YESME6205005404400</t>
  </si>
  <si>
    <t>L-112</t>
  </si>
  <si>
    <t>NEFT MAHBN12026052253318628 Sahil Yadav BARB0PATAUD</t>
  </si>
  <si>
    <t>IMPS/BHAGIRATHBHARDWAJ/XXX7885/RRN:615620360794/AXIS BANK</t>
  </si>
  <si>
    <t>TI-230420265TINTAX 26042300160281
 TO 60425114191
 TRANSFER TO 60425114191
 TO Central Govt Taxes</t>
  </si>
  <si>
    <t>NEFT MAHBN12026052253319210 Diksha Sharma SBIN0050104</t>
  </si>
  <si>
    <t>L-102</t>
  </si>
  <si>
    <t xml:space="preserve">TDS </t>
  </si>
  <si>
    <t>YIB-NEFT-YESME62030018559-Rakiba BIBI-SBIN0007204-Contractor-STATE BANK OF INDIA</t>
  </si>
  <si>
    <t>IMPS/MANISH ANAND/XXX7556/RRN:615667295148/HDFC BANK</t>
  </si>
  <si>
    <t>YESME6203001855900</t>
  </si>
  <si>
    <t>NEFT MAHBN12026052253319440 Rahul Singla HDFC0000302</t>
  </si>
  <si>
    <t>TI-230420265TINTAX 26042300161277
 TO 60425114191
 TRANSFER TO 60425114191
 TO Central Govt Taxes</t>
  </si>
  <si>
    <t>TDS - Cons</t>
  </si>
  <si>
    <t>IMPS/AMITKUMAR/XXX3986/RRN:615619312708/AXIS BANK</t>
  </si>
  <si>
    <t>YIB-NEFT-YESME62030018558-Mohammad Khalil-SBIN0008152-Contractor-STATE BANK OF INDIA</t>
  </si>
  <si>
    <t>NEFT MAHBN12026052253319938 Nikhil Manocha and CO SBIN0011600</t>
  </si>
  <si>
    <t>YESME6203001855800</t>
  </si>
  <si>
    <t>TI-230420265TINTAX 26042300162440
 TO 60425114191
 TRANSFER TO 60425114191
 TO Central Govt Taxes</t>
  </si>
  <si>
    <t>tfr TO 68011054006 TRANSFER TO 68011054006 TO Mr. MUKESH KUMAR RAY</t>
  </si>
  <si>
    <t>YIB-NEFT-YESME62030018557-Manmati Yadav-CNRB0006479-Contractor-CANARA BANK</t>
  </si>
  <si>
    <t>YESME6203001855700</t>
  </si>
  <si>
    <t>NEFT KVBLN52026042460066550 AMBITIONCOLONISERSPRIV
 KVBL0002101</t>
  </si>
  <si>
    <t>ONLINE esi DBOMCXW1KSID49 TO 60037971586 TRANSFER TO 60037971586 TO BILLDESK</t>
  </si>
  <si>
    <t>YIB-TPT-Dwarkadhis Projects Pvt Ltd-free-045563400002477</t>
  </si>
  <si>
    <t>YIB-NEFT-YESME62030018556-Sahun-BARB0TIJARA-Contractor-BANK OF BARODA</t>
  </si>
  <si>
    <t>YESME6203001855600</t>
  </si>
  <si>
    <t>EPFO PAYMENT, TRRN :2605101252686 TO 60417258123 TRANSFER TO 60417258123 TO EMPLOYEES PROVIDENT FUND ORGANISATION</t>
  </si>
  <si>
    <t>NEFT MAHBN12026042450119372 Dwarkadhis Projects Pv
 YESB0000455</t>
  </si>
  <si>
    <t>YIB-TPT-DWARKADHIS PROJECTS PRIVATE LIMITED -tfr-045563200000377</t>
  </si>
  <si>
    <t>NEFT MAHBN12026052253321845 India Pride Com CNRB0001565</t>
  </si>
  <si>
    <t>YIB-NEFT-YESME62030018555-Vahid-PUNB0116410-Contractor-PUNJAB NATIONAL BANK</t>
  </si>
  <si>
    <t>YESME6203001855500</t>
  </si>
  <si>
    <t>NEFT MAHBN12026042450119716 Shivam Sorewala
 KKBK0004606</t>
  </si>
  <si>
    <t>Website &amp; Software Charges</t>
  </si>
  <si>
    <t>IMPS/MOHINDER SINGH/XXX7409/RRN:615617721669/PUNJAB NATIONAL BANK</t>
  </si>
  <si>
    <t>NEFT YESBN12026052303507017 DWARKADHIS PROJECTS PV YESB0000001</t>
  </si>
  <si>
    <t>YIB-NEFT-YESME62030016702-Awesome Paint Planners Pvt Ltd-ICIC0003254-Vendor-ICICI BANK LIMITED</t>
  </si>
  <si>
    <t>YESME6203001670200</t>
  </si>
  <si>
    <t>NEFT YESBN12026042705775638 DWARKADHIS PROJECTS PR
 YESB0000001</t>
  </si>
  <si>
    <t>NEFT Cr-UTIB0003100-DEVENDER KUMAR-Dwarkadhis Projects Pvt L-AXOMB15602129055</t>
  </si>
  <si>
    <t>NEFT MAHBN12026052353358488 Dwarkadhis Projects Pv YESB0000455</t>
  </si>
  <si>
    <t>YIB-NEFT-YESME62030016703-Lalan Yadav-FDRL0002158-Contractor-FEDERAL BANK</t>
  </si>
  <si>
    <t>YESME6203001670300</t>
  </si>
  <si>
    <t>MONTHLY SMS CHA</t>
  </si>
  <si>
    <t>NEFT Cr-HDFC0000001-GAURAV KHANNA-Dwarkadhis Projects Pvt L-HDFCH01040961920</t>
  </si>
  <si>
    <t>YES0N6156585527200</t>
  </si>
  <si>
    <t>NEFT YESBN12026052505677800 DWARKADHIS PROJECTS PR YESB0000001</t>
  </si>
  <si>
    <t>M-124</t>
  </si>
  <si>
    <t>YIB-NEFT-YESME62030018554-Ram Chand Yadav-CNRB0006479-Contractor-CANARA BANK</t>
  </si>
  <si>
    <t>YESME6203001855400</t>
  </si>
  <si>
    <t>IMPS/Mr Jayant Raitani/XXX0348/RRN:615615045043/</t>
  </si>
  <si>
    <t>YBP6156563551362</t>
  </si>
  <si>
    <t>NEFT YESBN12026052705673390 DWARKADHIS PROJECTS PR YESB0000001</t>
  </si>
  <si>
    <t>NEFT YESBN12026043005653366 DWARKADHIS PROJECTS PR
 YESB0000001</t>
  </si>
  <si>
    <t>NEFT YESBN12026052905279134 DWARKADHIS PROJECTS PR YESB0000001</t>
  </si>
  <si>
    <t>IMPS/RENUYADAV/XXX2338/RRN:615612303793/</t>
  </si>
  <si>
    <t>YIB-NEFT-YESME62030018553-Mukesh Kumar-KVBL0004201-Contractor-KARUR VYSYA BANK</t>
  </si>
  <si>
    <t>YBP6156563322702</t>
  </si>
  <si>
    <t>YESME6203001855300</t>
  </si>
  <si>
    <t>NEFT MAHBN12026053053964408 Claim Bridge Technolog ICIC0001070</t>
  </si>
  <si>
    <t>UPI/287354718952/From:madaankanwalnain@ybl/To:045563200000264@YESB0000455.ifsc.npci/Payment from PhonePe</t>
  </si>
  <si>
    <t>YBS6156634281144</t>
  </si>
  <si>
    <t>NEFT YESBN12026043005655256 DWARKADHIS PROJECTS PR
 YESB0000001</t>
  </si>
  <si>
    <t>YIB-NEFT-YESME62030016699-MKA Decorator-CBIN0283490-Contractor-CENTRAL BANK OF INDIA</t>
  </si>
  <si>
    <t>YESME6203001669900</t>
  </si>
  <si>
    <t>Business Promotion E Voting Event Held</t>
  </si>
  <si>
    <t>NEFT MAHBN12026060154053152 Dwarkadhis Projects Pv YESB0000455</t>
  </si>
  <si>
    <t>NEFT Cr-ICIC0SF0002-POONAM KAUR-DWARKADHIS PROJECTS PRIVA-IN12615640773855</t>
  </si>
  <si>
    <t>YES0N6156558875000</t>
  </si>
  <si>
    <t>NEFT YESBN12026050105323360 DWARKADHIS PROJECTS PR
 YESB0000001</t>
  </si>
  <si>
    <t>YIB-NEFT-YESME62030016700-Nasim-SBIN0014231-Contractor-STATE BANK OF INDIA</t>
  </si>
  <si>
    <t>YESME6203001670000</t>
  </si>
  <si>
    <t>NEFT YESBN12026060205472626 DWARKADHIS PROJECTS PR
 YESB0000001</t>
  </si>
  <si>
    <t>NEFT Cr-ICIC0SF0002-RAJEEV SAINI-DWARKADHIS PROJECTS PRIVA-IN12615540653042</t>
  </si>
  <si>
    <t>YES0N6155482347200</t>
  </si>
  <si>
    <t>NEFT YESBN12026060405589388 DWARKADHIS PROJECTS PR
 YESB0000001</t>
  </si>
  <si>
    <t>NEFT YESBN12026050405311351 DWARKADHIS PROJECTS PR
 YESB0000001</t>
  </si>
  <si>
    <t>RTGS Cr-HDFC0000240-PAWAN KUMAR BHARDWAJ-DWARKADHIS CRIP-HDFCR52026060466789770</t>
  </si>
  <si>
    <t>YES0R6155889413700</t>
  </si>
  <si>
    <t>NEFT MAHBN12026060554693445 Naresh k Jain
 UBIN0825492</t>
  </si>
  <si>
    <t>L-082</t>
  </si>
  <si>
    <t xml:space="preserve">Certification Charge , Certificate Regarding Inflow And Outflow Of Funds </t>
  </si>
  <si>
    <t>NEFT YESBN12026050405798579 DWARKADHIS PROJECTS PR
 YESB0000001</t>
  </si>
  <si>
    <t>YIB-NEFT-YESME61550052502-Dwarkadhis Projects Pvt Ltd-MAHB0001461-tfr-BANK OF MAHARASHTRA</t>
  </si>
  <si>
    <t>YESME6155005250200</t>
  </si>
  <si>
    <t>YIB-TPT-DWARKADHIS PROJECTS PVT LTD IN CIRP CASA ROMANA FREE-internal-045563400002477</t>
  </si>
  <si>
    <t>NEFT MAHBN12026060554694381 Dwarkadhis Projects Pv
 YESB0000455</t>
  </si>
  <si>
    <t>NEFT MAHBN12026060654782285 Dwarkadhis Projects Pv
 YESB0000455</t>
  </si>
  <si>
    <t>NEFT YESBN12026050405798580 DWARKADHIS PROJECTS PR
 YESB0000001</t>
  </si>
  <si>
    <t>YIB-NEFT-YESME61990054142-Ravi Vats-UBIN0567370-Imprest-UNION BANK OF INDIA</t>
  </si>
  <si>
    <t>YESME6199005414200</t>
  </si>
  <si>
    <t>NEFT YESBN12026060606662118 DWARKADHIS PROJECTS PR
 YESB0000001</t>
  </si>
  <si>
    <t>NEFT Cr-HDFC0000001-ARUNABH SINGH-Dwarkadhis Projects Priva-HDFCH01038491058</t>
  </si>
  <si>
    <t>YES0N6155468736600</t>
  </si>
  <si>
    <t>NEFT YESBN12026050505572815 DWARKADHIS PROJECTS PR
 YESB0000001</t>
  </si>
  <si>
    <t>YIB-NEFT-YESME61990050235-Ram Sharan-BKID0007415-Salary-BANK OF INDIA</t>
  </si>
  <si>
    <t>YESME6199005023500</t>
  </si>
  <si>
    <t>NEFT YESBN12026060705320854 DWARKADHIS PROJECTS PV
 YESB0000001</t>
  </si>
  <si>
    <t>NEFT Cr-HDFC0000001-ARUNABH SINGH-Dwarkadhis Projects Priva-HDFCH01038483421</t>
  </si>
  <si>
    <t>YES0N6155468653300</t>
  </si>
  <si>
    <t>NEFT YESBN12026050605644958 DWARKADHIS PROJECTS PR
 YESB0000001</t>
  </si>
  <si>
    <t>TI-070620265TINTAX 26060700189628
  TO 60425114191
 TRANSFER TO 60425114191
 TO Central Govt Taxes</t>
  </si>
  <si>
    <t>YIB-NEFT-YESME61990050234-Balram Mishara-SBIN0015698-Salary-STATE BANK OF INDIA</t>
  </si>
  <si>
    <t>YESME6199005023400</t>
  </si>
  <si>
    <t>TDS</t>
  </si>
  <si>
    <t>IMPS/ANJANJEET SINGH DHAL/XXX5487/RRN:615510918595/ICICI BANK LIMITED</t>
  </si>
  <si>
    <t>YBP6155561667380</t>
  </si>
  <si>
    <t>NEFT YESBN12026050705654555 DWARKADHIS PROJECTS PR
 YESB0000001</t>
  </si>
  <si>
    <t xml:space="preserve">NEFT YESBN12026061205194650 DWARKADHIS PROJECTS PR
YESB0000001                                       </t>
  </si>
  <si>
    <t>YIB-NEFT-YESME61990049156-Devender Kumar-HDFC0003848-Salary-HDFC BANK</t>
  </si>
  <si>
    <t>YESME6199004915600</t>
  </si>
  <si>
    <t xml:space="preserve">NEFT YESBN12026061205196948 DWARKADHIS PROJECTS PV
YESB0000001                                       </t>
  </si>
  <si>
    <t>NEFT YESBN12026050705840579 DWARKADHIS PROJECTS PR
 YESB0000001</t>
  </si>
  <si>
    <t>NEFT Cr-SBIN0018624-Avnish Singh-DWARKADHIS PROJECTS PRIVA-SBIN426155403145</t>
  </si>
  <si>
    <t>YES0N6155432302700</t>
  </si>
  <si>
    <t xml:space="preserve">EPFO PAYMENT, TRRN :2606101283941
 TO 60417258123
TRANSFER TO 60417258123
TO EMPLOYEES PROVIDENT FUND ORGANISATION          </t>
  </si>
  <si>
    <t>YIB-NEFT-YESME61990050233-Ajay-NSPB0000002-Salary-NSDL PAYMENTS BANK LIMITED</t>
  </si>
  <si>
    <t>YESME6199005023300</t>
  </si>
  <si>
    <t>NEFT MAHBN12026050851800267 Lekh Raj Bajaj
 UBIN0932329</t>
  </si>
  <si>
    <t>IMPS/ABHIJIT SHARMA/XXX2427/RRN:615423454739/ICICI BANK LIMITED</t>
  </si>
  <si>
    <t>YBP6154523454739</t>
  </si>
  <si>
    <t xml:space="preserve">ONLINE esi DBOMSJ01MPNULH
 TO 60037971586
TRANSFER TO 60037971586
TO  BILLDESK                                      </t>
  </si>
  <si>
    <t>ONLINE</t>
  </si>
  <si>
    <t>YIB-NEFT-YESME61990050231-Sandeep Kumar-UBIN0567370-Salary-UNION BANK OF INDIA</t>
  </si>
  <si>
    <t>YESME6199005023100</t>
  </si>
  <si>
    <t>ESI</t>
  </si>
  <si>
    <t>NEFT YESBN12026050905888411 DWARKADHIS PROJECTS PR
 YESB0000001</t>
  </si>
  <si>
    <t xml:space="preserve">ONLINE esi DBOMBAB1MYT03Y
 TO 60037971586
TRANSFER TO 60037971586
TO  BILLDESK                                      </t>
  </si>
  <si>
    <t>YIB-NEFT-YESME61990049154-Sher Singh-IOBA0002166-Contractor-INDIAN OVERSEAS BANK</t>
  </si>
  <si>
    <t>YESME6199004915400</t>
  </si>
  <si>
    <t>YIB-NEFT-YESME61530042755-Dwarkadhis Projects Pvt Ltd-MAHB0001461-tfr-BANK OF MAHARASHTRA</t>
  </si>
  <si>
    <t>YESME6153004275500</t>
  </si>
  <si>
    <t>NEFT YESBN12026050905889996 DWARKADHIS PROJECTS PR
 YESB0000001</t>
  </si>
  <si>
    <t xml:space="preserve">RTGS YESBR12026061800038695 DWARKADHIS PROJECTS PR
YESB0000001                                       </t>
  </si>
  <si>
    <t>IMPS/Mrs BHAVNA MAHIPAL/XXX6701/RRN:615211209650/</t>
  </si>
  <si>
    <t>YBP6152557524467</t>
  </si>
  <si>
    <t>YIB-NEFT-YESME61990050229-Jyoti-IDIB000D618-Salary-INDIAN BANK</t>
  </si>
  <si>
    <t>YESME6199005022900</t>
  </si>
  <si>
    <t>for tds
 TO 68011054006
 TRANSFER TO 68011054006
 TO Mr. MUKESH KUMAR RAY</t>
  </si>
  <si>
    <t xml:space="preserve">ONLINE elect DBOMC0T1N9RTL2
 TO 60037971586
TRANSFER TO 60037971586
TO  BILLDESK                                      </t>
  </si>
  <si>
    <t>NEFT Cr-UTIB0000057-ANKIT NAHAR-DWARKADHIS PROJECTS PRIVA-AXOMB15202026320</t>
  </si>
  <si>
    <t>YES0N6152057122600</t>
  </si>
  <si>
    <t>NEFT YESBN12026062005527829 DWARKADHIS PROJECTS PV
 YESB0000001</t>
  </si>
  <si>
    <t>YIB-NEFT-YESME61990050230-Deepak Mishra-PUNB0090700-Salary-PUNJAB NATIONAL BANK</t>
  </si>
  <si>
    <t>YESME6199005023000</t>
  </si>
  <si>
    <t>Cheque</t>
  </si>
  <si>
    <t>LEKH RAJ BAJAJ</t>
  </si>
  <si>
    <t>NEFT Cr-HDFC0000001-VIJAY YADAV-Dwarkadhis projects pvt l-HDFCH01027911443</t>
  </si>
  <si>
    <t>YES0N6151</t>
  </si>
  <si>
    <t>GS-200620265GSTTAX 26060600213942
  TO 60285510225
 TRANSFER TO 60285510225
 TO BANK OF MAHARASHTRA GST POOL ACCOUNT</t>
  </si>
  <si>
    <t>YIB-NEFT-YESME61990049153-Lakshmi-PUNB0130400-Salary-PUNJAB NATIONAL BANK</t>
  </si>
  <si>
    <t>GST Month of May 26</t>
  </si>
  <si>
    <t>YESME6199004915300</t>
  </si>
  <si>
    <t>YIB-NEFT-YESME61490061190-Dwarkadhis Projects Pvt Ltd-MAHB0001461-tfr-BANK OF MAHARASHTRA</t>
  </si>
  <si>
    <t>YESME6149006119000</t>
  </si>
  <si>
    <t>IMPS/48/618748887784/**93352457/DWARKADHIS PROJECTS PV2457</t>
  </si>
  <si>
    <t>NEFT YESBN12026051105989504 DWARKADHIS PROJECTS PR
 YESB0000001</t>
  </si>
  <si>
    <t>YIB-NEFT-YESME61990050228-Mohan Singh-BARB0INDBHI-Salary-BANK OF BARODA</t>
  </si>
  <si>
    <t>YESME6199005022800</t>
  </si>
  <si>
    <t>NEFT YESBN12026070605404999 DWARKADHIS PROJECTS PV
 YESB0000001</t>
  </si>
  <si>
    <t>NEFT YESBN12026051505666575 DWARKADHIS PROJECTS PR
 YESB0000001</t>
  </si>
  <si>
    <t>NEFT YESBN12026070605453901 DWARKADHIS PROJECTS PR
 YESB0000001</t>
  </si>
  <si>
    <t>IMPS/RISHI BHATIA/XXX8877/RRN:614807892809/ICICI BANK LIMITED</t>
  </si>
  <si>
    <t>YBP6148552004871</t>
  </si>
  <si>
    <t>YIB-NEFT-YESME61990049152-Santosh-PUNB0HGB001-Salary-PUNJAB NATIONAL BANK</t>
  </si>
  <si>
    <t>YESME6199004915200</t>
  </si>
  <si>
    <t>L-023</t>
  </si>
  <si>
    <t>NEFT YESBN12026051505666943 DWARKADHIS PROJECTS PR
 YESB0000001</t>
  </si>
  <si>
    <t>TI-070720265TINTAX 26070700147969
  TO 60425114191
 TRANSFER TO 60425114191
 TO Central Govt Taxes</t>
  </si>
  <si>
    <t>YIB-NEFT-YESME61470062658-Dwarkadhis Projects Pvt Ltd-MAHB0001461-tfr-BANK OF MAHARASHTRA</t>
  </si>
  <si>
    <t>YESME6147006265800</t>
  </si>
  <si>
    <t>TDS Deposit for the month of June 2026</t>
  </si>
  <si>
    <t>IMPS/NA/XXXX0091/RRN:619961125628/PC4213346171779670/FINO PAYMENTS B/Bharat Singh/Salary</t>
  </si>
  <si>
    <t>YESI66199007843200</t>
  </si>
  <si>
    <t>NEFT YESBN12026071305746542 DWARKADHIS PROJECTS PR
 YESB0000001</t>
  </si>
  <si>
    <t>Bank Debit</t>
  </si>
  <si>
    <t>NEFT YESBN12026071305782572 DWARKADHIS PROJECTS PV
 YESB0000001</t>
  </si>
  <si>
    <t>YIB-NEFT-YESME61990049151-Satish-PUNB0357200-Salary-PUNJAB NATIONAL BANK</t>
  </si>
  <si>
    <t>YESME6199004915100</t>
  </si>
  <si>
    <t>EPFO PAYMENT, TRRN :2607101316503
  TO 60417258123
 TRANSFER TO 60417258123
 TO EMPLOYEES PROVIDENT FUND ORGANISATION</t>
  </si>
  <si>
    <t>IMPS/RISHI BHATIA/XXX8877/RRN:614623837550/ICICI BANK LIMITED</t>
  </si>
  <si>
    <t>YBP6146550391073</t>
  </si>
  <si>
    <t>ONLINE esi DBOMLNS1PO8489
  TO 60037971586
 TRANSFER TO 60037971586
 TO BILLDESK</t>
  </si>
  <si>
    <t>YIB-NEFT-YESME61990049150-Ramabati Devi-PUNB0155300-Salary-PUNJAB NATIONAL BANK</t>
  </si>
  <si>
    <t>YESME6199004915000</t>
  </si>
  <si>
    <t>NEFT MAHBN12026071558921306 Dwarkadhis Projects Pv
 YESB0000455</t>
  </si>
  <si>
    <t>M_Apr26_SBOX_ypbsm000006435_37002065</t>
  </si>
  <si>
    <t>SCREF01283548931</t>
  </si>
  <si>
    <t>YIB-NEFT-YESME61990050227-Rahul Kumar-PUNB0357200-Salary-PUNJAB NATIONAL BANK</t>
  </si>
  <si>
    <t>YESME6199005022700</t>
  </si>
  <si>
    <t>NEFT YESBN12026072005410401 DWARKADHIS PROJECTS PV
 YESB0000001</t>
  </si>
  <si>
    <t>YIB-NEFT-YESME61990050225-Ravi Vats-UBIN0567370-Salary-UNION BANK OF INDIA</t>
  </si>
  <si>
    <t>YESME6199005022500</t>
  </si>
  <si>
    <t>GS-200720265GSTTAX 26070600253092
  TO 60285510225
 TRANSFER TO 60285510225
 TO BANK OF MAHARASHTRA GST POOL ACCOUNT</t>
  </si>
  <si>
    <t>YIB-NEFT-YESME61450064936-Dwarkadhis Projects Pvt Ltd-MAHB0001461-tfr-BANK OF MAHARASHTRA</t>
  </si>
  <si>
    <t>YESME6145006493600</t>
  </si>
  <si>
    <t>GST Paid</t>
  </si>
  <si>
    <t>NEFT YESBN12026072205473049 DWARKADHIS PROJECTS PV
 YESB0000001</t>
  </si>
  <si>
    <t>YESME6145006493700</t>
  </si>
  <si>
    <t>IMPS/SOUMEN MUKHERJEE/XXX4401/RRN:614561758165/HDFC BANK</t>
  </si>
  <si>
    <t>TI-240720265TINTAX 26072400204205
  TO 60425114191
 TRANSFER TO 60425114191
 TO Central Govt Taxes</t>
  </si>
  <si>
    <t>YIB-NEFT-YESME61990050224-Vishwajeet-UBIN0567370-Salary-UNION BANK OF INDIA</t>
  </si>
  <si>
    <t>YBP6145548463885</t>
  </si>
  <si>
    <t>YESME6199005022400</t>
  </si>
  <si>
    <t>TDS Deposited</t>
  </si>
  <si>
    <t>YIB-NEFT-YESME61990049147-Sanjay Kumar-UBIN0567370-Salary-UNION BANK OF INDIA</t>
  </si>
  <si>
    <t>YESME6199004914700</t>
  </si>
  <si>
    <t>NEFT Cr-HDFC0000001-AMIT JAIN-LEKH RAJ BAJAJ-HDFCH01014071313</t>
  </si>
  <si>
    <t>NEFT MAHBN12026080660921711 Dwarkadhis Projects Pv
 YESB0000455</t>
  </si>
  <si>
    <t>YES0N6144267025900</t>
  </si>
  <si>
    <t>NEFT YESBN12026080605637878 DWARKADHIS PROJECTS PV
 YESB0000001</t>
  </si>
  <si>
    <t>YIB-NEFT-YESME61350053692-Dwarkadhis Projects Pvt Ltd-MAHB0001347-free-BANK OF MAHARASHTRA</t>
  </si>
  <si>
    <t>YIB-NEFT-YESME61990050223-Ram Kishan-SBIN0005699-Contractor-STATE BANK OF INDIA</t>
  </si>
  <si>
    <t>YESME6135005369200</t>
  </si>
  <si>
    <t>YESME6199005022300</t>
  </si>
  <si>
    <t>YIB-TPT-DWARKADHIS PROJECTS PRIVATE LIMITED -rera-045563200000377</t>
  </si>
  <si>
    <t>NEFT YESBN12026080605654633 DWARKADHIS PROJECTS PR
 YESB0000001</t>
  </si>
  <si>
    <t>YIB-NEFT-YESME61990050222-Sahil-HDFC0000168-Salary-HDFC BANK</t>
  </si>
  <si>
    <t>YESME6199005022200</t>
  </si>
  <si>
    <t>NEFT Cr-ICIC0SF0002-NEELKANT GUMMALLA-DWARKADHIS PROJECTS PRIVA-IN12613337484665</t>
  </si>
  <si>
    <t>YES0N6133148954500</t>
  </si>
  <si>
    <t>NEFT YESBN12026080605656809 DWARKADHIS PROJECTS PV
 YESB0000001</t>
  </si>
  <si>
    <t xml:space="preserve">For TDS </t>
  </si>
  <si>
    <t>IMPS/NA/XXXX7234/RRN:619961125590/PC421336836917248/STATE BANK OF I/Vishal Kumar/Salary</t>
  </si>
  <si>
    <t>YESI66199007788700</t>
  </si>
  <si>
    <t>NEFT Cr-ICIC0SF0002-SANJAY YADAV-DWARKADHIS PROJECTS PRIVA-IN12613337433200</t>
  </si>
  <si>
    <t>YES0N6133120028900</t>
  </si>
  <si>
    <t>TI-060820265TINTAX 26080600677402
  TO 60425114191
 TRANSFER TO 60425114191
 TO Central Govt Taxes</t>
  </si>
  <si>
    <t>YIB-NEFT-YESME61990050220-Maya Choudhary-SBIN0003508-Salary-STATE BANK OF INDIA</t>
  </si>
  <si>
    <t>YESME6199005022000</t>
  </si>
  <si>
    <t>YIB-TPT-DWARKADHIS PROJECTS PRIVATE LIMITED -Rera-045563200000377</t>
  </si>
  <si>
    <t>YIB-NEFT-YESME61990050219-Surendra Singh-PUNB0130400-Salary-PUNJAB NATIONAL BANK</t>
  </si>
  <si>
    <t>YIB-NEFT-YESME61310089187-Dwarkadhis Projects Pvt Ltd-MAHB0001347-free-BANK OF MAHARASHTRA</t>
  </si>
  <si>
    <t>YESME6199005021900</t>
  </si>
  <si>
    <t>YESME6131008918700</t>
  </si>
  <si>
    <t>NEFT MAHBN12026081461866783 Dwarkadhis Projects Pv
 YESB0000455</t>
  </si>
  <si>
    <t>CHQ DEP HDB 11-MAY-26 SOHNA ROAD</t>
  </si>
  <si>
    <t>YIB-NEFT-YESME61990049144-Amar jeet-SBIN0005699-Salary-STATE BANK OF INDIA</t>
  </si>
  <si>
    <t>YESME6199004914400</t>
  </si>
  <si>
    <t>NEFT YESBN12026081405908904 DWARKADHIS PROJECTS PR
 YESB0000001</t>
  </si>
  <si>
    <t>NEFT YESBN12026081405908903 DWARKADHIS PROJECTS PR
 YESB0000001</t>
  </si>
  <si>
    <t>YIB-NEFT-YESME61940058191-RK Traders-UTIB0002967-Vendor-AXIS BANK</t>
  </si>
  <si>
    <t>YESME6194005819100</t>
  </si>
  <si>
    <t>NEFT YESBN12026081405911135 DWARKADHIS PROJECTS PV
 YESB0000001</t>
  </si>
  <si>
    <t>YIB-NEFT-YESME61290036856-Dwarkadhis Projects Pvt Ltd-MAHB0001347-free-BANK OF MAHARASHTRA</t>
  </si>
  <si>
    <t>YESME6129003685600</t>
  </si>
  <si>
    <t>YIB-NEFT-YESME61940058192-DWARKADHIS PROJECTS PVT LTD-MAHB0001461-for epf esi payment-BANK OF MAHARASHTRA9675</t>
  </si>
  <si>
    <t>YESME6194005819200</t>
  </si>
  <si>
    <t>NEFT YESBN12026081405911134 DWARKADHIS PROJECTS PV
 YESB0000001</t>
  </si>
  <si>
    <t>YIB-NEFT-YESME61290036857-Dwarkadhis Projects Pvt Ltd-MAHB0001347-free-BANK OF MAHARASHTRA</t>
  </si>
  <si>
    <t>YESME6129003685700</t>
  </si>
  <si>
    <t>EPFO PAYMENT, TRRN :2608101350806
  TO 60417258123
 TRANSFER TO 60417258123
 TO EMPLOYEES PROVIDENT FUND ORGANISATION</t>
  </si>
  <si>
    <t>YIB-NEFT-YESME61940057226-UNIQUE TRADING-HDFC0001719-Vendor-HDFC BANK</t>
  </si>
  <si>
    <t>YESME6194005722600</t>
  </si>
  <si>
    <t>NEFT Cr-HDFC0000001-MEENAKSHI VIJH-DWARKADHIS PROJECTS PRIVA-HDFCH00987859519</t>
  </si>
  <si>
    <t>YES0N6129706992200</t>
  </si>
  <si>
    <t>YIB-TPT-DWARKADHIS PROJECTS PVT LTD IN CIRP ARAVALI HEIGHTS IDW-Internal-045563400002457</t>
  </si>
  <si>
    <t>YESME6232003605500</t>
  </si>
  <si>
    <t>ONLINE esi DBOM9JT1SW9P8Z
  TO 60037971586
 TRANSFER TO 60037971586
 TO BILLDESK</t>
  </si>
  <si>
    <t>M-104</t>
  </si>
  <si>
    <t>YIB-NEFT-YESME61940058190-OM Steela-HDFC0005460-Vendor-HDFC BANK</t>
  </si>
  <si>
    <t>YESME6194005819000</t>
  </si>
  <si>
    <t>YIB-TPT-DWARKADHIS PROJECTS PVT LTD IN CIRP ARAVALI HEIGHTS IDW-internal-045563400002457</t>
  </si>
  <si>
    <t>YESME6226004933600</t>
  </si>
  <si>
    <t>RTGS Cr-HDFC0000240-VANDANA KHULLAR-Dwarkadhis Projects Pvt L-HDFCR52026050755329048</t>
  </si>
  <si>
    <t>YES0R6127821868200</t>
  </si>
  <si>
    <t>ONLINE esi DBOMI911SWA1CR
  TO 60037971586
 TRANSFER TO 60037971586
 TO BILLDESK</t>
  </si>
  <si>
    <t>NEFT YESBN12026082006044494 DWARKADHIS PROJECTS PV
 YESB0000001</t>
  </si>
  <si>
    <t>YIB-NEFT-YESME61270067154-Dwarkadhis Projects Pvt Ltd-MAHB0001347-master to free-BANK OF MAHARASHTRA</t>
  </si>
  <si>
    <t>YESME6127006715400</t>
  </si>
  <si>
    <t>GS-200820265GSTTAX 26080600211704
  TO 60285510225
 TRANSFER TO 60285510225
 TO BANK OF MAHARASHTRA GST POOL ACCOUNT</t>
  </si>
  <si>
    <t>YIB-NEFT-YESME61920046199-Vahid-PUNB0116410-Contractor-PUNJAB NATIONAL BANK</t>
  </si>
  <si>
    <t>YESME6192004619900</t>
  </si>
  <si>
    <t>YIB-TPT-DWARKADHIS PROJECTS PRIVATE LIMITED -master to rera-045563200000377</t>
  </si>
  <si>
    <t>GST Payment</t>
  </si>
  <si>
    <t>UPI/621877840538/From:rishi13.3.71@okicici/To:045563400002314@yesb0000455.ifsc.npci/UPI</t>
  </si>
  <si>
    <t>YBS6218198040882</t>
  </si>
  <si>
    <t>NEFT Cr-UTIB0000056-MRIGANKA CHAKRABORTY-Dwarkadhis projects priva-AXOMB12702121165</t>
  </si>
  <si>
    <t>YES0N6127480565900</t>
  </si>
  <si>
    <t>YIB-NEFT-YESME61920046198-Ram Chand Yadav-CNRB0006479-Contractor-CANARA BANK</t>
  </si>
  <si>
    <t>YESME6192004619800</t>
  </si>
  <si>
    <t>YIB-NEFT-YESME62180057386-DWARKADHIS PROJECTS PVT LTD-MAHB0001461-for TDS Pay-BANK OF MAHARASHTRA</t>
  </si>
  <si>
    <t>YESME6218005738600</t>
  </si>
  <si>
    <t>IMPS/AMITKUMAR/XXX3986/RRN:612622675562/AXIS BANK</t>
  </si>
  <si>
    <t>YBP6126526592015</t>
  </si>
  <si>
    <t>YIB-NEFT-YESME61920044349-Manmati Yadav-CNRB0006479-Contractor-CANARA BANK</t>
  </si>
  <si>
    <t>YESME6192004434900</t>
  </si>
  <si>
    <t>YESME6218005815500</t>
  </si>
  <si>
    <t>YIB-NEFT-YESME61920046196-Mukesh Kumar-KVBL0004201-Contractor-KARUR VYSYA BANK</t>
  </si>
  <si>
    <t>YESME6192004619600</t>
  </si>
  <si>
    <t>YIB-RTGS-YESBR12026073000038000-Pradeep Kumar Dagar-BARB0TRDUJW-Cancellation D5 135-BANK OF BARODA</t>
  </si>
  <si>
    <t>YESME6211004590600</t>
  </si>
  <si>
    <t>Cancellation</t>
  </si>
  <si>
    <t>Cust Cancellation</t>
  </si>
  <si>
    <t>?</t>
  </si>
  <si>
    <t>YIB-NEFT-YESME61260055675-Dwarkadhis Projects Pvt Ltd-MAHB0001347-master to free-BANK OF MAHARASHTRA</t>
  </si>
  <si>
    <t>YESME6126005567500</t>
  </si>
  <si>
    <t>YIB-NEFT-YESME61920046194-Mohammad Khalil-SBIN0008152-Contractor-STATE BANK OF INDIA</t>
  </si>
  <si>
    <t>YESME6192004619400</t>
  </si>
  <si>
    <t>RTGS Cr-HDFC0003648-POOJA JAIN-DWARKADHIS PROJECTS PVT L-HDFCR52026073089824655</t>
  </si>
  <si>
    <t>YES0R6211026900200</t>
  </si>
  <si>
    <t>NEFT Cr-KVBL0002101-RAHULENTERPRISES-dwarkadhis projects priva-KVBLH00260858988</t>
  </si>
  <si>
    <t>YES0N6126325320200</t>
  </si>
  <si>
    <t>YIB-NEFT-YESME61920046195-Nasim-SBIN0014231-Contractor-STATE BANK OF INDIA</t>
  </si>
  <si>
    <t>YIB-RTGS-YESBR12026072800026644-Vinod Malik-SBIN0017891-Cancellation D2 025-STATE BANK OF INDIA</t>
  </si>
  <si>
    <t>YESME6192004619500</t>
  </si>
  <si>
    <t>YESME6209001720100</t>
  </si>
  <si>
    <t>NEFT Cr-HDFC0000001-RAJIV PAWAR-Dwarkadhis projectsPvt Lt-HDFCH00976823057</t>
  </si>
  <si>
    <t>YES0N6125253064400</t>
  </si>
  <si>
    <t>YESME6209001673100</t>
  </si>
  <si>
    <t>R-032</t>
  </si>
  <si>
    <t>YIB-NEFT-YESME61920044348-Rakiba BIBI-SBIN0007204-Contractor-STATE BANK OF INDIA</t>
  </si>
  <si>
    <t>YESME6192004434800</t>
  </si>
  <si>
    <t>CHQ DEP PNB 23-JUL-26 SOHNA ROAD</t>
  </si>
  <si>
    <t>D2-025</t>
  </si>
  <si>
    <t>YIB-NEFT-YESME61250067517-Dwarkadhis Projects Pvt Ltd-MAHB0001347-free-BANK OF MAHARASHTRA</t>
  </si>
  <si>
    <t>YESME6125006751700</t>
  </si>
  <si>
    <t>YIB-NEFT-YESME62020022059-Sarika Dua-HDFC0000250-Customer-HDFC BANK</t>
  </si>
  <si>
    <t>YESME6202002205900</t>
  </si>
  <si>
    <t>YIB-NEFT-YESME61920044345-Ravi Vats-UBIN0567370-Imprest-UNION BANK OF INDIA</t>
  </si>
  <si>
    <t>YESME6192004434500</t>
  </si>
  <si>
    <t>YIB-NEFT-YESME61920046192-Lalan Yadav-FDRL0002158-Contractor-FEDERAL BANK</t>
  </si>
  <si>
    <t>YESME6192004619200</t>
  </si>
  <si>
    <t>NEFT Cr-IDFB0080151-Mr. Jayant Raitani-DWARKADHIS PROJECTS PRIVA-IDFB612581820432</t>
  </si>
  <si>
    <t>YESME6202001955300</t>
  </si>
  <si>
    <t>YES0N6125224390600</t>
  </si>
  <si>
    <t>YIB-NEFT-YESME61990053132-Kavita-PUNB0112100-Customer D6 126-PUNJAB NATIONAL BANK</t>
  </si>
  <si>
    <t>YIB-NEFT-YESME61920044346-MKA Decorator-CBIN0283490-Contractor-CENTRAL BANK OF INDIA</t>
  </si>
  <si>
    <t>YESME6199005313200</t>
  </si>
  <si>
    <t>YESME6192004434600</t>
  </si>
  <si>
    <t>NEFT Cr-HDFC0000001-MANISH ANAND-DWARKADHIS PROJECTS PRIVA-HDFCH00975369665</t>
  </si>
  <si>
    <t>YES0N6125222905300</t>
  </si>
  <si>
    <t>Refund</t>
  </si>
  <si>
    <t>D6-126</t>
  </si>
  <si>
    <t>Refund Against Excess Collection</t>
  </si>
  <si>
    <t>IMPS/VIDYA DEVI/XXX7419/RRN:612514851842/STATE BANK OF INDIA</t>
  </si>
  <si>
    <t>YBP6125524781537</t>
  </si>
  <si>
    <t>YIB-NEFT-YESME61990046841-Investors Clinic Infratech Pvt Ltd-UTIB0006298-Cancellation D6 126-AXIS BANK</t>
  </si>
  <si>
    <t>YESME6199004684100</t>
  </si>
  <si>
    <t>YIB-NEFT-YESME61920044344-Sahun-BARB0TIJARA-Contractor-BANK OF BARODA</t>
  </si>
  <si>
    <t>YESME6192004434400</t>
  </si>
  <si>
    <t>NEFT Cr-ICIC0SF0002-POONAM KAUR-DWARKADHIS PROJECTS PRIVA-IN12612536214211</t>
  </si>
  <si>
    <t>YES0N6125218081200</t>
  </si>
  <si>
    <t>YIB-NEFT-YESME61920030515-Rakesh Kumar-SBIN0005699-Settlement Amount-STATE BANK OF INDIA</t>
  </si>
  <si>
    <t>YESME6192003051500</t>
  </si>
  <si>
    <t>B5-123,C2-076,C4-105,D2-091,D3-125       10K / Unit Brokerage Settlement Amount</t>
  </si>
  <si>
    <t>CHQ DEP PNB 09-JUL-26 SOHNA ROAD</t>
  </si>
  <si>
    <t>YIB-NEFT-YESME61910074872-Star tools and Machinery-HDFC0005460-Vendor-HDFC BANK</t>
  </si>
  <si>
    <t>YESME6191007487200</t>
  </si>
  <si>
    <t>RTGS Cr-ICIC0001629-ANIL KUMAR-DWARKADHIS PROJECTS PVT L-ICICR12026062511392469</t>
  </si>
  <si>
    <t xml:space="preserve">YES0R6176939035600                      </t>
  </si>
  <si>
    <t>YIB-NEFT-YESME61900062435-Sharma Paints-PUNB0166500-Vendor-PUNJAB NATIONAL BANK</t>
  </si>
  <si>
    <t>YESME6190006243500</t>
  </si>
  <si>
    <t>YIB-TPT-DWARKADHIS PROJECTS PVT LTD IN CIRP ARAVALI HEIGHTS IDW-tfr-045563400002457</t>
  </si>
  <si>
    <t xml:space="preserve">YESME6174004040900                      </t>
  </si>
  <si>
    <t xml:space="preserve">YESME6173005891200                      </t>
  </si>
  <si>
    <t>YIB-NEFT-YESME61900062434-Star tools and Machinery-HDFC0005460-Vendor-HDFC BANK</t>
  </si>
  <si>
    <t>YESME6190006243400</t>
  </si>
  <si>
    <t>NEFT Cr-SCBL0036001-PARVATHY KALESHBABU ANITH-DWARKADHIS PROJECTS PVT L-SCBLH12500698872</t>
  </si>
  <si>
    <t>YES0N6125215887400</t>
  </si>
  <si>
    <t>RTGS Cr-HDFC0003871-SARIKA DUA-DWARKADHIS PROJECTS PVT L-HDFCR52026062273724735</t>
  </si>
  <si>
    <t xml:space="preserve">YES0R6173930732200                      </t>
  </si>
  <si>
    <t>M-048</t>
  </si>
  <si>
    <t>YIB-NEFT-YESME61900061377-Nasim-SBIN0014231-Contractor-STATE BANK OF INDIA</t>
  </si>
  <si>
    <t>YESME6190006137700</t>
  </si>
  <si>
    <t>IMPS/NA/XXXX8159/RRN:623289391977/PC453184720725065/STATE BANK OF I/Sapna/For Electricity Meter D2 25</t>
  </si>
  <si>
    <t>YESI66232006882600</t>
  </si>
  <si>
    <t xml:space="preserve">YESME6171003575700                      </t>
  </si>
  <si>
    <t>NEFT Cr-HDFC0000001-MUKESH KIRAR-DWARKADHIS PROJECTS PRIVA-HDFCH00974466038</t>
  </si>
  <si>
    <t>YES0N6125205498100</t>
  </si>
  <si>
    <t>Meter Charges</t>
  </si>
  <si>
    <t>M-122</t>
  </si>
  <si>
    <t>YIB-NEFT-YESME61900061376-Ravi Vats-UBIN0567370-imprest-UNION BANK OF INDIA</t>
  </si>
  <si>
    <t>YESME6190006137600</t>
  </si>
  <si>
    <t>YIB-NEFT-YESME61710035756-Yashvir Singh Balhara-KKBK0000259-Professional-KOTAK MAHINDRA BANK LIMITED</t>
  </si>
  <si>
    <t xml:space="preserve">YESME6171003575600                      </t>
  </si>
  <si>
    <t>IMPS/RISHI BHATIA/XXX8877/RRN:612511403468/ICICI BANK LIMITED</t>
  </si>
  <si>
    <t>YBP6125524539844</t>
  </si>
  <si>
    <t>YIB-NEFT-YESME62320044350-Aravali Height Resident Walfare Association-ICIC0001629-For Electricty Metre A2 102-ICICI BANK</t>
  </si>
  <si>
    <t>YESME6232004435000</t>
  </si>
  <si>
    <t>YIB-NEFT-YESME61870062449-Rakiba BIBI-SBIN0007204-Contractor-STATE BANK OF INDIA</t>
  </si>
  <si>
    <t>YESME6187006244900</t>
  </si>
  <si>
    <t>A2-102</t>
  </si>
  <si>
    <t>YIB-NEFT-YESME61660061288-Investors Clinic Infratech Pvt Ltd-UTIB000 6298-Cancellation D6 126-AXIS BANK</t>
  </si>
  <si>
    <t>UPI/012216184317/From:9811295007@ybl/To:045563200000264@YESB0000455.ifsc.npci/Payment from PhonePe</t>
  </si>
  <si>
    <t>YBS6125352149073</t>
  </si>
  <si>
    <t>YIB-TPT-DWARKADHIS PROJECTS PVT LTD IN CIRP ARAVALI HEIGHT-045563400002314</t>
  </si>
  <si>
    <t>YIB-NEFT-YESME61870061869-DWARKADHIS PROJECTS PVT LTD-MAHB0001461-for tds-BANK OF MAHARASHTRABOM9675</t>
  </si>
  <si>
    <t>YESME6187006186900</t>
  </si>
  <si>
    <t>YIB-NEFT-YESME61660064170-Vinod Malik-SBIN0017891-Cancellation D2 025-STATE BANK OF INDIA</t>
  </si>
  <si>
    <t>IMPS/NA/XXXX0527/RRN:622685346843/PC447946368941012/STATE BANK OF I/Diksha Sharma/Imprest</t>
  </si>
  <si>
    <t>YESI66226008971200</t>
  </si>
  <si>
    <t>IMPS/RENUYADAV/XXX2338/RRN:612421139258/</t>
  </si>
  <si>
    <t>YBP6124524037717</t>
  </si>
  <si>
    <t>TDS Deposit</t>
  </si>
  <si>
    <t>YIB-NEFT-YESME61850064653-Lalan Yadav-FDRL0002158-contractor-FEDERAL BANK</t>
  </si>
  <si>
    <t>YESME6185006465300</t>
  </si>
  <si>
    <t>IMPS/ABHIJIT SHARMA/XXX2427/RRN:612420388589/ICICI BANK LIMITED</t>
  </si>
  <si>
    <t>YBP6124523960708</t>
  </si>
  <si>
    <t>YIB-RTGS-YESBR12026061500049637-Vinod Malik-SBIN0017891-Cancellation D2 025-STATE BANK OF INDIA</t>
  </si>
  <si>
    <t>YESBR12026061500049637</t>
  </si>
  <si>
    <t>YIB-NEFT-YESME62200027012-Goel Electricals-HDFC0005460-Vendor-HDFC BANK</t>
  </si>
  <si>
    <t>YESME6220002701200</t>
  </si>
  <si>
    <t>YIB-NEFT-YESME61850063630-Ram Chand Yadav-CNRB0006479-contractor-CANARA BANK</t>
  </si>
  <si>
    <t>YESME6185006363000</t>
  </si>
  <si>
    <t>YIB-NEFT-YESME61240075684-Dwarkadhis Projects Pvt Ltd-MAHB0001347-tfr-BANK OF MAHARASHTRA</t>
  </si>
  <si>
    <t>YESME6124007568400</t>
  </si>
  <si>
    <t>YIB-TPT-DWARKADHIS PROJECTS PVT LTD IN CIRP CASA ROMANA FREE-tfr-045563400002477</t>
  </si>
  <si>
    <t>YESME6220001807900</t>
  </si>
  <si>
    <t>YIB-NEFT-YESME61850064652-MKA Decorator-CBIN0283490-contractor-CENTRAL BANK OF INDIA</t>
  </si>
  <si>
    <t>YESME6185006465200</t>
  </si>
  <si>
    <t>YIB-TPT-DWARKADHIS PROJECTS PRIVATE LIMITED -Tfr-045563200000377</t>
  </si>
  <si>
    <t>YIB-NEFT-YESME61640024703-Vivek Saini-ICIC0000029-Cancellation B3 033-ICICI BANK LIMITED</t>
  </si>
  <si>
    <t>YESME6164002470300</t>
  </si>
  <si>
    <t>B3-033</t>
  </si>
  <si>
    <t>YIB-NEFT-YESME61850064651-Mukesh Kumar-KVBL0004201-contractor-KARUR VYSYA BANK</t>
  </si>
  <si>
    <t>YESME6185006465100</t>
  </si>
  <si>
    <t>UPI/246706528903/From:mandeep.dhaka1234@ybl/To:045563400002314@YESB0000455.ifsc.npci/Payment from PhonePe</t>
  </si>
  <si>
    <t>YBS6156637482112</t>
  </si>
  <si>
    <t>YIB-NEFT-YESME61240075683-Dwarkadhis Projects Pvt Ltd-MAHB0001347-Tfr-BANK OF MAHARASHTRA</t>
  </si>
  <si>
    <t>YESME6124007568300</t>
  </si>
  <si>
    <t>YIB-TPT-DWARKADHIS PROJECTS PVT LTD IN CIRP ARAVALI HEIGHTS-Internal-045563400002314</t>
  </si>
  <si>
    <t>UPI/638541808707/From:mandeep.dhaka1234@ybl/To:045563400002314@YESB0000455.ifsc.npci/Payment from PhonePe</t>
  </si>
  <si>
    <t>YBS6156637395790</t>
  </si>
  <si>
    <t>YIB-NEFT-YESME61850063629-Nasim-SBIN0014231-Contractor-STATE BANK OF INDIA</t>
  </si>
  <si>
    <t>YESME6185006362900</t>
  </si>
  <si>
    <t>IMPS/ARAVALI MAINTENANCE SERVICES PRIVATE LIMITED/XXX1000/RRN:620912348711/AXIS BANK</t>
  </si>
  <si>
    <t>YBP6209631362044</t>
  </si>
  <si>
    <t>UPI/615600270055/From:anil.mind2367-1@okicici/To:045563400002314@yesb0000455.ifsc.npci/UPI</t>
  </si>
  <si>
    <t>YIB-NEFT-YESME61850063628-Mohammad Khalil-SBIN0008152-contractor-STATE BANK OF INDIA</t>
  </si>
  <si>
    <t>YBS6156637363532</t>
  </si>
  <si>
    <t>YESME6185006362800</t>
  </si>
  <si>
    <t>RTGS Cr-ICIC0001629-ANIL KUMAR-DWARKADHIS PROJECTS PVT L-ICICR12026060511071643</t>
  </si>
  <si>
    <t>YES0R6156892328200</t>
  </si>
  <si>
    <t>NEFT Cr-SBIN0000107-ARUN INTERNATIONAL-Dwarkadhis Projects Pvt L-SBIN126124709726</t>
  </si>
  <si>
    <t>YES0N6124133632700</t>
  </si>
  <si>
    <t>IMPS/NA/XXXX9675/RRN:618748887784/PC408545856194489/BANK OF MAHARAS/Dwarkadhis Projects Pvt Ltd/For TDSBOM9675</t>
  </si>
  <si>
    <t>YESI66187010622500</t>
  </si>
  <si>
    <t>YIB-NEFT-YESME61850064650-Sahun-BARB0TIJARA-Contractor-BANK OF BARODA</t>
  </si>
  <si>
    <t>YESME6185006465000</t>
  </si>
  <si>
    <t>M-011</t>
  </si>
  <si>
    <t>UPI/652066622923/From:anil.mind2367-1@okicici/To:045563400002314@yesb0000455.ifsc.npci/UPI</t>
  </si>
  <si>
    <t>YBS6154618035605</t>
  </si>
  <si>
    <t>IMPS/MANISHAAHUJA/XXX6587/RRN:612417800348/AXIS BANK</t>
  </si>
  <si>
    <t>YBP6124523745064</t>
  </si>
  <si>
    <t>YIB-NEFT-YESME61820074606-S S Paints-HDFC0001977-Vendor-HDFC BANK</t>
  </si>
  <si>
    <t>YESME6182007460600</t>
  </si>
  <si>
    <t>YIB-NEFT-YESME61850057030-Choudhary Enterprises-IDIB000D618-Vendor-INDIAN BANK</t>
  </si>
  <si>
    <t>YESME6185005703000</t>
  </si>
  <si>
    <t>UPI/652050619570/From:anil.mind2367-1@okicici/To:045563400002314@yesb0000455.ifsc.npci/UPI</t>
  </si>
  <si>
    <t>UPI/652050619570</t>
  </si>
  <si>
    <t>UPI/549332112391/From:madaankanwalnain@ybl/To:045563200000264@YESB0000455.ifsc.npci/Payment from PhonePe</t>
  </si>
  <si>
    <t>YBS6124345043983</t>
  </si>
  <si>
    <t>YIB-NEFT-YESME61850055672-Manmati Yadav-CNRB0006479-Contractor-CANARA BANK</t>
  </si>
  <si>
    <t>YESME6185005567200</t>
  </si>
  <si>
    <t>YIB-NEFT-YESME61740041072-S S Paints-HDFC0001977-Vendor-HDFC BANK</t>
  </si>
  <si>
    <t>YESME6174004107200</t>
  </si>
  <si>
    <t>YIB-NEFT-YESME61240036870-Dwarkadhis Projects Pvt Ltd-MAHB0001347-master to free-BANK OF MAHARASHTRA</t>
  </si>
  <si>
    <t>YESME6124003687000</t>
  </si>
  <si>
    <t>YIB-NEFT-YESME61430025185-DWARKADHIS PROJECTS PVT LTD-MAHB0001461-tfr-BANK OF MAHARASHTRA</t>
  </si>
  <si>
    <t>YESME6143002518500</t>
  </si>
  <si>
    <t>YESME6174004040900</t>
  </si>
  <si>
    <t>YIB-NEFT-YESME61420064555-DWARKADHIS PROJECTS PVT LTD-MAHB0001461-tfr-BANK OF MAHARASHTRA</t>
  </si>
  <si>
    <t>YESME6142006455500</t>
  </si>
  <si>
    <t>YIB-NEFT-YESME61730059650-Goel Electricals-HDFC0005460-Vendor-HDFC BANK</t>
  </si>
  <si>
    <t xml:space="preserve">YESME6173005965000                      </t>
  </si>
  <si>
    <t>YIB-NEFT-YESME61840070259-A N Filling Station-ICIC0003494-Vendor-ICICI BANK LIMITED</t>
  </si>
  <si>
    <t>YESME6184007025900</t>
  </si>
  <si>
    <t>YIB-NEFT-YESME61730060812-Prayag Polymers Limited-KKBK0000214-Vendor-KOTAK MAHINDRA BANK LIMITED</t>
  </si>
  <si>
    <t xml:space="preserve">YESME6173006081200                      </t>
  </si>
  <si>
    <t>YIB-NEFT-YESME61420063364-HDFC Bank Ltd-HDFC0000128-imprest-HDFC BANK</t>
  </si>
  <si>
    <t>YESME6142006336400</t>
  </si>
  <si>
    <t>NET0876P6G64U</t>
  </si>
  <si>
    <t>Credit Card Repaymnt</t>
  </si>
  <si>
    <t>CHQ DEP ICI 21-MAY-26 DHARUHERA</t>
  </si>
  <si>
    <t>IMPS/ANJANJEET SINGH DHAL/XXX5487/RRN:612413379205/ICICI BANK LIMITED</t>
  </si>
  <si>
    <t>YBP6124523511202</t>
  </si>
  <si>
    <t>YIB-NEFT-YESME61820066761-S S Paints-HDFC0001977-Vendor-HDFC BANK</t>
  </si>
  <si>
    <t>YESME6182006676100</t>
  </si>
  <si>
    <t>YIB-NEFT-YESME61400030234-Rajesh Sharma-HDFC0000422-Kotak Bank court fees-HDFC BANK</t>
  </si>
  <si>
    <t>YESME6140003023400</t>
  </si>
  <si>
    <t>Court Fees</t>
  </si>
  <si>
    <t>YIB-NEFT-YESME61350058811-Aravali Height Resident Walfare-ICIC0001629-electricity metre B5 123 D2 91-ICICI BANK LIMITED</t>
  </si>
  <si>
    <t>YESME6135005881100</t>
  </si>
  <si>
    <t>NEFT Cr-HDFC0000001-GAURAV KHANNA-Dwarkadhis Projects Pvt L-HDFCH00971730334</t>
  </si>
  <si>
    <t>YES0N6124089373100</t>
  </si>
  <si>
    <t>YIB-NEFT-YESME61820066760-New Delhi Doaba Carriers-HDFC0007044-Vendor-HDFC BANK</t>
  </si>
  <si>
    <t>YESME6182006676000</t>
  </si>
  <si>
    <t>B5-123 &amp; D2-91</t>
  </si>
  <si>
    <t>YIB-NEFT-YESME61690043785-SN Ltd-BARB0MAYVIH-Vendor-BANK OF BARODA</t>
  </si>
  <si>
    <t>YESME6169004378500</t>
  </si>
  <si>
    <t>Freight Charges Faridabad Birla Hill to Casa Romana</t>
  </si>
  <si>
    <t>IMPS/NA/XXXX9498/RRN:613364558395/PC360062514078961/HDFC BANK/S S Paints/SS PAINTS Vendor</t>
  </si>
  <si>
    <t>YESI66133011305800</t>
  </si>
  <si>
    <t>YIB-NEFT-YESME61690029449-Aravali Height Resident Walfare Association-ICIC0001629-electricity metre B5 001-ICICI BANK LI</t>
  </si>
  <si>
    <t>YESME6169002944900</t>
  </si>
  <si>
    <t>NEFT Cr-SBIN0018624-Avnish Singh-DWARKADHIS PROJECTS PRIVA-SBIN526124699869</t>
  </si>
  <si>
    <t>YES0N6124087174100</t>
  </si>
  <si>
    <t>B5-001</t>
  </si>
  <si>
    <t>YIB-NEFT-YESME61330067645-Aravali Height Resident Walfare-ICIC0001629-B5 123-ICICI BANK LIMITED</t>
  </si>
  <si>
    <t>YESME6133006764500</t>
  </si>
  <si>
    <t>YESME6169003112100</t>
  </si>
  <si>
    <t>B5-123</t>
  </si>
  <si>
    <t>IMPS/Mrs BHAVNA MAHIPAL/XXX6701/RRN:612409234572/</t>
  </si>
  <si>
    <t>YBP6124523217873</t>
  </si>
  <si>
    <t>NEFT Cr-ICIC0SF0002-PANKAJ SINGH SISHODIA-DWARKADHIS PROJECTS PVT L-IN12613337481354</t>
  </si>
  <si>
    <t>YES0N6133146467500</t>
  </si>
  <si>
    <t>YESME6168002968500</t>
  </si>
  <si>
    <t>YIB-NEFT-YESME61800053936-Mittal Hardware Store-HDFC0005460-Vendor-HDFC BANK</t>
  </si>
  <si>
    <t>YESME6180005393600</t>
  </si>
  <si>
    <t>NEFT Cr-ICIC0SF0002-RAJEEV SAINI-DWARKADHIS PROJECTS PRIVA-IN12612335808459</t>
  </si>
  <si>
    <t>YES0N6123018532500</t>
  </si>
  <si>
    <t>NEFT Cr-ICIC0SF0002-PANKAJ SINGH SISHODIA-DWARKADHIS PROJECTS PVT L-IN12613237379226</t>
  </si>
  <si>
    <t>YES0N6132045412200</t>
  </si>
  <si>
    <t>YIB-NEFT-YESME61620064305-Ravi Vats-UBIN0567370-Imprest-UNION BANK OF INDIA</t>
  </si>
  <si>
    <t>YESME6162006430500</t>
  </si>
  <si>
    <t>YIB-NEFT-YESME61780079194-MKA Decorator-CBIN0283490-Contractor-CENTRAL BANK OF INDIA</t>
  </si>
  <si>
    <t>YESME6178007919400</t>
  </si>
  <si>
    <t>YIB-NEFT-YESME61600066654-DK Plywood Pvt Ltd-PUNB0399300-Vendor-PUNJAB NATIONAL BANK</t>
  </si>
  <si>
    <t>YESME6160006665400</t>
  </si>
  <si>
    <t>IMPS/NA/XXXX7347/RRN:613061368268/PC3568558198815736/UNION BANK OF INDIA/Ravi Vats/Ravi Imprest</t>
  </si>
  <si>
    <t>YESI66130000958000</t>
  </si>
  <si>
    <t>IMPS/ARUNABH SINGH/XXX8847/RRN:612356555078/HDFC BANK</t>
  </si>
  <si>
    <t>YBP6123522466104</t>
  </si>
  <si>
    <t>Imprest for Site Expenses</t>
  </si>
  <si>
    <t>YIB-NEFT-YESME61780079195-Ram Chand Yadav-CNRB0006479-Contractor-CANARA BANK</t>
  </si>
  <si>
    <t>YESME6178007919500</t>
  </si>
  <si>
    <t>YIB-NEFT-YESME61580007065-Rajesh Kumar-HDFC0005460-Contractor-HDFC BANK</t>
  </si>
  <si>
    <t>YESME6158000706500</t>
  </si>
  <si>
    <t>YIB-NEFT-YESME61300003790-Puneet Interior-BARB0PATAUD-vendor-BANK OF BARODA</t>
  </si>
  <si>
    <t>YESME6130000379000</t>
  </si>
  <si>
    <t>IMPS/ARUNABH SINGH/XXX8847/RRN:612356553788/HDFC BANK</t>
  </si>
  <si>
    <t>YBP6123522463504</t>
  </si>
  <si>
    <t>YIB-NEFT-YESME61780079196-Nasim-SBIN0014231-Contractor-STATE BANK OF INDIA</t>
  </si>
  <si>
    <t>YESME6178007919600</t>
  </si>
  <si>
    <t>YESME6145006593800</t>
  </si>
  <si>
    <t>S-074</t>
  </si>
  <si>
    <t>IMPS/NA/XXXX2463/RRN:612860021202/PC3560117103185421/AU SMALL FINANCE BANK LIMITED/Smart Industrial Solution/Smart Indus</t>
  </si>
  <si>
    <t>YESI66128008931000</t>
  </si>
  <si>
    <t>YIB-NEFT-YESME61780079193-Ravi Vats-UBIN0567370-imprest-UNION BANK OF INDIA</t>
  </si>
  <si>
    <t>YESME6178007919300</t>
  </si>
  <si>
    <r>
      <rPr>
        <rFont val="Arial MT"/>
        <color theme="1"/>
        <sz val="9.0"/>
      </rPr>
      <t>B/F ...</t>
    </r>
  </si>
  <si>
    <t>IMPS/MOHINDER SINGH/XXX7409/RRN:612312618510/PUNJAB NATIONA L BANK</t>
  </si>
  <si>
    <t>YBP6123522318063</t>
  </si>
  <si>
    <t>RTGS Cr-PUNB0333300-RAJESH KUMAR S O SH JEET -DWARKADHIS PROJECTS PVT L-PUNBR52026050816958796</t>
  </si>
  <si>
    <t>YES0R6128823113200</t>
  </si>
  <si>
    <t>D2-091</t>
  </si>
  <si>
    <t>YIB-NEFT-YESME61780079192-Rakiba BIBI-SBIN0007204-Contractor-STATE BANK OF INDIA</t>
  </si>
  <si>
    <t>YESME6178007919200</t>
  </si>
  <si>
    <t>YIB-NEFT-YESME61270066605-Sajjan Kumar-HDFC0001720-Cancellation C4 105-HDFC BANK</t>
  </si>
  <si>
    <t>YESME6127006660500</t>
  </si>
  <si>
    <t>RTGS Cr-HDFC0000240-REKHA YADAV-Dwarkadhis Projects Pvt L-HDFCR52026050253222896</t>
  </si>
  <si>
    <t>YES0R6122809392700</t>
  </si>
  <si>
    <t>C4-105</t>
  </si>
  <si>
    <t>u-12A4</t>
  </si>
  <si>
    <t>YIB-NEFT-YESME61780079191-Lalan Yadav-FDRL0002158-Contractor-FEDERAL BANK</t>
  </si>
  <si>
    <t>YESME6178007919100</t>
  </si>
  <si>
    <t>YIB-NEFT-YESME61270066604-Puneet Interior-BARB0PATAUD-vendor-BANK OF BARODA</t>
  </si>
  <si>
    <t>YESME6127006660400</t>
  </si>
  <si>
    <t>NEFT Cr-HDFC0000001-AMIT JAIN-LEKH RAJ BAJAJ-HDFCH00969165420</t>
  </si>
  <si>
    <t>YES0N6122906279800</t>
  </si>
  <si>
    <t>YIB-TPT-Archna Bhargava-Cancellation D2 091-006699300000730</t>
  </si>
  <si>
    <t>YESME6126002385400</t>
  </si>
  <si>
    <t>YIB-NEFT-YESME61780077574-Manmati Yadav-CNRB0006479-Contractor-CANARA BANK</t>
  </si>
  <si>
    <t>YESME6178007757400</t>
  </si>
  <si>
    <t>YIB-RTGS-YESBR12026050500031950-Pankaj Garg-HDFC0002549-Cancellation-HDFC BANK</t>
  </si>
  <si>
    <t>YESME6125003360800</t>
  </si>
  <si>
    <t>YIB-NEFT-YESME61780077573-Heera Lal-SBIN0007052-Contractor-STATE BANK OF INDIA</t>
  </si>
  <si>
    <t>YESME6178007757300</t>
  </si>
  <si>
    <t>YIB-NEFT-YESME61210024718-Dwarkadhis Projects Pvt Ltd-MAHB0001347-free-BANK OF MAHARASHTRA</t>
  </si>
  <si>
    <t>YESME6121002471800</t>
  </si>
  <si>
    <t>YIB-NEFT-YESME61240042484-Sharad Sinha-SBIN0001690-Cancellation C2 76-STATE BANK OF INDIA</t>
  </si>
  <si>
    <t>YESME6124004248400</t>
  </si>
  <si>
    <t>C2-076</t>
  </si>
  <si>
    <t>IMPS/NA/XXXX8134/RRN:612052502214/PC3486441193943772/BANK OF BARODA/Sanjay Kumar/vendor</t>
  </si>
  <si>
    <t>YESI66120010409600</t>
  </si>
  <si>
    <t>NEFT Cr-UTIB0000057-ANKIT NAHAR-DWARKADHIS PROJECTS PRIVA-AXOMB12002169813</t>
  </si>
  <si>
    <t>YES0N6120724074300</t>
  </si>
  <si>
    <t>CHQ DEP PNB 30-APR-26 SOHNA ROAD</t>
  </si>
  <si>
    <t>YIB-NEFT-YESME61200068905-Dwarkadhis Projects Pvt Ltd-MAHB0001347-free-BANK OF MAHARASHTRA</t>
  </si>
  <si>
    <t>YESME6120006890500</t>
  </si>
  <si>
    <t>YIB-NEFT-YESME61770041045-The Fire Wala-UTIB0004373-Vendor-AXIS BANK</t>
  </si>
  <si>
    <t>YESME6177004104500</t>
  </si>
  <si>
    <t>YIB-NEFT-YESME61190044167-Chunna Kumar-UBIN0824780-Vendor-UNION BANK OF INDIA</t>
  </si>
  <si>
    <t>YESME6119004416700</t>
  </si>
  <si>
    <t>Yes Master 264</t>
  </si>
  <si>
    <t>Yes Rera 377</t>
  </si>
  <si>
    <t>Yes IDW 490</t>
  </si>
  <si>
    <t>YIB-NEFT-YESME61180036247-Darmodarapatrini praveen-SBIN0070623-refund TDS Amount B5 123-STATE BANK OF INDIA</t>
  </si>
  <si>
    <t>Yes Free 2477</t>
  </si>
  <si>
    <t>YESME6118003624700</t>
  </si>
  <si>
    <t>IMPS/NA/XXXX9241/RRN:617435957808/PC396683862567141/KARUR VYSYA BAN/Mukesh Kumar/Contractor</t>
  </si>
  <si>
    <t>Bom Free 905</t>
  </si>
  <si>
    <t>YESI66174007214900</t>
  </si>
  <si>
    <t>Bom Free 675</t>
  </si>
  <si>
    <t>Yes AH IDW 2457</t>
  </si>
  <si>
    <t>Yes AH Master 2314</t>
  </si>
  <si>
    <t>RTGS Cr-PUNB0333300-RAJESH KUMAR S O SH JEET -DWARKADHIS PROJECTS PVT L-PUNBR52026042716413710</t>
  </si>
  <si>
    <t>YES0R6117793632800</t>
  </si>
  <si>
    <t>YESME6115003157900</t>
  </si>
  <si>
    <t>YIB-NEFT-YESME61200067896-Dwarkadhis Projects Pvt Ltd-MAHB0001347-free-BANK OF MAHARASHTRA</t>
  </si>
  <si>
    <t>YESME6120006789600</t>
  </si>
  <si>
    <t>Dev- Infra</t>
  </si>
  <si>
    <t>YIB-NEFT-YESME61740052599-UNIQUE TRADING-HDFC0001719-Vendor-HDFC BANK</t>
  </si>
  <si>
    <t>YESME6174005259900</t>
  </si>
  <si>
    <t>YIB-RTGS-YESBR12026042300036988-DWARKADHIS PROJECTS PRIVATE LIMITED -MAHB0001347-tfr-BANK OF MAHARASHTRA</t>
  </si>
  <si>
    <t>YESME6113003657100</t>
  </si>
  <si>
    <t>NEFT Cr-CNRB0002040-GIAN SINGH-DWARKADHIS PROJECTS PRIVA-CNRBH00128466789</t>
  </si>
  <si>
    <t>YES0N6120698227200</t>
  </si>
  <si>
    <t>YIB-NEFT-YESME61130036570-DWARKADHIS PROJECTS PRIVATE LIMITED -MAHB0001347-for tds payment-BANK OF MAHARASHTRA</t>
  </si>
  <si>
    <t>YESME6113003657000</t>
  </si>
  <si>
    <t>SUM of DEBITS</t>
  </si>
  <si>
    <t>YIB-NEFT-YESME61100039424-Diksha Sharma-SBIN0050104-imprest-STATE BANK OF INDIA</t>
  </si>
  <si>
    <t>SUM of CREDITS</t>
  </si>
  <si>
    <t>YESME6110003942400</t>
  </si>
  <si>
    <t>IMPS/HARSH SHARMA/XXX0354/RRN:612012532133/ICICI BANK LIMITED</t>
  </si>
  <si>
    <t>YBP6120518950260</t>
  </si>
  <si>
    <t>YIB-RTGS-YESBR12026042000041867-DWARKADHIS PROJECTS PRIVATE LIMITED -MAHB0001347-tfr-BANK OF MAHARASHTRA</t>
  </si>
  <si>
    <t>YESME6110003942300</t>
  </si>
  <si>
    <t>S-093</t>
  </si>
  <si>
    <t>YIB-NEFT-YESME61100037360-Aravali Height Resident Walfare-ICIC0001629-Maintenence D3 125-ICICI BANK LIMITED</t>
  </si>
  <si>
    <t>YESME6110003736000</t>
  </si>
  <si>
    <t>YIB-TPT-DWARKADHIS PROJECTS PRIVATE LIMITED -NEFT-045563200000377</t>
  </si>
  <si>
    <t>D3-125</t>
  </si>
  <si>
    <t>YIB-NEFT-YESME61080020827-DWARKADHIS PROJECTS PRIVATE LIMITED -MAHB0001347-tfr-BANK OF MAHARASHTRA</t>
  </si>
  <si>
    <t>YESME6108002082700</t>
  </si>
  <si>
    <t>YIB-NEFT-YESME61170073002-Dwarkadhis Projects Pvt Ltd-MAHB0001347-NEFT-BANK OF MAHARASHTRA</t>
  </si>
  <si>
    <t>YESME6117007300200</t>
  </si>
  <si>
    <t>YIB-NEFT-YESME61080020826-Anila Bhatia Cheema-UTIB0003537-Cancellation D3 125-AXIS BANK</t>
  </si>
  <si>
    <t>YESME6108002082600</t>
  </si>
  <si>
    <t>YIB-NEFT-YESME61740052598-PNH POWER CONTROL-HDFC0003706-Contractor-HDFC BANK</t>
  </si>
  <si>
    <t>YESME6174005259800</t>
  </si>
  <si>
    <t>NEFT Cr-HDFC0000001-VIJAY YADAV-Dwarkadhis projects pvt l-HDFCH00956185725</t>
  </si>
  <si>
    <t>YES0N6117353029000</t>
  </si>
  <si>
    <t>YIB-RTGS-YESBR12026041600032429-DWARKADHIS PROJECTS PRIVATE LIMITED -MAHB0001347-tfr-BANK OF MAHARASHTRA</t>
  </si>
  <si>
    <t>YESME6106002475200</t>
  </si>
  <si>
    <t>YIB-NEFT-YESME61120021663-Dwarkadhis Projects Pvt Ltd-MAHB0001347-tfr-BANK OF MAHARASHTRA</t>
  </si>
  <si>
    <t>YESME6112002166300</t>
  </si>
  <si>
    <t>YIB-RTGS-YESBR12026041500036274-DWARKADHIS PROJECTS PRIVATE LIMITED -MAHB0001347-tfr-BANK OF MAHARASHTRA</t>
  </si>
  <si>
    <t>YESME6105003365600</t>
  </si>
  <si>
    <t>YIB-NEFT-YESME61730060782-Mittal Hardware Store-HDFC0005460-Vendor-HDFC BANK</t>
  </si>
  <si>
    <t xml:space="preserve">YESME6173006078200                      </t>
  </si>
  <si>
    <t>YIB-NEFT-YESME61040031391-Aravali Height Resident Walfare-ICIC0001629-vendor-ICICI BANK LIMITED</t>
  </si>
  <si>
    <t>YESME6104003139100</t>
  </si>
  <si>
    <t>A1-43 &amp; A1-44 &amp; D3-125</t>
  </si>
  <si>
    <t xml:space="preserve">Meter Charges 3 Flat No: </t>
  </si>
  <si>
    <t>IMPS/REUBEN MUKHERJEE U/G SOUMEN MUKHERJEE/XXX9384/RRN:611050868977/HDFC BANK</t>
  </si>
  <si>
    <t>YBP6110507670093</t>
  </si>
  <si>
    <t>YIB-NEFT-YESME61040031390-DWARKADHIS PROJECTS PRIVATE LIMITED -MAHB0001347-int-BANK OF MAHARASHTRA</t>
  </si>
  <si>
    <t>YESME6104003139000</t>
  </si>
  <si>
    <t>YIB-NEFT-YESME61710047927-Rakiba BIBI-SBIN0007204-contractor-STATE BANK OF INDIA</t>
  </si>
  <si>
    <t xml:space="preserve">YESME6171004792700                      </t>
  </si>
  <si>
    <t>M_Mar26_SBOX_ypbsm000006435_37002065</t>
  </si>
  <si>
    <t>SCREF01282977797</t>
  </si>
  <si>
    <t>YIB-NEFT-YESME61010028078-DWARKADHIS PROJECTS PRIVATE LIMITED -MAHB0001347-tfr-BANK OF MAHARASHTRA</t>
  </si>
  <si>
    <t>YESME6101002807800</t>
  </si>
  <si>
    <t xml:space="preserve">Bank Charges </t>
  </si>
  <si>
    <t>Grand Total</t>
  </si>
  <si>
    <t>YIB-NEFT-YESME61710049883-Lalan Yadav-FDRL0002158-Contractor-FEDERAL BANK</t>
  </si>
  <si>
    <t xml:space="preserve">YESME6171004988300                      </t>
  </si>
  <si>
    <t>YIB-NEFT-YESME61000055987-Alvia Ahmed-HDFC0000503-prof-HDFC BANK</t>
  </si>
  <si>
    <t>YESME6100005598700</t>
  </si>
  <si>
    <t>GST on Bank Charges</t>
  </si>
  <si>
    <t>YIB-NEFT-YESME61710049882-Mohammad Khalil-SBIN0008152-contractor-STATE BANK OF INDIA</t>
  </si>
  <si>
    <t>NEFT Cr-SBIN0016019-Mr ILLA RAMESH BABU-Dwarakadhis projects pvt -SBIN426097851085</t>
  </si>
  <si>
    <r>
      <rPr>
        <rFont val="Arial MT"/>
        <color theme="1"/>
        <sz val="9.0"/>
      </rPr>
      <t>B/F ...</t>
    </r>
  </si>
  <si>
    <t>YES0N6097196206900</t>
  </si>
  <si>
    <t xml:space="preserve">YESME6171004988200                      </t>
  </si>
  <si>
    <t>YIB-NEFT-YESME60960055269-DWARKADHIS PROJECTS PRIVATE LIMITED -MAHB0001347-int-BANK OF MAHARASHTRA</t>
  </si>
  <si>
    <t>YESME6096005526900</t>
  </si>
  <si>
    <t>YIB-NEFT-YESME61710049881-Om Prakash-UBIN0907359-tfr-UNION BANK OF INDIA</t>
  </si>
  <si>
    <t xml:space="preserve">YESME6171004988100                      </t>
  </si>
  <si>
    <t>RTGS Cr-SBIN0016019-Mr ILLA RAMESH BABU-Dwarakadhis projects pvt -SBINR12026040623175053</t>
  </si>
  <si>
    <t>YES0R6096743377500</t>
  </si>
  <si>
    <t>YIB-NEFT-YESME61710049880-Ram Chand Yadav-CNRB0006479-Contractor-CANARA BANK</t>
  </si>
  <si>
    <t xml:space="preserve">YESME6171004988000                      </t>
  </si>
  <si>
    <t>NEFT Cr-SBIN0070623-DAMODARA PATRUNI PRAVEEN-Dwarkadhis Project Pvt Lt-SBIN326096421515</t>
  </si>
  <si>
    <t>YES0N6096087710100</t>
  </si>
  <si>
    <t>Construction</t>
  </si>
  <si>
    <t>YIB-NEFT-YESME61710047925-Ravi Vats-UBIN0567370-imprest-UNION BANK OF INDIA</t>
  </si>
  <si>
    <t>IMPS/NA/XXXX6905/RRN:609499021382/PC3254552235968449/BANK OF MAHARASHTRA/DWARKADHIS PROJECTS PRIVATE LIMITED/tfr</t>
  </si>
  <si>
    <t xml:space="preserve">YESME6171004792500                      </t>
  </si>
  <si>
    <t>YESI66094009112600</t>
  </si>
  <si>
    <t>NEFT Cr-SBIN0016019-Mr ILLA RAMESH BABU-Dwarakadhis projects pvt -SBIN126093175037</t>
  </si>
  <si>
    <t>YES0N6093798734100</t>
  </si>
  <si>
    <t>YIB-NEFT-YESME61710047924-Nasim-SBIN0014231-Contractor-STATE BANK OF INDIA</t>
  </si>
  <si>
    <t xml:space="preserve">YESME6171004792400                      </t>
  </si>
  <si>
    <r>
      <rPr>
        <rFont val="Arial MT"/>
        <color theme="1"/>
        <sz val="9.0"/>
      </rPr>
      <t>B/F ...</t>
    </r>
  </si>
  <si>
    <t>YIB-NEFT-YESME61710047923-MKA Decorator-CBIN0283490-contractor-CENTRAL BANK OF INDIA</t>
  </si>
  <si>
    <t xml:space="preserve">YESME6171004792300                      </t>
  </si>
  <si>
    <t>YIB-NEFT-YESME61710047615-Manmati Yadav-CNRB0006479-Contractor-CANARA BANK</t>
  </si>
  <si>
    <t xml:space="preserve">YESME6171004761500                      </t>
  </si>
  <si>
    <t>HO - Advert/ Mkt</t>
  </si>
  <si>
    <t>YIB-NEFT-YESME61700057278-Naveen Yadav-HDFC0001977-Contractor-HDFC BANK</t>
  </si>
  <si>
    <t xml:space="preserve">YESME6170005727800                      </t>
  </si>
  <si>
    <t>Total</t>
  </si>
  <si>
    <t xml:space="preserve">This is Due to TDS Deposited by CR of AH. </t>
  </si>
  <si>
    <t>YIB-RTGS-YESBR12026061800038695 DWARKADHIS PROJECTS PVT LTD MAHB0001461- DHBVN- Payment-BANK OF MAHARASHTRA9675</t>
  </si>
  <si>
    <t>YESBR12026061800038695</t>
  </si>
  <si>
    <t>EDC/ IDC</t>
  </si>
  <si>
    <t>Electricity Bill month of April 26 &amp; May 26</t>
  </si>
  <si>
    <t>Land Payment</t>
  </si>
  <si>
    <t>BENEFICIARY NAME</t>
  </si>
  <si>
    <t>Head 1</t>
  </si>
  <si>
    <t>Head 2</t>
  </si>
  <si>
    <t>Head 3</t>
  </si>
  <si>
    <t>ACCOUNT NUMBER</t>
  </si>
  <si>
    <t>IFSC CODE</t>
  </si>
  <si>
    <t>BANK NAME</t>
  </si>
  <si>
    <t>Company</t>
  </si>
  <si>
    <t>EXEN CHEM</t>
  </si>
  <si>
    <t>KKBK0000208</t>
  </si>
  <si>
    <t>Kotak Mahindra Bank</t>
  </si>
  <si>
    <t>MASTER NABIUL MIAH</t>
  </si>
  <si>
    <t>CBIN0282919</t>
  </si>
  <si>
    <t>Central Bank of India</t>
  </si>
  <si>
    <t>MKA DECORATOR</t>
  </si>
  <si>
    <t>CBIN0283490</t>
  </si>
  <si>
    <t>MODERN ELECTRICAL AND SWITCHGEARS COMPANY</t>
  </si>
  <si>
    <t>CBIN0283648</t>
  </si>
  <si>
    <t>CENTRAL BANK OF INDIA</t>
  </si>
  <si>
    <t>AMB</t>
  </si>
  <si>
    <t>NAIYA RANI</t>
  </si>
  <si>
    <t>Commission</t>
  </si>
  <si>
    <t>KKBK0000275</t>
  </si>
  <si>
    <t>BALAJI MESH TECH INDIA</t>
  </si>
  <si>
    <t>KKBK0000213</t>
  </si>
  <si>
    <t>SS MEDIA ADVERTISING COMPANY</t>
  </si>
  <si>
    <t>Central Bank of india</t>
  </si>
  <si>
    <t>YIB-NEFT-YESME61680041747-PNH POWER CONTROL-HDFC0003706-Vendor-HDFC BANK</t>
  </si>
  <si>
    <t>JYOTI</t>
  </si>
  <si>
    <t>IDIB000D618</t>
  </si>
  <si>
    <t>Indian Bank</t>
  </si>
  <si>
    <t>ADV TARUN RANGA</t>
  </si>
  <si>
    <t>IDFB0021351</t>
  </si>
  <si>
    <t>IDFC First Bank</t>
  </si>
  <si>
    <t>RAJ TYRES</t>
  </si>
  <si>
    <t>IDFB0020129</t>
  </si>
  <si>
    <t>IDFC FIRST</t>
  </si>
  <si>
    <t>RAJ KUMARI DEVI</t>
  </si>
  <si>
    <t>IDFB0020149</t>
  </si>
  <si>
    <t>MUKESH CHAND SHARMA</t>
  </si>
  <si>
    <t>SBIN0005699</t>
  </si>
  <si>
    <t>Electrical Work for Tower- S</t>
  </si>
  <si>
    <t>State bank of India</t>
  </si>
  <si>
    <t>NAJIMUL HOQUE</t>
  </si>
  <si>
    <t>FINO0000001</t>
  </si>
  <si>
    <t>Fino Payments Bank</t>
  </si>
  <si>
    <t>MANJAY KUMAR</t>
  </si>
  <si>
    <t>FINO0001060</t>
  </si>
  <si>
    <t>HEMANT MISHR</t>
  </si>
  <si>
    <t>No effect</t>
  </si>
  <si>
    <t>FIN00001060</t>
  </si>
  <si>
    <t>SUDHEES BABU</t>
  </si>
  <si>
    <t>FINO0001157</t>
  </si>
  <si>
    <t>Fino Bank</t>
  </si>
  <si>
    <t>POOJA</t>
  </si>
  <si>
    <t>Paytm Bank</t>
  </si>
  <si>
    <t>SANTOSH MANDAL</t>
  </si>
  <si>
    <t>BHARAT SINGH</t>
  </si>
  <si>
    <t>Salary-Site</t>
  </si>
  <si>
    <t>? (Loan Repayment )</t>
  </si>
  <si>
    <t>SHUBHAM ADVERTISING</t>
  </si>
  <si>
    <t>ICIC0000225</t>
  </si>
  <si>
    <t>ICICI Bank Ltd</t>
  </si>
  <si>
    <t>SUSHIL YADAV</t>
  </si>
  <si>
    <t>SBIN0001077</t>
  </si>
  <si>
    <t>ADITYA VIKRAM BHARDWAJ</t>
  </si>
  <si>
    <t>ICIC0000330</t>
  </si>
  <si>
    <t>ICIC Bank</t>
  </si>
  <si>
    <t>PRADEEP RANA AND ASSOCIATES</t>
  </si>
  <si>
    <t>ICIC0000331</t>
  </si>
  <si>
    <t>DR CHANDAN SINGH</t>
  </si>
  <si>
    <t>MKT/ADVER</t>
  </si>
  <si>
    <t>SBI 0016240</t>
  </si>
  <si>
    <t>PROMILA</t>
  </si>
  <si>
    <t>SBIN0011949</t>
  </si>
  <si>
    <t>SPS FINANCE ADVISORY</t>
  </si>
  <si>
    <t>SBIN0004040</t>
  </si>
  <si>
    <t>ANKIT KUMAR PANDEY</t>
  </si>
  <si>
    <t>SBIN0008959</t>
  </si>
  <si>
    <t>RAM KISHAN</t>
  </si>
  <si>
    <t>YIB-NEFT-YESME61660073158-Balram Mishara-SBIN0015698-Salary-STATE BANK OF INDIA</t>
  </si>
  <si>
    <t>State Bank of India</t>
  </si>
  <si>
    <t>PUNITA DEVI</t>
  </si>
  <si>
    <t>SBIN0007052</t>
  </si>
  <si>
    <t>State Bank Of India</t>
  </si>
  <si>
    <t>HARYANA JAGRITI FUEL</t>
  </si>
  <si>
    <t>AMAR JEET</t>
  </si>
  <si>
    <t>SEDARAM</t>
  </si>
  <si>
    <t>SBIN0032045</t>
  </si>
  <si>
    <t>AKASH KUMAR JHA</t>
  </si>
  <si>
    <t>Stipend</t>
  </si>
  <si>
    <t>SBIN0010650</t>
  </si>
  <si>
    <t>HEERA LAL</t>
  </si>
  <si>
    <t>SHARAD JAIN AND CO</t>
  </si>
  <si>
    <t>SBIN0007407</t>
  </si>
  <si>
    <t>KHUSHBOO</t>
  </si>
  <si>
    <t>Salary-HO</t>
  </si>
  <si>
    <t>SUMAN DIGITAL STUDIO</t>
  </si>
  <si>
    <t>IDIB000B790</t>
  </si>
  <si>
    <t>Gamut Infosystems Limited</t>
  </si>
  <si>
    <t>IDIB000M567</t>
  </si>
  <si>
    <t>INDIAN BANK</t>
  </si>
  <si>
    <t>DAUPHIN GALAXY</t>
  </si>
  <si>
    <t>IDIB000S746</t>
  </si>
  <si>
    <t>R K ENTERPRISE</t>
  </si>
  <si>
    <t>IDIB000B700</t>
  </si>
  <si>
    <t>TARUN DEV TANWER</t>
  </si>
  <si>
    <t>IDIB000T529</t>
  </si>
  <si>
    <t>NASIM</t>
  </si>
  <si>
    <t>SBIN0014231</t>
  </si>
  <si>
    <t>DEEPAK SINGH SAINI</t>
  </si>
  <si>
    <t>SBIN0050306</t>
  </si>
  <si>
    <t>RAVI MOHAN BHARDWAJ</t>
  </si>
  <si>
    <t>MAHBH0001788</t>
  </si>
  <si>
    <t>Bank Of Maharashtra</t>
  </si>
  <si>
    <t>YIB-NEFT-YESME61660070669-Jyoti-IDIB000D618-Salary-INDIAN BANK</t>
  </si>
  <si>
    <t>SETHPAL SINGH/SUNITA</t>
  </si>
  <si>
    <t>YASHVIR SINGH BALHARA</t>
  </si>
  <si>
    <t>MAHB0001485</t>
  </si>
  <si>
    <t>Mank Of Maharashtra</t>
  </si>
  <si>
    <t>Legal &amp; Proff.</t>
  </si>
  <si>
    <t>GURU NANAK STATIONERY</t>
  </si>
  <si>
    <t>SBIN0016474</t>
  </si>
  <si>
    <t>STATE BANK OF INDIA</t>
  </si>
  <si>
    <t>KKBK0000259</t>
  </si>
  <si>
    <t>ARATI SHARMA</t>
  </si>
  <si>
    <t>SBIN0050104</t>
  </si>
  <si>
    <t>SUSHANT PATTNAIK INNOVATIONS LLP</t>
  </si>
  <si>
    <t>ASHISH GAUR</t>
  </si>
  <si>
    <t>HSBC0560002</t>
  </si>
  <si>
    <t>HSBC</t>
  </si>
  <si>
    <t>SUNDER SINGH</t>
  </si>
  <si>
    <t>INDB0000412</t>
  </si>
  <si>
    <t>INDUSIND BANK LTD</t>
  </si>
  <si>
    <t>DRONACHARYA EVENTS</t>
  </si>
  <si>
    <t>ICIC0001025</t>
  </si>
  <si>
    <t>ICICI Bank</t>
  </si>
  <si>
    <t>DARA PATEL</t>
  </si>
  <si>
    <t>CNRB0006638</t>
  </si>
  <si>
    <t>Canara Bank</t>
  </si>
  <si>
    <t>RAKESH RANJAN TIWARY</t>
  </si>
  <si>
    <t>CNBR0018907</t>
  </si>
  <si>
    <t>RAMS CONTIFY ELECTRONICS PVT LTD</t>
  </si>
  <si>
    <t>ICIC0001138</t>
  </si>
  <si>
    <t>RAHUL RAWAT</t>
  </si>
  <si>
    <t>ICIC0001353</t>
  </si>
  <si>
    <t>ALPHA ADS SERVICES</t>
  </si>
  <si>
    <t>INDB0000031</t>
  </si>
  <si>
    <t>Reversed</t>
  </si>
  <si>
    <t>Induslnd Bank</t>
  </si>
  <si>
    <t>DEVI SINGH</t>
  </si>
  <si>
    <t>RATN0000106</t>
  </si>
  <si>
    <t>THE RATNAKAR BANK LTD,</t>
  </si>
  <si>
    <t>NAVEEN</t>
  </si>
  <si>
    <t>RATN0000114</t>
  </si>
  <si>
    <t>RBL Bank</t>
  </si>
  <si>
    <t>CAVIAR TECHNOLOGIES PVT LTD</t>
  </si>
  <si>
    <t>ICIC0003489</t>
  </si>
  <si>
    <t>CHITRANSHUL ARYAN SINHA</t>
  </si>
  <si>
    <t>ICIC0004294</t>
  </si>
  <si>
    <t>AJAY</t>
  </si>
  <si>
    <t>NSPB0000002</t>
  </si>
  <si>
    <t>NSDL Payments Bank</t>
  </si>
  <si>
    <t>DEEPAK SINGH</t>
  </si>
  <si>
    <t>ICIC0006592</t>
  </si>
  <si>
    <t>MUKESH MISHTHAN BHANDAR</t>
  </si>
  <si>
    <t>ICIC0006705</t>
  </si>
  <si>
    <t>SHREE KAMAL GRANITES</t>
  </si>
  <si>
    <t>ICIC0007725</t>
  </si>
  <si>
    <t>YIB-NEFT-YESME61660070668-Sanjay Kumar-UBIN0567370-Salary-UNION BANK OF INDIA</t>
  </si>
  <si>
    <t>NEERAJ KAUSHIK</t>
  </si>
  <si>
    <t>Refundable Security</t>
  </si>
  <si>
    <t>HDFC0000168</t>
  </si>
  <si>
    <t>HDFC Bank Ltd</t>
  </si>
  <si>
    <t>SHEESHRAM YADAV</t>
  </si>
  <si>
    <t>Office Rent</t>
  </si>
  <si>
    <t>HDFC0000176</t>
  </si>
  <si>
    <t>HDFC Bank</t>
  </si>
  <si>
    <t>CEILING IMPEX PV LTD</t>
  </si>
  <si>
    <t>KKBK0000205</t>
  </si>
  <si>
    <t>Kotak Bank</t>
  </si>
  <si>
    <t>VG PROJECTS</t>
  </si>
  <si>
    <t>HDFC0000924</t>
  </si>
  <si>
    <t>GAUD TENT HOUSE AND DECORATION CENTRE</t>
  </si>
  <si>
    <t>CNRB0002822</t>
  </si>
  <si>
    <t>ATMAST FACILITY MANAGEMENT PVT LTD</t>
  </si>
  <si>
    <t>YESB0000034</t>
  </si>
  <si>
    <t>Yes Bank</t>
  </si>
  <si>
    <t>SAURABH JAIN</t>
  </si>
  <si>
    <t>HDFC0000587</t>
  </si>
  <si>
    <t>HDFC</t>
  </si>
  <si>
    <t>CHIRANJI LAL</t>
  </si>
  <si>
    <t>HDFC0000589</t>
  </si>
  <si>
    <t>RAVINDER KUMAR</t>
  </si>
  <si>
    <t>CNRB0002948</t>
  </si>
  <si>
    <t>PAWAN BANSAL</t>
  </si>
  <si>
    <t>HDFC0000929</t>
  </si>
  <si>
    <t>VAHID</t>
  </si>
  <si>
    <t>PUNB0116410</t>
  </si>
  <si>
    <t>Punjab National Bank</t>
  </si>
  <si>
    <t>BABU RAM THAPA</t>
  </si>
  <si>
    <t>PUNB0123710</t>
  </si>
  <si>
    <t>SR TRADERS</t>
  </si>
  <si>
    <t>FDRL0001355</t>
  </si>
  <si>
    <t>Federol Bank</t>
  </si>
  <si>
    <t>RAJPAL YADAV</t>
  </si>
  <si>
    <t>HDFC0003848</t>
  </si>
  <si>
    <t>GAUTAM TANEJA</t>
  </si>
  <si>
    <t>BARB0TRDNAW</t>
  </si>
  <si>
    <t>Bank of Baroda</t>
  </si>
  <si>
    <t>LALAN RAI</t>
  </si>
  <si>
    <t>BARB0INDBHI</t>
  </si>
  <si>
    <t>SAHUN</t>
  </si>
  <si>
    <t>BARB0TIJARA</t>
  </si>
  <si>
    <t>YIB-NEFT-YESME61660070666-Ram Kishan-SBIN0005699-tfr-STATE BANK OF INDIA</t>
  </si>
  <si>
    <t>SHRI RAM TRADERS</t>
  </si>
  <si>
    <t>IBKL0000038</t>
  </si>
  <si>
    <t>IDBI BANK</t>
  </si>
  <si>
    <t>DR SAUD ALAM</t>
  </si>
  <si>
    <t>HDFC0003444</t>
  </si>
  <si>
    <t>KANIKA MALHOTRA</t>
  </si>
  <si>
    <t>HDFC0004362</t>
  </si>
  <si>
    <t>HDFC BANK</t>
  </si>
  <si>
    <t>NEHA RANI</t>
  </si>
  <si>
    <t>HDFC0000597</t>
  </si>
  <si>
    <t>S.S ELECTRICAL</t>
  </si>
  <si>
    <t>HDFC0009119</t>
  </si>
  <si>
    <t>RAHUL SINGLA</t>
  </si>
  <si>
    <t>HDFC0000302</t>
  </si>
  <si>
    <t>NISHANT PANT</t>
  </si>
  <si>
    <t>HDFC0004113</t>
  </si>
  <si>
    <t>HARKESH YADAV</t>
  </si>
  <si>
    <t>HDFC0009025</t>
  </si>
  <si>
    <t>POOJA KUMARI</t>
  </si>
  <si>
    <t>HDFC0004466</t>
  </si>
  <si>
    <t>DEVENDER KUMAR</t>
  </si>
  <si>
    <t>BHOP SINGH</t>
  </si>
  <si>
    <t>HDFC0004145</t>
  </si>
  <si>
    <t>ZEKY ENTERPRISES PVT LTD</t>
  </si>
  <si>
    <t>HDFC0001098</t>
  </si>
  <si>
    <t>GREEN MAJRA NURSERY</t>
  </si>
  <si>
    <t>HDFC0002995</t>
  </si>
  <si>
    <t>GOEL ELECTRICALS</t>
  </si>
  <si>
    <t>HDFC0005460</t>
  </si>
  <si>
    <t>PNH POWER CONTROL</t>
  </si>
  <si>
    <t>HDFC0003706</t>
  </si>
  <si>
    <t>OLD RAO HOTEL</t>
  </si>
  <si>
    <t>HDFC0001977</t>
  </si>
  <si>
    <t>MANGLA PUSTAK BHANDAR</t>
  </si>
  <si>
    <t>HDFC0009113</t>
  </si>
  <si>
    <t>Y K ADVISORS</t>
  </si>
  <si>
    <t>YIB-NEFT-YESME61660073154-Rahul Kumar-PUNB0357200-Salary-PUNJAB NATIONAL BANK</t>
  </si>
  <si>
    <t>HDFC0003648</t>
  </si>
  <si>
    <t>YASH</t>
  </si>
  <si>
    <t>RAJESH KUMAR</t>
  </si>
  <si>
    <t>STAR BEVERAGE SYSTEM</t>
  </si>
  <si>
    <t>HDFC0000044</t>
  </si>
  <si>
    <t>STAR TOOLS AND MACHINERY</t>
  </si>
  <si>
    <t>RNV VENTURES</t>
  </si>
  <si>
    <t>CANPISCE AND CO.</t>
  </si>
  <si>
    <t>HDFC0000134</t>
  </si>
  <si>
    <t>TALFORCE SOLUTIONS PVT LTD</t>
  </si>
  <si>
    <t>HDFC0001717</t>
  </si>
  <si>
    <t>PINTU RAM</t>
  </si>
  <si>
    <t>ESMF0001692</t>
  </si>
  <si>
    <t>ESAF Small Finance Bank</t>
  </si>
  <si>
    <t>SAHIL YADAV</t>
  </si>
  <si>
    <t>BARB0PATAUD</t>
  </si>
  <si>
    <t>AAYUSH SINGLA</t>
  </si>
  <si>
    <t>UBIN0905585</t>
  </si>
  <si>
    <t>Union Bank Of India</t>
  </si>
  <si>
    <t>THE MEDIA LIMITED</t>
  </si>
  <si>
    <t>HDFC000003</t>
  </si>
  <si>
    <t>BAALI STEELS</t>
  </si>
  <si>
    <t>UBIN0907359</t>
  </si>
  <si>
    <t>Union Bank of India</t>
  </si>
  <si>
    <t>SANTOSH</t>
  </si>
  <si>
    <t>PUNB0HGB001</t>
  </si>
  <si>
    <t>BABLU SONI</t>
  </si>
  <si>
    <t>CNRB0018249</t>
  </si>
  <si>
    <t>NHP SALES CORPORATION</t>
  </si>
  <si>
    <t>ABHY0065049</t>
  </si>
  <si>
    <t>Abhyudaya Co-Op Bank Ltd</t>
  </si>
  <si>
    <t>SHIVA</t>
  </si>
  <si>
    <t>YIB-NEFT-YESME61660073155-Manjay Kumar-FINO0001060-Salary-FINO PAYMENTS BANK</t>
  </si>
  <si>
    <t>IOBA0002166</t>
  </si>
  <si>
    <t>Indian Overseas Bank</t>
  </si>
  <si>
    <t>SHER SINGH</t>
  </si>
  <si>
    <t>LAGHU UDYOG BHARTI</t>
  </si>
  <si>
    <t>PUNB0399300</t>
  </si>
  <si>
    <t>DEEPANKAJ</t>
  </si>
  <si>
    <t>UBIN0541907</t>
  </si>
  <si>
    <t>SHIV SHAKTI TYRES AND BATTERIES</t>
  </si>
  <si>
    <t>SIBL0000419</t>
  </si>
  <si>
    <t>South Indian Bank</t>
  </si>
  <si>
    <t>COLOR SPLASH</t>
  </si>
  <si>
    <t>UBIN054798</t>
  </si>
  <si>
    <t>PAYAL ENTERPRISES</t>
  </si>
  <si>
    <t>UNION BANK OF INDIA</t>
  </si>
  <si>
    <t>RS ENTERPRISES</t>
  </si>
  <si>
    <t>UBIN0551953</t>
  </si>
  <si>
    <t>VISHWAJEET</t>
  </si>
  <si>
    <t>UBIN0567370</t>
  </si>
  <si>
    <t>JATIN</t>
  </si>
  <si>
    <t>RAVI VATS</t>
  </si>
  <si>
    <t>VINAY PAL</t>
  </si>
  <si>
    <t>UBIN0914223</t>
  </si>
  <si>
    <t>OM PRAKASH</t>
  </si>
  <si>
    <t>MANGALAM CONSULTANTS</t>
  </si>
  <si>
    <t>BKID0006044</t>
  </si>
  <si>
    <t>YIB-NEFT-YESME61660073156-Surendra Singh-PUNB0130400-Salary-PUNJAB NATIONAL BANK</t>
  </si>
  <si>
    <t>Bank of India</t>
  </si>
  <si>
    <t>RAJEEV GARG</t>
  </si>
  <si>
    <t>PUNB0605800</t>
  </si>
  <si>
    <t>CHANDRABALA SINGH</t>
  </si>
  <si>
    <t>UBIN0565725</t>
  </si>
  <si>
    <t>RAM SHARAN</t>
  </si>
  <si>
    <t>BKID0007415</t>
  </si>
  <si>
    <t>DEEPAK YADAV</t>
  </si>
  <si>
    <t>IBKL0000773</t>
  </si>
  <si>
    <t>DEEPAK MISHRA</t>
  </si>
  <si>
    <t>PUNB0090700</t>
  </si>
  <si>
    <t>MANDEEP SINGH SHEORAN</t>
  </si>
  <si>
    <t>UTIB0001262</t>
  </si>
  <si>
    <t>AXis Bank Ltd</t>
  </si>
  <si>
    <t>NITI SINGH</t>
  </si>
  <si>
    <t>UTIB0000223</t>
  </si>
  <si>
    <t>AXis Bank</t>
  </si>
  <si>
    <t>RISHABH KAPOOR</t>
  </si>
  <si>
    <t>UTIB0000624</t>
  </si>
  <si>
    <t>HIMANSHU</t>
  </si>
  <si>
    <t>UTIB0005530</t>
  </si>
  <si>
    <t>PRANAV KUMAR</t>
  </si>
  <si>
    <t>UTIB0000007</t>
  </si>
  <si>
    <t>HARYANA SPUN PIPES</t>
  </si>
  <si>
    <t>UTIB0002967</t>
  </si>
  <si>
    <t>AXIS BANK</t>
  </si>
  <si>
    <t>TARUN KUMAR</t>
  </si>
  <si>
    <t>Axis Bank</t>
  </si>
  <si>
    <t>HDDJ AND EVENT</t>
  </si>
  <si>
    <t>UTIB0002002</t>
  </si>
  <si>
    <t>YIB-NEFT-YESME61660073151-Maya Choudhary-SBIN0003508-Salary-STATE BANK OF INDIA</t>
  </si>
  <si>
    <t>ARHAAM NURSERY</t>
  </si>
  <si>
    <t>UTIB0001470</t>
  </si>
  <si>
    <t>THE FIRE WALA</t>
  </si>
  <si>
    <t>UTIB0004373</t>
  </si>
  <si>
    <t>ARVIND</t>
  </si>
  <si>
    <t>AMCO SPECTRO AND MATERIAL TESTING LAB LLP</t>
  </si>
  <si>
    <t>UTIB0001810</t>
  </si>
  <si>
    <t>DHARMENDRA KUMAR</t>
  </si>
  <si>
    <t>Karur Vysya Bank</t>
  </si>
  <si>
    <t>MANISH KUMAR</t>
  </si>
  <si>
    <t>PUNB0456300</t>
  </si>
  <si>
    <t>RAJENDRA TANWAR</t>
  </si>
  <si>
    <t>040207318200190001</t>
  </si>
  <si>
    <t>CSBK0000402</t>
  </si>
  <si>
    <t>CSB Bank</t>
  </si>
  <si>
    <t>KIRAN SONI</t>
  </si>
  <si>
    <t>Bounce</t>
  </si>
  <si>
    <t>1126000100559721</t>
  </si>
  <si>
    <t>PUNB0170810</t>
  </si>
  <si>
    <t>BHAGWAN SINGH</t>
  </si>
  <si>
    <t>1304000100045507</t>
  </si>
  <si>
    <t>PUNB0130400</t>
  </si>
  <si>
    <t>SURENDRA SINGH</t>
  </si>
  <si>
    <t>1304000100058954</t>
  </si>
  <si>
    <t>LAKSHMI</t>
  </si>
  <si>
    <t>1304001700099767</t>
  </si>
  <si>
    <t>RAMABATI DEVI</t>
  </si>
  <si>
    <t>1553000100193468</t>
  </si>
  <si>
    <t>PUNB0155300</t>
  </si>
  <si>
    <t>RICHANK MALHOTRA</t>
  </si>
  <si>
    <t>1591104000073343</t>
  </si>
  <si>
    <t>IBKL0001591</t>
  </si>
  <si>
    <t>SHIVCHAND BAIRWA</t>
  </si>
  <si>
    <t>1679001700166435</t>
  </si>
  <si>
    <t>PUNB0167900</t>
  </si>
  <si>
    <t>JAGAT SINGH</t>
  </si>
  <si>
    <t>1711219216030234</t>
  </si>
  <si>
    <t>YIB-NEFT-YESME61660073153-Rajasthan Sanitarty and Hardware-HDFC0005460-Vendor-HDFC BANK</t>
  </si>
  <si>
    <t>AUBL0002192</t>
  </si>
  <si>
    <t>AU Small Finance Bank</t>
  </si>
  <si>
    <t>ANOP RAM</t>
  </si>
  <si>
    <t>2211219239700241</t>
  </si>
  <si>
    <t>S K FLEX</t>
  </si>
  <si>
    <t>2602219212361061</t>
  </si>
  <si>
    <t>AU Samll Fainance Bank</t>
  </si>
  <si>
    <t>DHARMCHAND</t>
  </si>
  <si>
    <t>3572000100001263</t>
  </si>
  <si>
    <t>PUNB0357200</t>
  </si>
  <si>
    <t>PUNJAB NATIONAL BANK</t>
  </si>
  <si>
    <t>VIKKAM</t>
  </si>
  <si>
    <t>3572001700038918</t>
  </si>
  <si>
    <t>SATISH</t>
  </si>
  <si>
    <t>3572001700041286</t>
  </si>
  <si>
    <t>BHAGWAN DAS</t>
  </si>
  <si>
    <t>3993000100052101</t>
  </si>
  <si>
    <t>BHUWAN CHANDER</t>
  </si>
  <si>
    <t>4101172000011465</t>
  </si>
  <si>
    <t>KVBL0004141</t>
  </si>
  <si>
    <t>MUKESH KUMAR</t>
  </si>
  <si>
    <t>4201115000019241</t>
  </si>
  <si>
    <t>KVBL0004201</t>
  </si>
  <si>
    <t>MITESH</t>
  </si>
  <si>
    <t>4503155000008974</t>
  </si>
  <si>
    <t>KVBL0004503</t>
  </si>
  <si>
    <t>KVB</t>
  </si>
  <si>
    <t>SANDEEP DAYMA</t>
  </si>
  <si>
    <t>9322500101640801</t>
  </si>
  <si>
    <t>KARB0000932</t>
  </si>
  <si>
    <t>KARNATAKA BANK LIMITED</t>
  </si>
  <si>
    <t>YIB-NEFT-YESME61660073152-Ajay-NSPB0000002-Salary-NSDL PAYMENTS BANK LIMITED</t>
  </si>
  <si>
    <t>YIB-NEFT-YESME61660073149-Sandeep Kumar-UBIN0567370-Salary-UNION BANK OF INDIA</t>
  </si>
  <si>
    <t>YIB-NEFT-YESME61660073148-Shiva-IOBA0002166-Salary-INDIAN OVERSEAS BANK</t>
  </si>
  <si>
    <t>YIB-NEFT-YESME61660073147-Ram Sharan-BKID0007415-Salary-BANK OF INDIA</t>
  </si>
  <si>
    <t>YIB-NEFT-YESME61660070664-Vishwajeet-UBIN0567370-Salary-UNION BANK OF INDIA</t>
  </si>
  <si>
    <t>YIB-NEFT-YESME61660070661-Babu Ram Thapa-PUNB0123710-Salary-PUNJAB NATIONAL BANK</t>
  </si>
  <si>
    <t>YIB-NEFT-YESME61660070660-Satish-PUNB0357200-Salary-PUNJAB NATIONAL BANK</t>
  </si>
  <si>
    <t>YIB-NEFT-YESME61660070662-Ravi Vats-UBIN0567370-Salary-UNION BANK OF INDIA</t>
  </si>
  <si>
    <t>YIB-NEFT-YESME61660070658-Amarjeet-SBIN0005699-Salary-STATE BANK OF INDIA</t>
  </si>
  <si>
    <t>YIB-NEFT-YESME61660073145-Devender Kumar-HDFC0003848-Salary-HDFC BANK</t>
  </si>
  <si>
    <t>IMPS/NA/XXXX0091/RRN:616698356024/PC38978 11144658468/FINO PAYMENTS B/Bharat Singh/Bharat Singh Salary</t>
  </si>
  <si>
    <t>YIB-NEFT-YESME61660070657-Lakshmi-PUNB0130400-Salary-PUNJAB NATIONAL BANK</t>
  </si>
  <si>
    <t>IMPS/NA/XXXX7234/RRN:616698356018/PC3897828256925503/STATE BANK OF I/Vishal Kumar/Vishal Kumar Salary</t>
  </si>
  <si>
    <t>YIB-NEFT-YESME61660070656-Ramabati Devi-PUNB0155300-Salary-PUNJAB NATIONAL BANK</t>
  </si>
  <si>
    <t>YIB-NEFT-YESME61660073142-Deepak Mishra-PUNB0090700-Salary-PUNJAB NATIONAL BANK</t>
  </si>
  <si>
    <t>YIB-NEFT-YESME61660070654-Sahil-HDFC0000168-Salary-HDFC BANK</t>
  </si>
  <si>
    <t>YIB-NEFT-YESME61660073139-Sher Singh-IOBA0002166-tfr-INDIAN OVERSEAS BANK</t>
  </si>
  <si>
    <t>YIB-NEFT-YESME61660070653-Santosh-PUNB0HGB001-Salary-PUNJAB NATIONAL BANK</t>
  </si>
  <si>
    <t>YIB-NEFT-YESME61660073138-Vikram-PUNB0357200-salary-PUNJAB NATIONAL BANK</t>
  </si>
  <si>
    <t>YIB-NEFT-YESME61640029239-Vahid-PUNB0116410-Contractor-PUNJAB NATIONAL BANK</t>
  </si>
  <si>
    <t xml:space="preserve">YESME6164002923900                      </t>
  </si>
  <si>
    <t>YIB-NEFT-YESME61640029238-Ram Chand Yadav-CNRB0006479-Contractor-CANARA BANK</t>
  </si>
  <si>
    <t xml:space="preserve">YESME6164002923800                      </t>
  </si>
  <si>
    <t>YIB-NEFT-YESME61640029236-Manmati Yadav-CNRB0006479-Contractor-CANARA BANK</t>
  </si>
  <si>
    <t xml:space="preserve">YESME6164002923600                      </t>
  </si>
  <si>
    <t>YIB-NEFT-YESME61640029235-Shokeen Shokeen-SBIN0016240-Contractor-STATE BANK OF INDIA</t>
  </si>
  <si>
    <t xml:space="preserve">YESME6164002923500                      </t>
  </si>
  <si>
    <t>YIB-NEFT-YESME61640029234-Nasim-SBIN0014231-Contractor-STATE BANK OF INDIA</t>
  </si>
  <si>
    <t xml:space="preserve">YESME6164002923400                      </t>
  </si>
  <si>
    <t>YIB-NEFT-YESME61640029237-Heera Lal-SBIN0007052-Contractor-STATE BANK OF INDIA</t>
  </si>
  <si>
    <t xml:space="preserve">YESME6164002923700                      </t>
  </si>
  <si>
    <t>YIB-NEFT-YESME61640011580-Rajasthan Sanitarty and Hardware-HDFC0005460-Vendor-HDFC BANK</t>
  </si>
  <si>
    <t xml:space="preserve">YESME6164001158000                      </t>
  </si>
  <si>
    <t>YIB-NEFT-YESME61640006358-Sharma Paints-PUNB0166500-Vendor-PUNJAB NATIONAL BANK</t>
  </si>
  <si>
    <t xml:space="preserve">YESME6164000635800                      </t>
  </si>
  <si>
    <t>YIB-NEFT-YESME61630011446-Star tools and Machinery-HDFC0005460-Vendor-HDFC BANK</t>
  </si>
  <si>
    <t>YESME6163001144600</t>
  </si>
  <si>
    <t>YIB-NEFT-YESME61630003536-OM Steela-HDFC0005460-Vendor-HDFC BANK</t>
  </si>
  <si>
    <t>YESME6163000353600</t>
  </si>
  <si>
    <t>YIB-NEFT-YESME61630011445-DWARKADHIS PROJECTS PVT LTD-MAHB0001461-for esi epf-BANK OF MAHARASHTRA</t>
  </si>
  <si>
    <t>YESME6163001144500</t>
  </si>
  <si>
    <t>YIB-NEFT-YESME61630011444-RK Traders-UTIB0002967-Vendor-AXIS BANK</t>
  </si>
  <si>
    <t>YESME6163001144400</t>
  </si>
  <si>
    <t>YIB-NEFT-YESME61630011443-Sunil Iron and Machinery Store-HDFC0002537-Vendor-HDFC BANK</t>
  </si>
  <si>
    <t>YESME6163001144300</t>
  </si>
  <si>
    <t>YIB-NEFT-YESME61620064251-Ultratech Cement Ltd-YESB0CMSNOC-Vendor-YESB0CMSNOC</t>
  </si>
  <si>
    <t>YESME6162006425100</t>
  </si>
  <si>
    <t>YIB-NEFT-YESME61620050796-Ravi Vats-UBIN0567370-Imprest-UNION BANK OF INDIA</t>
  </si>
  <si>
    <t>YESME6162005079600</t>
  </si>
  <si>
    <t>YIB-NEFT-YESME61600066519-Awesome Paint Planners Pvt Ltd-ICIC0003254-Vendor-ICICI BANK LIMITED</t>
  </si>
  <si>
    <t>YESME6160006651900</t>
  </si>
  <si>
    <t>YIB-NEFT-YESME61600049866-Shri Shyam Traders-IDFB0021009-Vendor-IDFC FIRST BANK LTD</t>
  </si>
  <si>
    <t>YESME6160004986600</t>
  </si>
  <si>
    <t>YIB-NEFT-YESME61570054041-Ravi Vats-UBIN0567370-Imprest-UNION BANK OF INDIA</t>
  </si>
  <si>
    <t>YESME6157005404100</t>
  </si>
  <si>
    <t>YIB-NEFT-YESME61570054040-Nasim-SBIN0014231-contractor-STATE BANK OF INDIA</t>
  </si>
  <si>
    <t>YESME6157005404000</t>
  </si>
  <si>
    <t>YIB-NEFT-YESME61570054039-Jhalani Electricals-PUNB0399300-Vendor-PUNJAB NATIONAL BANK</t>
  </si>
  <si>
    <t>YESME6157005403900</t>
  </si>
  <si>
    <t>YIB-NEFT-YESME61570054038-Ram Chand Yadav-CNRB0006479-contractor-CANARA BANK</t>
  </si>
  <si>
    <t>YESME6157005403800</t>
  </si>
  <si>
    <t>YIB-NEFT-YESME61570053480-Sahun-BARB0TIJARA-Contractor-BANK OF BARODA</t>
  </si>
  <si>
    <t>YESME6157005348000</t>
  </si>
  <si>
    <t>YIB-NEFT-YESME61570053479-DWARKADHIS PROJECTS PVT LTD-MAHB0001461-for TDS Payment-BANK OF MAHARASHTRA</t>
  </si>
  <si>
    <t>YESME6157005347900</t>
  </si>
  <si>
    <t>YIB-NEFT-YESME61570053478-Mona Power Trading-CNRB0006638-Vendor-CANARA BANK</t>
  </si>
  <si>
    <t>YESME6157005347800</t>
  </si>
  <si>
    <t>YIB-NEFT-YESME61570053477-Choudhary Enterprises-IDIB000D618-Vendor-INDIAN BANK</t>
  </si>
  <si>
    <t>YESME6157005347700</t>
  </si>
  <si>
    <t>YIB-NEFT-YESME61570053475-Manmati Yadav-CNRB0006479-Contractor-CANARA BANK</t>
  </si>
  <si>
    <t>YESME6157005347500</t>
  </si>
  <si>
    <t>YIB-NEFT-YESME61570053476-Balaji Hardware and Sanitary-ICIC0000509-Vendor-ICICI BANK LIMITED</t>
  </si>
  <si>
    <t>YESME6157005347600</t>
  </si>
  <si>
    <t>YIB-NEFT-YESME61570054037-Heera Lal-SBIN0007052-Contractor-STATE BANK OF INDIA</t>
  </si>
  <si>
    <t>YESME6157005403700</t>
  </si>
  <si>
    <t>NEFT Cr-MAHB0001461-DWARKADHIS PROJECTS PRIVA-Dwarkadhis Projects Pvt L-MAHBH00154053152</t>
  </si>
  <si>
    <t>YES0N6141019349300</t>
  </si>
  <si>
    <t>YIB-NEFT-YESME61500045407-Nasim-SBIN0014231-Contractor-STATE BANK OF INDIA</t>
  </si>
  <si>
    <t>YESME6150004540700</t>
  </si>
  <si>
    <t>YIB-NEFT-YESME61500045406-Sahun-BARB0TIJARA-Contractor-BANK OF BARODA</t>
  </si>
  <si>
    <t>YESME6150004540600</t>
  </si>
  <si>
    <t>YIB-NEFT-YESME61500043501-Heera Lal-SBIN0007052-Contractor-STATE BANK OF INDIA</t>
  </si>
  <si>
    <t>YESME6150004350100</t>
  </si>
  <si>
    <t>YIB-NEFT-YESME61500043502-Manmati Yadav-CNRB0006479-Contractor-CANARA BANK</t>
  </si>
  <si>
    <t>YESME6150004350200</t>
  </si>
  <si>
    <t>YIB-NEFT-YESME61500045405-Ram Chand Yadav-CNRB0006479-Contractor-CANARA BANK</t>
  </si>
  <si>
    <t>YESME6150004540500</t>
  </si>
  <si>
    <t>YIB-NEFT-YESME61480032830-Bharti Battery House-HDFC0005460-vendor-HDFC BANK</t>
  </si>
  <si>
    <t>YESME6148003283000</t>
  </si>
  <si>
    <t>YIB-NEFT-YESME61460041457-A N Filling Station-ICIC0003494-Vendor-ICICI BANK LIMITED</t>
  </si>
  <si>
    <t>YESME6146004145700</t>
  </si>
  <si>
    <t>YIB-NEFT-YESME61430032868-Nasim-SBIN0014231-Contractor-STATE BANK OF INDIA</t>
  </si>
  <si>
    <t>YESME6143003286800</t>
  </si>
  <si>
    <t>YIB-NEFT-YESME61430032018-Ram Chand Yadav-CNRB0006479-Contractor-CANARA BANK</t>
  </si>
  <si>
    <t>YESME6143003201800</t>
  </si>
  <si>
    <t>YIB-NEFT-YESME61430032020-Mohammad Mukhtar-INDB0000412-contractor-INDUSIND BANK</t>
  </si>
  <si>
    <t>YESME6143003202000</t>
  </si>
  <si>
    <t>YIB-NEFT-YESME61430032019-Choudhary Enterprises-IDIB000D618-Vendor-INDIAN BANK</t>
  </si>
  <si>
    <t>YESME6143003201900</t>
  </si>
  <si>
    <t>YIB-NEFT-YESME61430032867-Heera Lal-SBIN0007052-Contractor-STATE BANK OF INDIA</t>
  </si>
  <si>
    <t>YESME6143003286700</t>
  </si>
  <si>
    <t>YIB-NEFT-YESME61430032017-Master Nabiul Miah-CBIN0282919-Contractor-CENTRAL BANK OF INDIA</t>
  </si>
  <si>
    <t>YESME6143003201700</t>
  </si>
  <si>
    <t>YIB-NEFT-YESME61430032016-Sahun-BARB0TIJARA-Contractor-BANK OF BARODA</t>
  </si>
  <si>
    <t>YESME6143003201600</t>
  </si>
  <si>
    <t>YIB-NEFT-YESME61430032015-Manmati Yadav-CNRB0006479-Contractor-CANARA BANK</t>
  </si>
  <si>
    <t>YESME6143003201500</t>
  </si>
  <si>
    <t>NEFT Cr-MAHB0001461-DWARKADHIS PROJECTS PRIVA-Dwarkadhis Projects Pvt L-MAHBH00353358488</t>
  </si>
  <si>
    <t>YES0N6143191448400</t>
  </si>
  <si>
    <t>NEFT Cr-MAHB0001461-DWARKADHIS PROJECTS PRIVA-Dwarkadhis Projects Pvt L-MAHBH00153213157</t>
  </si>
  <si>
    <t>YIB-NEFT-YESME61410038762-Shokeen Shokeen-SBIN0016240-Contractor-STATE BANK OF INDIA</t>
  </si>
  <si>
    <t>YESME6141003876200</t>
  </si>
  <si>
    <t>YIB-NEFT-YESME61410040492-Vahid-PUNB0116410-Contractor-PUNJAB NATIONAL BANK</t>
  </si>
  <si>
    <t>YESME6141004049200</t>
  </si>
  <si>
    <t>YIB-NEFT-YESME61360047240-Santosh-PUNB0HGB001-salary-PUNJAB NATIONAL BANK</t>
  </si>
  <si>
    <t>YESME6136004724000</t>
  </si>
  <si>
    <t>YIB-NEFT-YESME61360047239-Manmati Yadav-CNRB0006479-Contractor-CANARA BANK</t>
  </si>
  <si>
    <t>YESME6136004723900</t>
  </si>
  <si>
    <t>YIB-NEFT-YESME61360047238-Heera Lal-SBIN0007052-contractor-STATE BANK OF INDIA</t>
  </si>
  <si>
    <t>YESME6136004723800</t>
  </si>
  <si>
    <t>YIB-NEFT-YESME61360047237-Balram Mishara-SBIN0015698-salary-STATE BANK OF INDIA</t>
  </si>
  <si>
    <t>YESME6136004723700</t>
  </si>
  <si>
    <t>YIB-NEFT-YESME61360048278-Ram Kishan-SBIN0005699-contractor-STATE BANK OF INDIA</t>
  </si>
  <si>
    <t>YESME6136004827800</t>
  </si>
  <si>
    <t>YIB-NEFT-YESME61360047236-Rahul Kumar-PUNB0357200-salary-PUNJAB NATIONAL BANK</t>
  </si>
  <si>
    <t>YESME6136004723600</t>
  </si>
  <si>
    <t>YIB-NEFT-YESME61360048277-Deepak Mishra-PUNB0090700-salary-PUNJAB NATIONAL BANK</t>
  </si>
  <si>
    <t>YESME6136004827700</t>
  </si>
  <si>
    <t>YIB-NEFT-YESME61360048276-Ramabati Devi-PUNB0155300-salary-PUNJAB NATIONAL BANK</t>
  </si>
  <si>
    <t>YESME6136004827600</t>
  </si>
  <si>
    <t>YIB-NEFT-YESME61360048275-Ram Chand Yadav-CNRB0006479-Contractor-CANARA BANK</t>
  </si>
  <si>
    <t>YESME6136004827500</t>
  </si>
  <si>
    <t>YIB-NEFT-YESME61360048274-Sher Singh-IOBA0002166-contractor-INDIAN OVERSEAS BANK</t>
  </si>
  <si>
    <t>YESME6136004827400</t>
  </si>
  <si>
    <t>YIB-NEFT-YESME61360048273-Jyoti-IDIB000D618-salary-INDIAN BANK</t>
  </si>
  <si>
    <t>YESME6136004827300</t>
  </si>
  <si>
    <t>YIB-NEFT-YESME61360048272-Bhagwan Singh-PUNB0130400-salary-PUNJAB NATIONAL BANK</t>
  </si>
  <si>
    <t>YESME6136004827200</t>
  </si>
  <si>
    <t>YIB-NEFT-YESME61360047235-Shiva-IOBA0002166-salary-INDIAN OVERSEAS BANK</t>
  </si>
  <si>
    <t>YESME6136004723500</t>
  </si>
  <si>
    <t>YIB-NEFT-YESME61360048271-Sahil-HDFC0000168-salary-HDFC BANK</t>
  </si>
  <si>
    <t>YESME6136004827100</t>
  </si>
  <si>
    <t>YIB-NEFT-YESME61360048270-Sahun-BARB0TIJARA-contractor-BANK OF BARODA</t>
  </si>
  <si>
    <t>YESME6136004827000</t>
  </si>
  <si>
    <t>YIB-NEFT-YESME61360047232-Amar jeet-SBIN0005699-salary-STATE BANK OF INDIA</t>
  </si>
  <si>
    <t>YESME6136004723200</t>
  </si>
  <si>
    <t>YIB-NEFT-YESME61360048269-Lakshmi-PUNB0130400-salary-PUNJAB NATIONAL BANK</t>
  </si>
  <si>
    <t>YESME6136004826900</t>
  </si>
  <si>
    <t>YIB-NEFT-YESME61360048268-Maya Choudhary-SBIN0003508-salary-STATE BANK OF INDIA</t>
  </si>
  <si>
    <t>YESME6136004826800</t>
  </si>
  <si>
    <t>YIB-NEFT-YESME61360048267-Sanjay Kumar-UBIN0567370-salary-UNION BANK OF INDIA</t>
  </si>
  <si>
    <t>YESME6136004826700</t>
  </si>
  <si>
    <t>YIB-NEFT-YESME61360047231-Sandeep Kumar-UBIN0567370-salary-UNION BANK OF INDIA</t>
  </si>
  <si>
    <t>YESME6136004723100</t>
  </si>
  <si>
    <t>YIB-NEFT-YESME61360048266-Vishwajeet-UBIN0567370-salary-UNION BANK OF INDIA</t>
  </si>
  <si>
    <t>YESME6136004826600</t>
  </si>
  <si>
    <t>YIB-NEFT-YESME61360048265-Nasim-SBIN0014231-Contractor-STATE BANK OF INDIA</t>
  </si>
  <si>
    <t>YESME6136004826500</t>
  </si>
  <si>
    <t>YIB-NEFT-YESME61360047234-Devender Kumar-HDFC0003848-salary-HDFC BANK</t>
  </si>
  <si>
    <t>YESME6136004723400</t>
  </si>
  <si>
    <t>YIB-NEFT-YESME61360047233-Ram Sharan-BKID0007415-salary-BANK OF INDIA</t>
  </si>
  <si>
    <t>YESME6136004723300</t>
  </si>
  <si>
    <t>YIB-NEFT-YESME61360047229-Rakesh Kumar-SBIN0005699-salary-STATE BANK OF INDIA</t>
  </si>
  <si>
    <t>YESME6136004722900</t>
  </si>
  <si>
    <t>YIB-NEFT-YESME61360047228-Ravi Vats-UBIN0567370-salary-UNION BANK OF INDIA</t>
  </si>
  <si>
    <t>YESME6136004722800</t>
  </si>
  <si>
    <t>YIB-NEFT-YESME61360047226-Surendra Singh-PUNB0130400-salary-PUNJAB NATIONAL BANK</t>
  </si>
  <si>
    <t>YESME6136004722600</t>
  </si>
  <si>
    <t>YIB-NEFT-YESME61360047224-Arvind-UTIB0002002-salary-AXIS BANK</t>
  </si>
  <si>
    <t>YESME6136004722400</t>
  </si>
  <si>
    <t>YIB-NEFT-YESME61360047222-Ajay-NSPB0000002-salary-NSDL PAYMENTS BANK LIMITED</t>
  </si>
  <si>
    <t>YESME6136004722200</t>
  </si>
  <si>
    <t>YIB-NEFT-YESME61360047230-Lalan Yadav-FDRL0002158-contractor-FEDERAL BANK</t>
  </si>
  <si>
    <t>YESME6136004723000</t>
  </si>
  <si>
    <t>YIB-NEFT-YESME61360047223-Satish-PUNB0357200-salary-PUNJAB NATIONAL BANK</t>
  </si>
  <si>
    <t>YESME6136004722300</t>
  </si>
  <si>
    <t>YIB-NEFT-YESME61350054405-Shiv Rediator Works-PUNB0054010-Vendor-PUNJAB NATIONAL BANK</t>
  </si>
  <si>
    <t>YESME6135005440500</t>
  </si>
  <si>
    <t>YIB-NEFT-YESME61350053640-Dwarkadhis Projects Pvt Ltd-MAHB0001347-for esi and epf-BANK OF MAHARASHTRA</t>
  </si>
  <si>
    <t>YESME6135005364000</t>
  </si>
  <si>
    <t>YIB-NEFT-YESME61330045366-Shri Shyam Traders-IDFB0021009-Vendor-IDFC FIRST BANK LTD</t>
  </si>
  <si>
    <t>YESME6133004536600</t>
  </si>
  <si>
    <t>YIB-NEFT-YESME61330045365-RK Traders-UTIB0002967-Vendor-AXIS BANK</t>
  </si>
  <si>
    <t>YESME6133004536500</t>
  </si>
  <si>
    <t>YIB-NEFT-YESME61290038620-Ram Chand Yadav-CNRB0006479-contractor-CANARA BANK</t>
  </si>
  <si>
    <t>YESME6129003862000</t>
  </si>
  <si>
    <t>YIB-NEFT-YESME61290036809-Heera Lal-SBIN0007052-Contractor-STATE BANK OF INDIA</t>
  </si>
  <si>
    <t>YESME6129003680900</t>
  </si>
  <si>
    <t>YIB-NEFT-YESME61290038619-Sahun-BARB0TIJARA-contractor-BANK OF BARODA</t>
  </si>
  <si>
    <t>YESME6129003861900</t>
  </si>
  <si>
    <t>YIB-NEFT-YESME61290036807-Manmati Yadav-CNRB0006479-Contractor-CANARA BANK</t>
  </si>
  <si>
    <t>YESME6129003680700</t>
  </si>
  <si>
    <t>YIB-NEFT-YESME61290036808-Nasim-SBIN0014231-Contractor-STATE BANK OF INDIA</t>
  </si>
  <si>
    <t>YESME6129003680800</t>
  </si>
  <si>
    <t>YIB-NEFT-YESME61270048557-Dwarkadhis Projects Pvt Ltd-MAHB0001347-for tds-BANK OF MAHARASHTRA</t>
  </si>
  <si>
    <t>YESME6127004855700</t>
  </si>
  <si>
    <t>YIB-NEFT-YESME61270048556-Manmati Yadav-CNRB0006479-Contractor-CANARA BANK</t>
  </si>
  <si>
    <t>YESME6127004855600</t>
  </si>
  <si>
    <t>YIB-NEFT-YESME61270048555-Dauphin Galaxy-IDIB000S746-Vendor-INDIAN BANK</t>
  </si>
  <si>
    <t>YESME6127004855500</t>
  </si>
  <si>
    <t>YIB-NEFT-YESME61270048562-Choudhary Enterprises-IDIB000D618-Vendor-INDIAN BANK</t>
  </si>
  <si>
    <t>YESME6127004856200</t>
  </si>
  <si>
    <t>YIB-NEFT-YESME61270048558-Nasim-SBIN0014231-Contractor-STATE BANK OF INDIA</t>
  </si>
  <si>
    <t>YESME6127004855800</t>
  </si>
  <si>
    <t>Funds Trf to XX0061/RRN:612254293396/To : IMPS/vendor</t>
  </si>
  <si>
    <t>YESI66122010484800</t>
  </si>
  <si>
    <t>YIB-NEFT-YESME61220062902-Nasim-SBIN0014231-Contractor-STATE BANK OF INDIA</t>
  </si>
  <si>
    <t>YESME6122006290200</t>
  </si>
  <si>
    <t>YIB-NEFT-YESME61220062900-Ram Chand Yadav-CNRB0006479-Contractor-CANARA BANK</t>
  </si>
  <si>
    <t>YESME6122006290000</t>
  </si>
  <si>
    <t>YIB-NEFT-YESME61220062899-Manmati Yadav-CNRB0006479-Contract-CANARA BANK</t>
  </si>
  <si>
    <t>YESME6122006289900</t>
  </si>
  <si>
    <t>YIB-NEFT-YESME61220062901-Heera Lal-SBIN0007052-Contractor-STATE BANK OF INDIA</t>
  </si>
  <si>
    <t>YESME6122006290100</t>
  </si>
  <si>
    <t>YIB-NEFT-YESME61190044064-Haryana Jagriti Fuel-SBIN0005699-Vendor-STATE BANK OF INDIA</t>
  </si>
  <si>
    <t>YESME6119004406400</t>
  </si>
  <si>
    <t>Purchase of Fuel</t>
  </si>
  <si>
    <t>YIB-NEFT-YESME61180040823-Sahun-BARB0TIJARA-contractor-BANK OF BARODA</t>
  </si>
  <si>
    <t>YESME6118004082300</t>
  </si>
  <si>
    <t>YIB-NEFT-YESME61180042229-Nasim-SBIN0014231-contractor-STATE BANK OF INDIA</t>
  </si>
  <si>
    <t>YESME6118004222900</t>
  </si>
  <si>
    <t>YIB-NEFT-YESME61180040822-Heera Lal-SBIN0007052-contractor-STATE BANK OF INDIA</t>
  </si>
  <si>
    <t>YESME6118004082200</t>
  </si>
  <si>
    <t>YIB-NEFT-YESME61180040821-Manmati Yadav-CNRB0006479-Contractor-CANARA BANK</t>
  </si>
  <si>
    <t>YESME6118004082100</t>
  </si>
  <si>
    <t>YIB-NEFT-YESME61140059084-Manmati Yadav-CNRB0006479-contractor-CANARA BANK</t>
  </si>
  <si>
    <t>YESME6114005908400</t>
  </si>
  <si>
    <t>YIB-NEFT-YESME61140057610-Choudhary Enterprises-IDIB000D618-vendor-INDIAN BANK</t>
  </si>
  <si>
    <t>YESME6114005761000</t>
  </si>
  <si>
    <t>NEFT Cr-MAHB0001461-DWARKADHIS PROJECTS PRIVA-Dwarkadhis Projects Pvt L-MAHBH00450119372</t>
  </si>
  <si>
    <t>YES0N6114081424100</t>
  </si>
  <si>
    <t>YIB-NEFT-YESME61130049362-RK Traders-UTIB0002967-Vendor-AXIS BANK</t>
  </si>
  <si>
    <t>YESME6113004936200</t>
  </si>
  <si>
    <t>YIB-NEFT-YESME61130049363-Dwarkadhis Projects Pvt Ltd-MAHB0001347-for tds-BANK OF MAHARASHTRA</t>
  </si>
  <si>
    <t>YESME6113004936300</t>
  </si>
  <si>
    <t>YIB-NEFT-YESME61130049361-Shri Shyam Traders-IDFB0021009-Vendor-IDFC FIRST BANK LTD</t>
  </si>
  <si>
    <t>YESME6113004936100</t>
  </si>
  <si>
    <t>NEFT Cr-MAHB0001461-DWARKADHIS PROJECTS PRIVA-Dwarkadhis Projects Pvt L-MAHBH00350004677</t>
  </si>
  <si>
    <t>YES0N6113975614100</t>
  </si>
  <si>
    <t>YIB-NEFT-YESME61120063156-MKA Decorator-CBIN0283490-Contractor-CENTRAL BANK OF INDIA</t>
  </si>
  <si>
    <t>YESME6112006315600</t>
  </si>
  <si>
    <t>YIB-NEFT-YESME61100067102-Vahid-PUNB0116410-Contractor-PUNJAB NATIONAL BANK</t>
  </si>
  <si>
    <t>YESME6110006710200</t>
  </si>
  <si>
    <t>YIB-NEFT-YESME61100064881-Heera Lal-SBIN0007052-Contractor-STATE BANK OF INDIA</t>
  </si>
  <si>
    <t>YESME6110006488100</t>
  </si>
  <si>
    <t>YIB-NEFT-YESME61100067098-Jhalani Electricals-PUNB0399300-Vendor-PUNJAB NATIONAL BANK</t>
  </si>
  <si>
    <t>YESME6110006709800</t>
  </si>
  <si>
    <t>YIB-NEFT-YESME61100064879-Ravi Vats-UBIN0567370-imprest-UNION BANK OF INDIA</t>
  </si>
  <si>
    <t>YESME6110006487900</t>
  </si>
  <si>
    <t>YIB-NEFT-YESME61100067097-Nasim-SBIN0014231-contractor-STATE BANK OF INDIA</t>
  </si>
  <si>
    <t>YESME6110006709700</t>
  </si>
  <si>
    <t>YIB-NEFT-YESME61100067101-Manmati Yadav-CNRB0006479-Contractor-CANARA BANK</t>
  </si>
  <si>
    <t>YESME6110006710100</t>
  </si>
  <si>
    <t>YIB-NEFT-YESME61100067100-Shokeen Shokeen-SBIN0016240-Contractor-STATE BANK OF INDIA</t>
  </si>
  <si>
    <t>YESME6110006710000</t>
  </si>
  <si>
    <t>YIB-NEFT-YESME61100064880-Nana Bai Sahu-CNRB0006479-Contractor-CANARA BANK</t>
  </si>
  <si>
    <t>YESME6110006488000</t>
  </si>
  <si>
    <t>YIB-NEFT-YESME61100067099-Dwarkadhis Projects Pvt Ltd-MAHB0001347-for electricity bill pay-BANK OF MAHARASHTRA</t>
  </si>
  <si>
    <t>YESME6110006709900</t>
  </si>
  <si>
    <t>YIB-NEFT-YESME61100064878-Balaji Hardware and Sanitary-ICIC0000509-Vendor-ICICI BANK LIMITED</t>
  </si>
  <si>
    <t>YESME6110006487800</t>
  </si>
  <si>
    <t>NEFT Cr-MAHB0001461-DWARKADHIS PROJECTS PRIVA-Dwarkadhis Projects Pvt L-MAHBH00049627060</t>
  </si>
  <si>
    <t>YES0N6110648261400</t>
  </si>
  <si>
    <t>YIB-NEFT-YESME61060061251-Ultratech Cement Ltd-YESB0CMSNOC-Vendor-YESB0CMSNOC</t>
  </si>
  <si>
    <t>YESME6106006125100</t>
  </si>
  <si>
    <t>YIB-NEFT-YESME61060061250-RK Traders-UTIB0002967-Vendor-AXIS BANK</t>
  </si>
  <si>
    <t>YESME6106006125000</t>
  </si>
  <si>
    <t>NEFT Cr-MAHB0001461-DWARKADHIS PROJECTS PRIVA-Dwarkadhis Projects Pvt L-MAHBH00649196694</t>
  </si>
  <si>
    <t>YES0N6106225558000</t>
  </si>
  <si>
    <t>YIB-NEFT-YESME61050067499-Shiva-IOBA0002166-salary-INDIAN OVERSEAS BANK</t>
  </si>
  <si>
    <t>YESME6105006749900</t>
  </si>
  <si>
    <t>YIB-NEFT-YESME61050069062-Sher Singh-IOBA0002166-salary-INDIAN OVERSEAS BANK</t>
  </si>
  <si>
    <t>YESME6105006906200</t>
  </si>
  <si>
    <t>YIB-NEFT-YESME61050069061-Sahil-HDFC0000168-salary-HDFC BANK</t>
  </si>
  <si>
    <t>YESME6105006906100</t>
  </si>
  <si>
    <t>YIB-NEFT-YESME61050067498-Santosh-PUNB0HGB001-salary-PUNJAB NATIONAL BANK</t>
  </si>
  <si>
    <t>YESME6105006749800</t>
  </si>
  <si>
    <t>YIB-NEFT-YESME61050069060-Surendra Singh-PUNB0130400-salary-PUNJAB NATIONAL BANK</t>
  </si>
  <si>
    <t>YESME6105006906000</t>
  </si>
  <si>
    <t>YIB-NEFT-YESME61050067497-Rakesh Kumar-SBIN0005699-salary-STATE BANK OF INDIA</t>
  </si>
  <si>
    <t>YESME6105006749700</t>
  </si>
  <si>
    <t>YIB-NEFT-YESME61050067500-Ravi Vats-UBIN0567370-salary-UNION BANK OF INDIA</t>
  </si>
  <si>
    <t>YESME6105006750000</t>
  </si>
  <si>
    <t>YIB-NEFT-YESME61050069059-Sandeep Kumar-UBIN0567370-Salary-UNION BANK OF INDIA</t>
  </si>
  <si>
    <t>YESME6105006905900</t>
  </si>
  <si>
    <t>YIB-NEFT-YESME61050069056-Jyoti-IDIB000D618-salary-INDIAN BANK</t>
  </si>
  <si>
    <t>YESME6105006905600</t>
  </si>
  <si>
    <t>YIB-NEFT-YESME61050067495-Bhagwan Singh-PUNB0130400-salary-PUNJAB NATIONAL BANK</t>
  </si>
  <si>
    <t>YESME6105006749500</t>
  </si>
  <si>
    <t>YIB-NEFT-YESME61050069058-Rahul Kumar-PUNB0357200-salary-PUNJAB NATIONAL BANK</t>
  </si>
  <si>
    <t>YESME6105006905800</t>
  </si>
  <si>
    <t>YIB-NEFT-YESME61050067496-Amar jeet-SBIN0005699-salary-STATE BANK OF INDIA</t>
  </si>
  <si>
    <t>YESME6105006749600</t>
  </si>
  <si>
    <t>YIB-NEFT-YESME61050069057-Deepak Mishra-PUNB0090700-salary-PUNJAB NATIONAL BANK</t>
  </si>
  <si>
    <t>YESME6105006905700</t>
  </si>
  <si>
    <t>YIB-NEFT-YESME61050069055-Arvind-UTIB0002002-salary-AXIS BANK</t>
  </si>
  <si>
    <t>YESME6105006905500</t>
  </si>
  <si>
    <t>YIB-NEFT-YESME61050067494-Satish-PUNB0357200-salary-PUNJAB NATIONAL BANK</t>
  </si>
  <si>
    <t>YESME6105006749400</t>
  </si>
  <si>
    <t>YIB-NEFT-YESME61050067492-Devender Kumar-HDFC0003848-salary-HDFC BANK</t>
  </si>
  <si>
    <t>YESME6105006749200</t>
  </si>
  <si>
    <t>YIB-NEFT-YESME61050067491-Lakshmi-PUNB0130400-salary-PUNJAB NATIONAL BANK</t>
  </si>
  <si>
    <t>YESME6105006749100</t>
  </si>
  <si>
    <t>YIB-NEFT-YESME61050069054-Ram Sharan-BKID0007415-salary-BANK OF INDIA</t>
  </si>
  <si>
    <t>YESME6105006905400</t>
  </si>
  <si>
    <t>YIB-NEFT-YESME61050067488-Dara Patel-CNRB0006638-salary-CANARA BANK</t>
  </si>
  <si>
    <t>YESME6105006748800</t>
  </si>
  <si>
    <t>YIB-NEFT-YESME61050067493-Balram Mishara-SBIN0015698-salary-STATE BANK OF INDIA</t>
  </si>
  <si>
    <t>YESME6105006749300</t>
  </si>
  <si>
    <t>YIB-NEFT-YESME61050067490-OM Steela-HDFC0005460-Vendor-HDFC BANK</t>
  </si>
  <si>
    <t>YESME6105006749000</t>
  </si>
  <si>
    <t>YIB-NEFT-YESME61050067489-Vishwajeet-UBIN0567370-salary-UNION BANK OF INDIA</t>
  </si>
  <si>
    <t>YESME6105006748900</t>
  </si>
  <si>
    <t>YIB-NEFT-YESME61050069053-Ram Kishan-SBIN0005699-salary-STATE BANK OF INDIA</t>
  </si>
  <si>
    <t>YESME6105006905300</t>
  </si>
  <si>
    <t>YIB-NEFT-YESME61050069052-Ramabati Devi-PUNB0155300-salary-PUNJAB NATIONAL BANK</t>
  </si>
  <si>
    <t>YESME6105006905200</t>
  </si>
  <si>
    <t>YIB-NEFT-YESME61050067486-Ajay-NSPB0000002-salary-NSDL PAYMENTS BANK LIMITED</t>
  </si>
  <si>
    <t>YESME6105006748600</t>
  </si>
  <si>
    <t>YIB-NEFT-YESME61050069051-Maya Choudhary-SBIN0003508-salary-STATE BANK OF INDIA</t>
  </si>
  <si>
    <t>YESME6105006905100</t>
  </si>
  <si>
    <t>YIB-NEFT-YESME61050069050-Sanjay Kumar-UBIN0567370-salary-UNION BANK OF INDIA</t>
  </si>
  <si>
    <t>YESME6105006905000</t>
  </si>
  <si>
    <t>NEFT Cr-MAHB0001461-DWARKADHIS PROJECTS PRIVA-Dwarkadhis Projects Pvt L-MAHBH00549066330</t>
  </si>
  <si>
    <t>YES0N6105116365100</t>
  </si>
  <si>
    <t>YIB-NEFT-YESME61040039116-Balaji Mesh Tech India-KKBK0000213-Vendor-KOTAK MAHINDRA BANK LIMITED</t>
  </si>
  <si>
    <t>YESME6104003911600</t>
  </si>
  <si>
    <t>NEFT Cr-MAHB0001461-DWARKADHIS PROJECTS PRIVA-Dwarkadhis Projects Pvt L-MAHBH00448982127</t>
  </si>
  <si>
    <t>YES0N6104012980600</t>
  </si>
  <si>
    <t>YIB-NEFT-YESME61030021156-Rakiba BIBI-SBIN0007204-contractor-STATE BANK OF INDIA</t>
  </si>
  <si>
    <t>YESME6103002115600</t>
  </si>
  <si>
    <t>YIB-NEFT-YESME61030021155-Master Nabiul Miah-CBIN0282919-Contractor-CENTRAL BANK OF INDIA</t>
  </si>
  <si>
    <t>YESME6103002115500</t>
  </si>
  <si>
    <t>YIB-NEFT-YESME61030021154-Manmati Yadav-CNRB0006479-contractor-CANARA BANK</t>
  </si>
  <si>
    <t>YESME6103002115400</t>
  </si>
  <si>
    <t>YIB-NEFT-YESME61030019957-Rajesh Kumar-HDFC0005460-contractor-HDFC BANK</t>
  </si>
  <si>
    <t>YESME6103001995700</t>
  </si>
  <si>
    <t>YIB-NEFT-YESME61030021153-Dwarkadhis Projects Pvt Ltd-MAHB0001347-for esi pf-BANK OF MAHARASHTRA</t>
  </si>
  <si>
    <t>YESME6103002115300</t>
  </si>
  <si>
    <t>YIB-NEFT-YESME61030019956-Heera Lal-SBIN0007052-contractor-STATE BANK OF INDIA</t>
  </si>
  <si>
    <t>YESME6103001995600</t>
  </si>
  <si>
    <t>YIB-NEFT-YESME61030021151-Ravi Vats-UBIN0567370-imprest-UNION BANK OF INDIA</t>
  </si>
  <si>
    <t>YESME6103002115100</t>
  </si>
  <si>
    <t>YIB-NEFT-YESME61030021150-Ram Chand Yadav-CNRB0006479-contractor-CANARA BANK</t>
  </si>
  <si>
    <t>YESME6103002115000</t>
  </si>
  <si>
    <t>YIB-NEFT-YESME61030019954-Najimul Hoque-FINO0000001-contractor-FINO PAYMENTS BANK</t>
  </si>
  <si>
    <t>YESME6103001995400</t>
  </si>
  <si>
    <t>YIB-NEFT-YESME61030021149-Nasim-SBIN0014231-contractor-STATE BANK OF INDIA</t>
  </si>
  <si>
    <t>YESME6103002114900</t>
  </si>
  <si>
    <t>NEFT Cr-MAHB0001461-DWARKADHIS PROJECTS PRIVA-Dwarkadhis Projects Pvt L-MAHBH00148686286</t>
  </si>
  <si>
    <t>YES0N6101709246500</t>
  </si>
  <si>
    <t>YIB-NEFT-YESME60980074503-Shri Shyam Traders-IDFB0021009-Vendor-IDFC FIRST BANK LTD</t>
  </si>
  <si>
    <t>YESME6098007450300</t>
  </si>
  <si>
    <t>YIB-NEFT-YESME60960067390-Pallavi Fibre Glass-HDFC0010640-vendor-HDFC BANK</t>
  </si>
  <si>
    <t>YESME6096006739000</t>
  </si>
  <si>
    <t>YIB-NEFT-YESME60960068059-Rakesh Kumar-SBIN0005699-Salary-STATE BANK OF INDIA</t>
  </si>
  <si>
    <t>YESME6096006805900</t>
  </si>
  <si>
    <t>YIB-NEFT-YESME60960068061-Shree Ganesh Plywood and Conts-HDFC0002249-Vendor-HDFC BANK</t>
  </si>
  <si>
    <t>YESME6096006806100</t>
  </si>
  <si>
    <t>YIB-NEFT-YESME60960067391-Exen Chem-KKBK0000208-Vendor-KOTAK MAHINDRA BANK LIMITED</t>
  </si>
  <si>
    <t>YESME6096006739100</t>
  </si>
  <si>
    <t>YIB-NEFT-YESME60960068060-Auro Chemical Industries Pvt Ltd-KKBK0000190-Vendor-KOTAK MAHINDRA BANK LIMITED</t>
  </si>
  <si>
    <t>YESME6096006806000</t>
  </si>
  <si>
    <t>NEFT Cr-MAHB0001461-DWARKADHIS PROJECTS PRIVA-Dwarkadhis Projects Pvt L-MAHBH00647895077</t>
  </si>
  <si>
    <t>YES0N6096115850600</t>
  </si>
  <si>
    <t>YIB-NEFT-YESME60940067341-Heera Lal-SBIN0007052-contractor-STATE BANK OF INDIA</t>
  </si>
  <si>
    <t>YESME6094006734100</t>
  </si>
  <si>
    <t>YIB-NEFT-YESME60940067340-Ravi Vats-UBIN0567370-imprest-UNION BANK OF INDIA</t>
  </si>
  <si>
    <t>YESME6094006734000</t>
  </si>
  <si>
    <t>YIB-NEFT-YESME60940067339-Nana Bai Sahu-CNRB0006479-contractor-CANARA BANK</t>
  </si>
  <si>
    <t>YESME6094006733900</t>
  </si>
  <si>
    <t>YIB-NEFT-YESME60940067336-Rajesh Kumar-HDFC0005460-contractor-HDFC BANK</t>
  </si>
  <si>
    <t>YESME6094006733600</t>
  </si>
  <si>
    <t>YIB-NEFT-YESME60940067337-Rakiba BIBI-SBIN0007204-contractor-STATE BANK OF INDIA</t>
  </si>
  <si>
    <t>YESME6094006733700</t>
  </si>
  <si>
    <t>YIB-NEFT-YESME60940068431-Ram Chand Yadav-CNRB0006479-contractor-CANARA BANK</t>
  </si>
  <si>
    <t>YESME6094006843100</t>
  </si>
  <si>
    <t>YIB-NEFT-YESME60940068430-Nasim-SBIN0014231-contractor-STATE BANK OF INDIA</t>
  </si>
  <si>
    <t>YESME6094006843000</t>
  </si>
  <si>
    <t>NEFT Cr-MAHB0001461-DWARKADHIS PROJECTS PRIVA-Dwarkadhis Projects Pvt L-MAHBH00447704369</t>
  </si>
  <si>
    <t>YES0N6094919221900</t>
  </si>
  <si>
    <r>
      <rPr>
        <rFont val="Arial MT"/>
        <color theme="1"/>
        <sz val="9.0"/>
      </rPr>
      <t>B/F ...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</si>
</sst>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&quot;-&quot;mmm&quot;-&quot;yy"/>
    <numFmt numFmtId="165" formatCode="[&gt;=10000000]##\,##\,##\,##0.00;[&gt;=100000]\ ##\,##\,##0.00;##,##0.00"/>
    <numFmt numFmtId="166" formatCode="d\-mmm\-yy"/>
    <numFmt numFmtId="167" formatCode="d&quot;-&quot;mmm&quot;-&quot;yy"/>
    <numFmt numFmtId="168" formatCode="[&gt;=10000000]##\,##\,##\,##0;[&gt;=100000]\ ##\,##\,##0;##,##0"/>
    <numFmt numFmtId="169" formatCode="[&gt;=10000000]##\,##\,##\,##0.00;[&gt;=100000]##\,##\,##0.00;##,##0.00"/>
    <numFmt numFmtId="170" formatCode="dd\-mmm\-yyyy"/>
    <numFmt numFmtId="171" formatCode="[&gt;=10000000]##\,##\,##\,##0;[&gt;=100000]##\,##\,##0;##,##0"/>
    <numFmt numFmtId="172" formatCode="[&gt;9999999]##\,##\,##\,##0;[&gt;99999]##\,##\,##0;##,##0"/>
    <numFmt numFmtId="173" formatCode="yyyy\-mm\-dd"/>
    <numFmt numFmtId="174" formatCode="d\-mmm\-yyyy"/>
  </numFmts>
  <fonts count="3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CC0000"/>
      <name val="Arial"/>
    </font>
    <font>
      <sz val="10.0"/>
      <color rgb="FF00007F"/>
      <name val="Arial"/>
    </font>
    <font>
      <sz val="9.0"/>
      <color theme="1"/>
      <name val="Arial"/>
    </font>
    <font>
      <sz val="9.0"/>
      <color rgb="FFCC0000"/>
      <name val="Arial"/>
    </font>
    <font>
      <sz val="9.0"/>
      <color theme="1"/>
      <name val="Times New Roman"/>
    </font>
    <font>
      <sz val="9.0"/>
      <color rgb="FF0B111A"/>
      <name val="DM Sans"/>
    </font>
    <font>
      <sz val="10.0"/>
      <color rgb="FF0F2645"/>
      <name val="DM Sans"/>
    </font>
    <font>
      <u/>
      <sz val="10.0"/>
      <color rgb="FF1155CC"/>
      <name val="Arial"/>
    </font>
    <font>
      <b/>
      <sz val="12.0"/>
      <color rgb="FFFFFF00"/>
      <name val="Arial"/>
    </font>
    <font>
      <b/>
      <sz val="10.0"/>
      <color rgb="FF0000FF"/>
      <name val="Arial"/>
    </font>
    <font>
      <sz val="12.0"/>
      <color theme="1"/>
      <name val="Calibri"/>
    </font>
    <font>
      <i/>
      <sz val="12.0"/>
      <color theme="1"/>
      <name val="Calibri"/>
    </font>
    <font>
      <sz val="10.0"/>
      <color theme="1"/>
      <name val="Calibri"/>
    </font>
    <font>
      <sz val="10.0"/>
      <color theme="1"/>
      <name val="Verdana"/>
    </font>
    <font>
      <sz val="10.0"/>
      <color rgb="FFFF0000"/>
      <name val="Arial"/>
    </font>
    <font>
      <sz val="10.0"/>
      <color rgb="FF000000"/>
      <name val="Arial"/>
    </font>
    <font>
      <sz val="10.0"/>
      <color theme="1"/>
      <name val="Times New Roman"/>
    </font>
    <font>
      <sz val="10.0"/>
      <color rgb="FF707374"/>
      <name val="Proxima Nova"/>
    </font>
    <font>
      <sz val="11.0"/>
      <color theme="1"/>
      <name val="Calibri"/>
    </font>
    <font>
      <i/>
      <sz val="11.0"/>
      <color theme="1"/>
      <name val="Calibri"/>
    </font>
    <font>
      <sz val="9.0"/>
      <color rgb="FF38761D"/>
      <name val="Arial"/>
    </font>
    <font>
      <sz val="10.0"/>
      <color rgb="FF38761D"/>
      <name val="Arial"/>
    </font>
    <font>
      <sz val="10.0"/>
      <color rgb="FFFF0000"/>
      <name val="Verdana"/>
    </font>
    <font>
      <u/>
      <sz val="10.0"/>
      <color rgb="FF0000FF"/>
      <name val="Arial"/>
    </font>
    <font>
      <sz val="10.0"/>
      <color rgb="FF222222"/>
      <name val="Arial"/>
    </font>
    <font>
      <sz val="11.0"/>
      <color theme="1"/>
      <name val="Aptos Narrow"/>
    </font>
    <font>
      <color theme="1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5F5F5"/>
        <bgColor rgb="FFF5F5F5"/>
      </patternFill>
    </fill>
    <fill>
      <patternFill patternType="solid">
        <fgColor rgb="FF9FC5E8"/>
        <bgColor rgb="FF9FC5E8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2" fontId="2" numFmtId="15" xfId="0" applyAlignment="1" applyBorder="1" applyFill="1" applyFont="1" applyNumberFormat="1">
      <alignment horizontal="left" shrinkToFit="0" vertical="center" wrapText="1"/>
    </xf>
    <xf borderId="2" fillId="2" fontId="2" numFmtId="167" xfId="0" applyAlignment="1" applyBorder="1" applyFill="1" applyFont="1" applyNumberFormat="1">
      <alignment horizontal="left" shrinkToFit="0" vertical="center" wrapText="1"/>
    </xf>
    <xf borderId="2" fillId="2" fontId="2" numFmtId="15" xfId="0" applyAlignment="1" applyBorder="1" applyFill="1" applyFont="1" applyNumberFormat="1">
      <alignment horizontal="left" shrinkToFit="0" vertical="center" wrapText="1"/>
    </xf>
    <xf borderId="2" fillId="2" fontId="2" numFmtId="167" xfId="0" applyAlignment="1" applyBorder="1" applyFill="1" applyFont="1" applyNumberFormat="1">
      <alignment horizontal="left" vertical="center"/>
    </xf>
    <xf borderId="0" fillId="0" fontId="1" numFmtId="168" xfId="0" applyAlignment="1" applyFont="1" applyNumberFormat="1">
      <alignment shrinkToFit="0" wrapText="1"/>
    </xf>
    <xf borderId="0" fillId="0" fontId="1" numFmtId="165" xfId="0" applyFont="1" applyNumberFormat="1"/>
    <xf borderId="0" fillId="0" fontId="1" numFmtId="165" xfId="0" applyAlignment="1" applyFont="1" applyNumberFormat="1">
      <alignment shrinkToFit="0" vertical="center" wrapText="1"/>
    </xf>
    <xf borderId="0" fillId="0" fontId="1" numFmtId="169" xfId="0" applyFont="1" applyNumberFormat="1"/>
    <xf borderId="3" fillId="0" fontId="3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4" fillId="4" fontId="3" numFmtId="0" xfId="0" applyAlignment="1" applyBorder="1" applyFill="1" applyFont="1">
      <alignment shrinkToFit="0" vertical="top" wrapText="1"/>
    </xf>
    <xf borderId="4" fillId="4" fontId="3" numFmtId="0" xfId="0" applyAlignment="1" applyBorder="1" applyFill="1" applyFont="1">
      <alignment horizontal="center" shrinkToFit="0" vertical="top" wrapText="1"/>
    </xf>
    <xf borderId="4" fillId="4" fontId="3" numFmtId="165" xfId="0" applyAlignment="1" applyBorder="1" applyFill="1" applyFont="1" applyNumberFormat="1">
      <alignment horizontal="right" shrinkToFit="0" vertical="top" wrapText="1"/>
    </xf>
    <xf borderId="2" fillId="5" fontId="3" numFmtId="168" xfId="0" applyAlignment="1" applyBorder="1" applyFill="1" applyFont="1" applyNumberFormat="1">
      <alignment shrinkToFit="0" vertical="top" wrapText="1"/>
    </xf>
    <xf borderId="2" fillId="5" fontId="5" numFmtId="168" xfId="0" applyAlignment="1" applyBorder="1" applyFill="1" applyFont="1" applyNumberFormat="1">
      <alignment shrinkToFit="0" vertical="top" wrapText="1"/>
    </xf>
    <xf borderId="3" fillId="0" fontId="3" numFmtId="165" xfId="0" applyAlignment="1" applyBorder="1" applyFont="1" applyNumberFormat="1">
      <alignment shrinkToFit="0" vertical="top" wrapText="1"/>
    </xf>
    <xf borderId="2" fillId="5" fontId="3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4" fillId="4" fontId="3" numFmtId="165" xfId="0" applyAlignment="1" applyBorder="1" applyFill="1" applyFont="1" applyNumberForma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3" fillId="0" fontId="3" numFmtId="168" xfId="0" applyAlignment="1" applyBorder="1" applyFont="1" applyNumberFormat="1">
      <alignment shrinkToFit="0" vertical="top" wrapText="1"/>
    </xf>
    <xf borderId="0" fillId="0" fontId="3" numFmtId="169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3" fillId="0" fontId="3" numFmtId="165" xfId="0" applyAlignment="1" applyBorder="1" applyFont="1" applyNumberFormat="1">
      <alignment shrinkToFit="0" vertical="center" wrapText="1"/>
    </xf>
    <xf borderId="4" fillId="5" fontId="3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right" shrinkToFit="0" wrapText="1"/>
    </xf>
    <xf borderId="2" fillId="0" fontId="1" numFmtId="0" xfId="0" applyAlignment="1" applyBorder="1" applyFont="1">
      <alignment shrinkToFit="0" wrapText="1"/>
    </xf>
    <xf borderId="2" fillId="0" fontId="1" numFmtId="170" xfId="0" applyAlignment="1" applyBorder="1" applyFont="1" applyNumberFormat="1">
      <alignment shrinkToFit="0" wrapText="1"/>
    </xf>
    <xf borderId="2" fillId="0" fontId="1" numFmtId="165" xfId="0" applyAlignment="1" applyBorder="1" applyFont="1" applyNumberFormat="1">
      <alignment horizontal="right" shrinkToFit="0" wrapText="1"/>
    </xf>
    <xf borderId="2" fillId="0" fontId="6" numFmtId="0" xfId="0" applyAlignment="1" applyBorder="1" applyFont="1">
      <alignment shrinkToFit="0" wrapText="1"/>
    </xf>
    <xf borderId="3" fillId="0" fontId="1" numFmtId="0" xfId="0" applyAlignment="1" applyBorder="1" applyFont="1">
      <alignment horizontal="right" shrinkToFit="0" wrapText="1"/>
    </xf>
    <xf borderId="3" fillId="0" fontId="1" numFmtId="0" xfId="0" applyAlignment="1" applyBorder="1" applyFont="1">
      <alignment shrinkToFit="0" wrapText="1"/>
    </xf>
    <xf borderId="2" fillId="0" fontId="1" numFmtId="0" xfId="0" applyBorder="1" applyFont="1"/>
    <xf borderId="3" fillId="0" fontId="1" numFmtId="170" xfId="0" applyAlignment="1" applyBorder="1" applyFont="1" applyNumberFormat="1">
      <alignment shrinkToFit="0" wrapText="1"/>
    </xf>
    <xf borderId="3" fillId="0" fontId="1" numFmtId="0" xfId="0" applyBorder="1" applyFont="1"/>
    <xf borderId="3" fillId="0" fontId="1" numFmtId="171" xfId="0" applyAlignment="1" applyBorder="1" applyFont="1" applyNumberFormat="1">
      <alignment horizontal="right" shrinkToFit="0" wrapText="1"/>
    </xf>
    <xf borderId="3" fillId="0" fontId="7" numFmtId="0" xfId="0" applyAlignment="1" applyBorder="1" applyFont="1">
      <alignment shrinkToFit="0" wrapText="1"/>
    </xf>
    <xf borderId="2" fillId="0" fontId="1" numFmtId="171" xfId="0" applyBorder="1" applyFont="1" applyNumberFormat="1"/>
    <xf borderId="3" fillId="0" fontId="3" numFmtId="0" xfId="0" applyAlignment="1" applyBorder="1" applyFont="1">
      <alignment shrinkToFit="0" vertical="center" wrapText="1"/>
    </xf>
    <xf borderId="2" fillId="0" fontId="6" numFmtId="169" xfId="0" applyAlignment="1" applyBorder="1" applyFont="1" applyNumberFormat="1">
      <alignment horizontal="right" shrinkToFit="0" wrapText="1"/>
    </xf>
    <xf borderId="2" fillId="0" fontId="1" numFmtId="171" xfId="0" applyAlignment="1" applyBorder="1" applyFont="1" applyNumberFormat="1">
      <alignment horizontal="right" shrinkToFit="0" wrapText="1"/>
    </xf>
    <xf borderId="2" fillId="0" fontId="8" numFmtId="0" xfId="0" applyAlignment="1" applyBorder="1" applyFont="1">
      <alignment shrinkToFit="0" vertical="top" wrapText="1"/>
    </xf>
    <xf borderId="2" fillId="0" fontId="8" numFmtId="165" xfId="0" applyAlignment="1" applyBorder="1" applyFont="1" applyNumberFormat="1">
      <alignment horizontal="right" vertical="top"/>
    </xf>
    <xf borderId="2" fillId="0" fontId="1" numFmtId="165" xfId="0" applyAlignment="1" applyBorder="1" applyFont="1" applyNumberFormat="1">
      <alignment horizontal="right" shrinkToFit="0" vertical="center" wrapText="1"/>
    </xf>
    <xf borderId="2" fillId="0" fontId="8" numFmtId="165" xfId="0" applyAlignment="1" applyBorder="1" applyFont="1" applyNumberFormat="1">
      <alignment horizontal="right" shrinkToFit="0" vertical="center" wrapText="1"/>
    </xf>
    <xf borderId="2" fillId="0" fontId="1" numFmtId="169" xfId="0" applyAlignment="1" applyBorder="1" applyFont="1" applyNumberFormat="1">
      <alignment horizontal="right" shrinkToFit="0" wrapText="1"/>
    </xf>
    <xf borderId="0" fillId="0" fontId="1" numFmtId="171" xfId="0" applyAlignment="1" applyFont="1" applyNumberFormat="1">
      <alignment shrinkToFit="0" wrapText="1"/>
    </xf>
    <xf borderId="2" fillId="0" fontId="1" numFmtId="0" xfId="0" applyAlignment="1" applyBorder="1" applyFont="1">
      <alignment shrinkToFit="0" vertical="center" wrapText="1"/>
    </xf>
    <xf quotePrefix="1" borderId="2" fillId="0" fontId="1" numFmtId="170" xfId="0" applyAlignment="1" applyBorder="1" applyFont="1" applyNumberFormat="1">
      <alignment shrinkToFit="0" wrapText="1"/>
    </xf>
    <xf borderId="0" fillId="0" fontId="9" numFmtId="0" xfId="0" applyAlignment="1" applyFont="1">
      <alignment shrinkToFit="0" wrapText="1"/>
    </xf>
    <xf quotePrefix="1" borderId="2" fillId="0" fontId="1" numFmtId="0" xfId="0" applyAlignment="1" applyBorder="1" applyFont="1">
      <alignment shrinkToFit="0" wrapText="1"/>
    </xf>
    <xf borderId="2" fillId="0" fontId="1" numFmtId="3" xfId="0" applyAlignment="1" applyBorder="1" applyFont="1" applyNumberFormat="1">
      <alignment horizontal="right" shrinkToFit="0" wrapText="1"/>
    </xf>
    <xf borderId="2" fillId="0" fontId="8" numFmtId="0" xfId="0" applyAlignment="1" applyBorder="1" applyFont="1">
      <alignment vertical="top"/>
    </xf>
    <xf borderId="2" fillId="0" fontId="7" numFmtId="0" xfId="0" applyAlignment="1" applyBorder="1" applyFont="1">
      <alignment shrinkToFit="0" wrapText="1"/>
    </xf>
    <xf borderId="2" fillId="0" fontId="6" numFmtId="165" xfId="0" applyAlignment="1" applyBorder="1" applyFont="1" applyNumberFormat="1">
      <alignment horizontal="right" shrinkToFit="0" wrapText="1"/>
    </xf>
    <xf borderId="0" fillId="0" fontId="1" numFmtId="169" xfId="0" applyAlignment="1" applyFont="1" applyNumberFormat="1">
      <alignment shrinkToFit="0" wrapText="1"/>
    </xf>
    <xf quotePrefix="1" borderId="2" fillId="0" fontId="8" numFmtId="170" xfId="0" applyAlignment="1" applyBorder="1" applyFont="1" applyNumberFormat="1">
      <alignment vertical="top"/>
    </xf>
    <xf borderId="2" fillId="0" fontId="10" numFmtId="0" xfId="0" applyAlignment="1" applyBorder="1" applyFont="1">
      <alignment shrinkToFit="0" wrapText="1"/>
    </xf>
    <xf borderId="2" fillId="0" fontId="8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shrinkToFit="0" wrapText="1"/>
    </xf>
    <xf borderId="2" fillId="0" fontId="1" numFmtId="9" xfId="0" applyAlignment="1" applyBorder="1" applyFont="1" applyNumberFormat="1">
      <alignment shrinkToFit="0" wrapText="1"/>
    </xf>
    <xf borderId="2" fillId="0" fontId="8" numFmtId="170" xfId="0" applyAlignment="1" applyBorder="1" applyFont="1" applyNumberFormat="1">
      <alignment vertical="top"/>
    </xf>
    <xf borderId="2" fillId="0" fontId="10" numFmtId="0" xfId="0" applyBorder="1" applyFont="1"/>
    <xf borderId="2" fillId="0" fontId="1" numFmtId="9" xfId="0" applyBorder="1" applyFont="1" applyNumberFormat="1"/>
    <xf borderId="2" fillId="0" fontId="6" numFmtId="171" xfId="0" applyAlignment="1" applyBorder="1" applyFont="1" applyNumberFormat="1">
      <alignment horizontal="right" shrinkToFit="0" wrapText="1"/>
    </xf>
    <xf borderId="0" fillId="0" fontId="1" numFmtId="165" xfId="0" applyAlignment="1" applyFont="1" applyNumberFormat="1">
      <alignment shrinkToFit="0" wrapText="1"/>
    </xf>
    <xf borderId="2" fillId="3" fontId="8" numFmtId="165" xfId="0" applyAlignment="1" applyBorder="1" applyFill="1" applyFont="1" applyNumberFormat="1">
      <alignment horizontal="right" vertical="top"/>
    </xf>
    <xf borderId="2" fillId="0" fontId="8" numFmtId="3" xfId="0" applyAlignment="1" applyBorder="1" applyFont="1" applyNumberFormat="1">
      <alignment horizontal="right" shrinkToFit="0" vertical="top" wrapText="1"/>
    </xf>
    <xf borderId="0" fillId="0" fontId="8" numFmtId="171" xfId="0" applyAlignment="1" applyFont="1" applyNumberFormat="1">
      <alignment shrinkToFit="0" wrapText="1"/>
    </xf>
    <xf borderId="2" fillId="6" fontId="8" numFmtId="165" xfId="0" applyAlignment="1" applyBorder="1" applyFill="1" applyFont="1" applyNumberFormat="1">
      <alignment horizontal="right" vertical="top"/>
    </xf>
    <xf borderId="2" fillId="0" fontId="8" numFmtId="170" xfId="0" applyAlignment="1" applyBorder="1" applyFont="1" applyNumberFormat="1">
      <alignment shrinkToFit="0" vertical="top" wrapText="1"/>
    </xf>
    <xf borderId="2" fillId="3" fontId="8" numFmtId="3" xfId="0" applyAlignment="1" applyBorder="1" applyFill="1" applyFont="1" applyNumberFormat="1">
      <alignment horizontal="right" shrinkToFit="0" vertical="top" wrapText="1"/>
    </xf>
    <xf borderId="2" fillId="0" fontId="8" numFmtId="0" xfId="0" applyAlignment="1" applyBorder="1" applyFont="1">
      <alignment horizontal="left" shrinkToFit="0" wrapText="1"/>
    </xf>
    <xf borderId="0" fillId="0" fontId="6" numFmtId="0" xfId="0" applyAlignment="1" applyFont="1">
      <alignment shrinkToFit="0" wrapText="1"/>
    </xf>
    <xf borderId="2" fillId="7" fontId="1" numFmtId="0" xfId="0" applyAlignment="1" applyBorder="1" applyFill="1" applyFont="1">
      <alignment shrinkToFit="0" wrapText="1"/>
    </xf>
    <xf borderId="2" fillId="8" fontId="11" numFmtId="0" xfId="0" applyAlignment="1" applyBorder="1" applyFill="1" applyFont="1">
      <alignment shrinkToFit="0" wrapText="1"/>
    </xf>
    <xf borderId="2" fillId="5" fontId="1" numFmtId="0" xfId="0" applyAlignment="1" applyBorder="1" applyFill="1" applyFont="1">
      <alignment shrinkToFit="0" wrapText="1"/>
    </xf>
    <xf borderId="1" fillId="3" fontId="12" numFmtId="0" xfId="0" applyBorder="1" applyFill="1" applyFont="1"/>
    <xf borderId="2" fillId="6" fontId="8" numFmtId="3" xfId="0" applyAlignment="1" applyBorder="1" applyFill="1" applyFont="1" applyNumberFormat="1">
      <alignment horizontal="right" shrinkToFit="0" vertical="top" wrapText="1"/>
    </xf>
    <xf borderId="5" fillId="0" fontId="8" numFmtId="0" xfId="0" applyAlignment="1" applyBorder="1" applyFont="1">
      <alignment shrinkToFit="0" vertical="top" wrapText="1"/>
    </xf>
    <xf borderId="2" fillId="0" fontId="13" numFmtId="0" xfId="0" applyBorder="1" applyFont="1"/>
    <xf borderId="2" fillId="2" fontId="14" numFmtId="0" xfId="0" applyBorder="1" applyFill="1" applyFont="1"/>
    <xf borderId="2" fillId="9" fontId="15" numFmtId="0" xfId="0" applyAlignment="1" applyBorder="1" applyFill="1" applyFont="1">
      <alignment horizontal="right"/>
    </xf>
    <xf borderId="2" fillId="9" fontId="15" numFmtId="0" xfId="0" applyAlignment="1" applyBorder="1" applyFill="1" applyFont="1">
      <alignment shrinkToFit="0" wrapText="1"/>
    </xf>
    <xf borderId="2" fillId="0" fontId="1" numFmtId="172" xfId="0" applyBorder="1" applyFont="1" applyNumberFormat="1"/>
    <xf borderId="2" fillId="0" fontId="16" numFmtId="172" xfId="0" applyAlignment="1" applyBorder="1" applyFont="1" applyNumberFormat="1">
      <alignment horizontal="right"/>
    </xf>
    <xf borderId="2" fillId="4" fontId="1" numFmtId="0" xfId="0" applyBorder="1" applyFill="1" applyFont="1"/>
    <xf borderId="2" fillId="0" fontId="17" numFmtId="172" xfId="0" applyAlignment="1" applyBorder="1" applyFont="1" applyNumberFormat="1">
      <alignment horizontal="right"/>
    </xf>
    <xf borderId="2" fillId="0" fontId="1" numFmtId="167" xfId="0" applyBorder="1" applyFont="1" applyNumberFormat="1"/>
    <xf borderId="2" fillId="0" fontId="18" numFmtId="0" xfId="0" applyAlignment="1" applyBorder="1" applyFont="1">
      <alignment horizontal="right" shrinkToFit="0" vertical="top" wrapText="1"/>
    </xf>
    <xf borderId="2" fillId="0" fontId="19" numFmtId="164" xfId="0" applyAlignment="1" applyBorder="1" applyFont="1" applyNumberFormat="1">
      <alignment horizontal="center"/>
    </xf>
    <xf borderId="2" fillId="0" fontId="19" numFmtId="0" xfId="0" applyAlignment="1" applyBorder="1" applyFont="1">
      <alignment horizontal="center"/>
    </xf>
    <xf borderId="2" fillId="0" fontId="19" numFmtId="0" xfId="0" applyAlignment="1" applyBorder="1" applyFont="1">
      <alignment horizontal="left" shrinkToFit="0" wrapText="1"/>
    </xf>
    <xf borderId="2" fillId="0" fontId="19" numFmtId="0" xfId="0" applyAlignment="1" applyBorder="1" applyFont="1">
      <alignment horizontal="center" shrinkToFit="0" wrapText="1"/>
    </xf>
    <xf borderId="2" fillId="0" fontId="19" numFmtId="165" xfId="0" applyAlignment="1" applyBorder="1" applyFont="1" applyNumberFormat="1">
      <alignment horizontal="right"/>
    </xf>
    <xf borderId="2" fillId="0" fontId="20" numFmtId="0" xfId="0" applyAlignment="1" applyBorder="1" applyFont="1">
      <alignment shrinkToFit="0" wrapText="1"/>
    </xf>
    <xf borderId="2" fillId="0" fontId="21" numFmtId="0" xfId="0" applyAlignment="1" applyBorder="1" applyFont="1">
      <alignment shrinkToFit="0" wrapText="1"/>
    </xf>
    <xf quotePrefix="1" borderId="2" fillId="0" fontId="1" numFmtId="173" xfId="0" applyAlignment="1" applyBorder="1" applyFont="1" applyNumberFormat="1">
      <alignment shrinkToFit="0" wrapText="1"/>
    </xf>
    <xf borderId="0" fillId="0" fontId="8" numFmtId="0" xfId="0" applyAlignment="1" applyFont="1">
      <alignment shrinkToFit="0" wrapText="1"/>
    </xf>
    <xf quotePrefix="1" borderId="2" fillId="0" fontId="8" numFmtId="170" xfId="0" applyAlignment="1" applyBorder="1" applyFont="1" applyNumberFormat="1">
      <alignment shrinkToFit="0" vertical="top" wrapText="1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right" shrinkToFit="0" wrapText="1"/>
    </xf>
    <xf quotePrefix="1" borderId="2" fillId="0" fontId="8" numFmtId="170" xfId="0" applyAlignment="1" applyBorder="1" applyFont="1" applyNumberFormat="1">
      <alignment shrinkToFit="0" wrapText="1"/>
    </xf>
    <xf borderId="2" fillId="0" fontId="8" numFmtId="0" xfId="0" applyBorder="1" applyFont="1"/>
    <xf borderId="2" fillId="0" fontId="8" numFmtId="171" xfId="0" applyAlignment="1" applyBorder="1" applyFont="1" applyNumberFormat="1">
      <alignment horizontal="right" shrinkToFit="0" wrapText="1"/>
    </xf>
    <xf quotePrefix="1" borderId="2" fillId="0" fontId="8" numFmtId="173" xfId="0" applyAlignment="1" applyBorder="1" applyFont="1" applyNumberFormat="1">
      <alignment shrinkToFit="0" wrapText="1"/>
    </xf>
    <xf borderId="2" fillId="0" fontId="8" numFmtId="174" xfId="0" applyAlignment="1" applyBorder="1" applyFont="1" applyNumberFormat="1">
      <alignment shrinkToFit="0" vertical="top" wrapText="1"/>
    </xf>
    <xf borderId="2" fillId="0" fontId="8" numFmtId="168" xfId="0" applyAlignment="1" applyBorder="1" applyFont="1" applyNumberFormat="1">
      <alignment horizontal="right" shrinkToFit="0" vertical="top" wrapText="1"/>
    </xf>
    <xf borderId="2" fillId="0" fontId="22" numFmtId="0" xfId="0" applyBorder="1" applyFont="1"/>
    <xf borderId="1" fillId="10" fontId="23" numFmtId="0" xfId="0" applyAlignment="1" applyBorder="1" applyFill="1" applyFont="1">
      <alignment horizontal="left"/>
    </xf>
    <xf borderId="6" fillId="9" fontId="15" numFmtId="0" xfId="0" applyAlignment="1" applyBorder="1" applyFill="1" applyFont="1">
      <alignment horizontal="right"/>
    </xf>
    <xf borderId="6" fillId="9" fontId="15" numFmtId="0" xfId="0" applyAlignment="1" applyBorder="1" applyFill="1" applyFont="1">
      <alignment shrinkToFit="0" wrapText="1"/>
    </xf>
    <xf borderId="7" fillId="0" fontId="1" numFmtId="172" xfId="0" applyBorder="1" applyFont="1" applyNumberFormat="1"/>
    <xf borderId="7" fillId="0" fontId="24" numFmtId="168" xfId="0" applyAlignment="1" applyBorder="1" applyFont="1" applyNumberFormat="1">
      <alignment horizontal="right"/>
    </xf>
    <xf borderId="7" fillId="0" fontId="25" numFmtId="172" xfId="0" applyAlignment="1" applyBorder="1" applyFont="1" applyNumberFormat="1">
      <alignment horizontal="right"/>
    </xf>
    <xf borderId="1" fillId="2" fontId="2" numFmtId="167" xfId="0" applyAlignment="1" applyBorder="1" applyFill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2" fillId="0" fontId="19" numFmtId="166" xfId="0" applyAlignment="1" applyBorder="1" applyFont="1" applyNumberFormat="1">
      <alignment horizontal="center"/>
    </xf>
    <xf borderId="2" fillId="0" fontId="26" numFmtId="0" xfId="0" applyAlignment="1" applyBorder="1" applyFont="1">
      <alignment horizontal="left"/>
    </xf>
    <xf borderId="2" fillId="0" fontId="27" numFmtId="0" xfId="0" applyAlignment="1" applyBorder="1" applyFont="1">
      <alignment shrinkToFit="0" wrapText="1"/>
    </xf>
    <xf borderId="2" fillId="3" fontId="19" numFmtId="165" xfId="0" applyAlignment="1" applyBorder="1" applyFill="1" applyFont="1" applyNumberFormat="1">
      <alignment horizontal="right"/>
    </xf>
    <xf borderId="2" fillId="0" fontId="4" numFmtId="165" xfId="0" applyAlignment="1" applyBorder="1" applyFont="1" applyNumberFormat="1">
      <alignment horizontal="right" vertical="top"/>
    </xf>
    <xf borderId="2" fillId="6" fontId="19" numFmtId="165" xfId="0" applyAlignment="1" applyBorder="1" applyFill="1" applyFont="1" applyNumberFormat="1">
      <alignment horizontal="right"/>
    </xf>
    <xf borderId="0" fillId="0" fontId="18" numFmtId="0" xfId="0" applyAlignment="1" applyFont="1">
      <alignment horizontal="right" shrinkToFit="0" vertical="top" wrapText="1"/>
    </xf>
    <xf borderId="0" fillId="0" fontId="19" numFmtId="164" xfId="0" applyAlignment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left"/>
    </xf>
    <xf borderId="0" fillId="0" fontId="19" numFmtId="165" xfId="0" applyAlignment="1" applyFont="1" applyNumberFormat="1">
      <alignment horizontal="right"/>
    </xf>
    <xf borderId="0" fillId="0" fontId="8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20" numFmtId="0" xfId="0" applyAlignment="1" applyFont="1">
      <alignment shrinkToFit="0" wrapText="1"/>
    </xf>
    <xf borderId="0" fillId="0" fontId="21" numFmtId="0" xfId="0" applyAlignment="1" applyFont="1">
      <alignment shrinkToFit="0" wrapText="1"/>
    </xf>
    <xf borderId="0" fillId="0" fontId="1" numFmtId="168" xfId="0" applyFont="1" applyNumberFormat="1"/>
    <xf borderId="2" fillId="0" fontId="8" numFmtId="3" xfId="0" applyAlignment="1" applyBorder="1" applyFont="1" applyNumberFormat="1">
      <alignment horizontal="right" vertical="top"/>
    </xf>
    <xf borderId="2" fillId="0" fontId="8" numFmtId="168" xfId="0" applyAlignment="1" applyBorder="1" applyFont="1" applyNumberFormat="1">
      <alignment horizontal="right" vertical="top"/>
    </xf>
    <xf borderId="0" fillId="0" fontId="19" numFmtId="0" xfId="0" applyAlignment="1" applyFont="1">
      <alignment horizontal="left" shrinkToFit="0" wrapText="1"/>
    </xf>
    <xf borderId="0" fillId="0" fontId="28" numFmtId="165" xfId="0" applyAlignment="1" applyFont="1" applyNumberFormat="1">
      <alignment horizontal="right"/>
    </xf>
    <xf borderId="2" fillId="3" fontId="8" numFmtId="3" xfId="0" applyAlignment="1" applyBorder="1" applyFill="1" applyFont="1" applyNumberFormat="1">
      <alignment horizontal="right" vertical="top"/>
    </xf>
    <xf borderId="2" fillId="3" fontId="8" numFmtId="168" xfId="0" applyAlignment="1" applyBorder="1" applyFill="1" applyFont="1" applyNumberFormat="1">
      <alignment horizontal="right" vertical="top"/>
    </xf>
    <xf borderId="2" fillId="3" fontId="8" numFmtId="165" xfId="0" applyAlignment="1" applyBorder="1" applyFill="1" applyFont="1" applyNumberFormat="1">
      <alignment horizontal="right" shrinkToFit="0" vertical="center" wrapText="1"/>
    </xf>
    <xf borderId="2" fillId="6" fontId="8" numFmtId="165" xfId="0" applyAlignment="1" applyBorder="1" applyFill="1" applyFont="1" applyNumberFormat="1">
      <alignment horizontal="right" shrinkToFit="0" vertical="center" wrapText="1"/>
    </xf>
    <xf borderId="2" fillId="4" fontId="21" numFmtId="0" xfId="0" applyBorder="1" applyFill="1" applyFont="1"/>
    <xf borderId="2" fillId="6" fontId="8" numFmtId="168" xfId="0" applyAlignment="1" applyBorder="1" applyFill="1" applyFont="1" applyNumberFormat="1">
      <alignment horizontal="right" vertical="top"/>
    </xf>
    <xf borderId="0" fillId="0" fontId="29" numFmtId="168" xfId="0" applyFont="1" applyNumberFormat="1"/>
    <xf borderId="2" fillId="0" fontId="24" numFmtId="0" xfId="0" applyBorder="1" applyFont="1"/>
    <xf borderId="2" fillId="0" fontId="1" numFmtId="168" xfId="0" applyAlignment="1" applyBorder="1" applyFont="1" applyNumberFormat="1">
      <alignment horizontal="right"/>
    </xf>
    <xf borderId="8" fillId="0" fontId="21" numFmtId="0" xfId="0" applyBorder="1" applyFont="1"/>
    <xf borderId="9" fillId="0" fontId="21" numFmtId="0" xfId="0" applyBorder="1" applyFont="1"/>
    <xf borderId="10" fillId="0" fontId="21" numFmtId="0" xfId="0" applyBorder="1" applyFont="1"/>
    <xf borderId="9" fillId="0" fontId="21" numFmtId="165" xfId="0" applyBorder="1" applyFont="1" applyNumberFormat="1"/>
    <xf borderId="11" fillId="0" fontId="21" numFmtId="165" xfId="0" applyBorder="1" applyFont="1" applyNumberFormat="1"/>
    <xf borderId="1" fillId="3" fontId="30" numFmtId="0" xfId="0" applyAlignment="1" applyBorder="1" applyFill="1" applyFont="1">
      <alignment shrinkToFit="0" wrapText="1"/>
    </xf>
    <xf borderId="9" fillId="0" fontId="21" numFmtId="171" xfId="0" applyBorder="1" applyFont="1" applyNumberFormat="1"/>
    <xf borderId="11" fillId="0" fontId="21" numFmtId="171" xfId="0" applyBorder="1" applyFont="1" applyNumberFormat="1"/>
    <xf borderId="9" fillId="0" fontId="21" numFmtId="3" xfId="0" applyBorder="1" applyFont="1" applyNumberFormat="1"/>
    <xf borderId="11" fillId="0" fontId="21" numFmtId="168" xfId="0" applyBorder="1" applyFont="1" applyNumberFormat="1"/>
    <xf borderId="9" fillId="0" fontId="21" numFmtId="168" xfId="0" applyBorder="1" applyFont="1" applyNumberFormat="1"/>
    <xf borderId="11" fillId="0" fontId="21" numFmtId="3" xfId="0" applyBorder="1" applyFont="1" applyNumberFormat="1"/>
    <xf borderId="12" fillId="0" fontId="21" numFmtId="0" xfId="0" applyBorder="1" applyFont="1"/>
    <xf borderId="12" fillId="0" fontId="21" numFmtId="165" xfId="0" applyBorder="1" applyFont="1" applyNumberFormat="1"/>
    <xf borderId="13" fillId="0" fontId="21" numFmtId="165" xfId="0" applyBorder="1" applyFont="1" applyNumberFormat="1"/>
    <xf borderId="12" fillId="0" fontId="21" numFmtId="3" xfId="0" applyBorder="1" applyFont="1" applyNumberFormat="1"/>
    <xf borderId="13" fillId="0" fontId="21" numFmtId="3" xfId="0" applyBorder="1" applyFont="1" applyNumberFormat="1"/>
    <xf borderId="13" fillId="0" fontId="21" numFmtId="168" xfId="0" applyBorder="1" applyFont="1" applyNumberFormat="1"/>
    <xf borderId="14" fillId="0" fontId="21" numFmtId="0" xfId="0" applyBorder="1" applyFont="1"/>
    <xf borderId="15" fillId="0" fontId="21" numFmtId="0" xfId="0" applyBorder="1" applyFont="1"/>
    <xf borderId="12" fillId="0" fontId="21" numFmtId="171" xfId="0" applyBorder="1" applyFont="1" applyNumberFormat="1"/>
    <xf borderId="13" fillId="0" fontId="21" numFmtId="171" xfId="0" applyBorder="1" applyFont="1" applyNumberFormat="1"/>
    <xf borderId="2" fillId="0" fontId="1" numFmtId="168" xfId="0" applyBorder="1" applyFont="1" applyNumberFormat="1"/>
    <xf borderId="2" fillId="0" fontId="3" numFmtId="168" xfId="0" applyAlignment="1" applyBorder="1" applyFont="1" applyNumberFormat="1">
      <alignment horizontal="right"/>
    </xf>
    <xf borderId="7" fillId="0" fontId="1" numFmtId="168" xfId="0" applyBorder="1" applyFont="1" applyNumberFormat="1"/>
    <xf borderId="0" fillId="0" fontId="3" numFmtId="0" xfId="0" applyFont="1"/>
    <xf borderId="7" fillId="0" fontId="1" numFmtId="0" xfId="0" applyBorder="1" applyFont="1"/>
    <xf borderId="2" fillId="6" fontId="1" numFmtId="168" xfId="0" applyBorder="1" applyFill="1" applyFont="1" applyNumberFormat="1"/>
    <xf borderId="2" fillId="11" fontId="31" numFmtId="168" xfId="0" applyBorder="1" applyFill="1" applyFont="1" applyNumberFormat="1"/>
    <xf borderId="2" fillId="11" fontId="31" numFmtId="0" xfId="0" applyBorder="1" applyFill="1" applyFont="1"/>
    <xf borderId="0" fillId="0" fontId="32" numFmtId="0" xfId="0" applyFont="1"/>
    <xf borderId="2" fillId="11" fontId="1" numFmtId="0" xfId="0" applyBorder="1" applyFill="1" applyFont="1"/>
    <xf borderId="2" fillId="11" fontId="3" numFmtId="168" xfId="0" applyAlignment="1" applyBorder="1" applyFill="1" applyFont="1" applyNumberFormat="1">
      <alignment horizontal="right"/>
    </xf>
    <xf borderId="0" fillId="0" fontId="33" numFmtId="0" xfId="0" applyAlignment="1" applyFont="1">
      <alignment readingOrder="0"/>
    </xf>
    <xf borderId="0" fillId="0" fontId="32" numFmtId="0" xfId="0" applyAlignment="1" applyFont="1">
      <alignment readingOrder="0"/>
    </xf>
    <xf borderId="2" fillId="0" fontId="3" numFmtId="0" xfId="0" applyBorder="1" applyFont="1"/>
    <xf borderId="0" fillId="4" fontId="32" numFmtId="0" xfId="0" applyAlignment="1" applyFill="1" applyFont="1">
      <alignment readingOrder="0"/>
    </xf>
    <xf borderId="0" fillId="4" fontId="32" numFmtId="0" xfId="0" applyFill="1" applyFont="1"/>
    <xf borderId="2" fillId="0" fontId="4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6.xml"/><Relationship Id="rId11" Type="http://schemas.openxmlformats.org/officeDocument/2006/relationships/worksheet" Target="worksheets/sheet8.xml"/><Relationship Id="rId22" Type="http://schemas.openxmlformats.org/officeDocument/2006/relationships/pivotCacheDefinition" Target="pivotCache/pivotCacheDefinition8.xml"/><Relationship Id="rId10" Type="http://schemas.openxmlformats.org/officeDocument/2006/relationships/worksheet" Target="worksheets/sheet7.xml"/><Relationship Id="rId21" Type="http://schemas.openxmlformats.org/officeDocument/2006/relationships/pivotCacheDefinition" Target="pivotCache/pivotCacheDefinition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W236" sheet="YES Master 0264"/>
  </cacheSource>
  <cacheFields>
    <cacheField name="SL#" numFmtId="0">
      <sharedItems containsString="0" containsBlank="1" containsNumber="1" containsInteger="1">
        <m/>
        <n v="4.0"/>
        <n v="5.0"/>
        <n v="6.0"/>
        <n v="229.0"/>
        <n v="228.0"/>
        <n v="227.0"/>
        <n v="226.0"/>
        <n v="225.0"/>
        <n v="224.0"/>
        <n v="223.0"/>
        <n v="222.0"/>
        <n v="221.0"/>
        <n v="220.0"/>
        <n v="219.0"/>
        <n v="218.0"/>
        <n v="217.0"/>
        <n v="216.0"/>
        <n v="215.0"/>
        <n v="214.0"/>
        <n v="213.0"/>
        <n v="212.0"/>
        <n v="211.0"/>
        <n v="210.0"/>
        <n v="209.0"/>
        <n v="208.0"/>
        <n v="207.0"/>
        <n v="206.0"/>
        <n v="205.0"/>
        <n v="204.0"/>
        <n v="203.0"/>
        <n v="202.0"/>
        <n v="201.0"/>
        <n v="200.0"/>
        <n v="199.0"/>
        <n v="198.0"/>
        <n v="197.0"/>
        <n v="196.0"/>
        <n v="195.0"/>
        <n v="194.0"/>
        <n v="193.0"/>
        <n v="192.0"/>
        <n v="191.0"/>
        <n v="190.0"/>
        <n v="189.0"/>
        <n v="188.0"/>
        <n v="187.0"/>
        <n v="186.0"/>
        <n v="185.0"/>
        <n v="184.0"/>
        <n v="183.0"/>
        <n v="182.0"/>
        <n v="181.0"/>
        <n v="180.0"/>
        <n v="179.0"/>
        <n v="178.0"/>
        <n v="177.0"/>
        <n v="176.0"/>
        <n v="175.0"/>
        <n v="174.0"/>
        <n v="173.0"/>
        <n v="172.0"/>
        <n v="171.0"/>
        <n v="170.0"/>
        <n v="169.0"/>
        <n v="168.0"/>
        <n v="167.0"/>
        <n v="166.0"/>
        <n v="165.0"/>
        <n v="164.0"/>
        <n v="163.0"/>
        <n v="162.0"/>
        <n v="161.0"/>
        <n v="160.0"/>
        <n v="159.0"/>
        <n v="158.0"/>
        <n v="157.0"/>
        <n v="156.0"/>
        <n v="155.0"/>
        <n v="154.0"/>
        <n v="153.0"/>
        <n v="152.0"/>
        <n v="151.0"/>
        <n v="150.0"/>
        <n v="149.0"/>
        <n v="148.0"/>
        <n v="147.0"/>
        <n v="146.0"/>
        <n v="145.0"/>
        <n v="144.0"/>
        <n v="143.0"/>
        <n v="142.0"/>
        <n v="141.0"/>
        <n v="140.0"/>
        <n v="139.0"/>
        <n v="138.0"/>
        <n v="137.0"/>
        <n v="136.0"/>
        <n v="135.0"/>
        <n v="134.0"/>
        <n v="133.0"/>
        <n v="132.0"/>
        <n v="131.0"/>
        <n v="130.0"/>
        <n v="129.0"/>
        <n v="128.0"/>
        <n v="127.0"/>
        <n v="126.0"/>
        <n v="125.0"/>
        <n v="124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3.0"/>
        <n v="2.0"/>
        <n v="1.0"/>
      </sharedItems>
    </cacheField>
    <cacheField name="QTR" numFmtId="0">
      <sharedItems containsBlank="1">
        <m/>
        <s v="Q2"/>
        <s v=""/>
        <e v="#NAME?"/>
      </sharedItems>
    </cacheField>
    <cacheField name="MONTH" numFmtId="0">
      <sharedItems containsString="0" containsBlank="1" containsNumber="1" containsInteger="1">
        <m/>
        <n v="8.0"/>
        <n v="7.0"/>
        <n v="6.0"/>
        <n v="5.0"/>
        <n v="4.0"/>
      </sharedItems>
    </cacheField>
    <cacheField name="TXN DATE">
      <sharedItems containsDate="1" containsBlank="1" containsMixedTypes="1">
        <m/>
        <s v="17-Aug-2026"/>
        <d v="2026-08-16T00:00:00Z"/>
        <s v="12-Aug-2026"/>
        <s v="11-Aug-2026"/>
        <s v="10-Aug-2026"/>
        <s v="06-Aug-2026"/>
        <s v="05-Aug-2026"/>
        <s v="04-Aug-2026"/>
        <s v="03-Aug-2026"/>
        <s v="02-Aug-2026"/>
        <s v="01-Aug-2026"/>
        <d v="2026-07-30T00:00:00Z"/>
        <d v="2026-07-29T00:00:00Z"/>
        <d v="2026-07-23T00:00:00Z"/>
        <d v="2026-07-22T00:00:00Z"/>
        <d v="2026-07-21T00:00:00Z"/>
        <d v="2026-07-18T00:00:00Z"/>
        <d v="2026-07-16T00:00:00Z"/>
        <d v="2026-07-15T00:00:00Z"/>
        <d v="2026-07-13T00:00:00Z"/>
        <d v="2026-07-12T00:00:00Z"/>
        <d v="2026-07-11T00:00:00Z"/>
        <d v="2026-07-10T00:00:00Z"/>
        <d v="2026-07-08T00:00:00Z"/>
        <d v="2026-07-07T00:00:00Z"/>
        <d v="2026-07-06T00:00:00Z"/>
        <d v="2026-07-05T00:00:00Z"/>
        <d v="2026-07-04T00:00:00Z"/>
        <d v="2026-07-03T00:00:00Z"/>
        <d v="2026-07-02T00:00:00Z"/>
        <d v="2026-07-01T00:00:00Z"/>
        <d v="2026-06-25T00:00:00Z"/>
        <d v="2026-06-22T00:00:00Z"/>
        <d v="2026-06-20T00:00:00Z"/>
        <d v="2026-06-19T00:00:00Z"/>
        <d v="2026-06-12T00:00:00Z"/>
        <d v="2026-06-11T00:00:00Z"/>
        <d v="2026-06-09T00:00:00Z"/>
        <d v="2026-06-06T00:00:00Z"/>
        <d v="2026-06-05T00:00:00Z"/>
        <d v="2026-06-04T00:00:00Z"/>
        <d v="2026-06-03T00:00:00Z"/>
        <d v="2026-06-02T00:00:00Z"/>
        <d v="2026-06-01T00:00:00Z"/>
        <d v="2026-05-31T00:00:00Z"/>
        <d v="2026-05-29T00:00:00Z"/>
        <d v="2026-05-28T00:00:00Z"/>
        <d v="2026-05-27T00:00:00Z"/>
        <d v="2026-05-26T00:00:00Z"/>
        <d v="2026-05-25T00:00:00Z"/>
        <d v="2026-05-24T00:00:00Z"/>
        <d v="2026-05-15T00:00:00Z"/>
        <d v="2026-05-13T00:00:00Z"/>
        <d v="2026-05-11T00:00:00Z"/>
        <d v="2026-05-09T00:00:00Z"/>
        <d v="2026-05-07T00:00:00Z"/>
        <d v="2026-05-06T00:00:00Z"/>
        <d v="2026-05-05T00:00:00Z"/>
        <d v="2026-05-04T00:00:00Z"/>
        <d v="2026-05-03T00:00:00Z"/>
        <d v="2026-05-02T00:00:00Z"/>
        <d v="2026-05-01T00:00:00Z"/>
        <d v="2026-04-30T00:00:00Z"/>
        <d v="2026-04-27T00:00:00Z"/>
        <d v="2026-04-22T00:00:00Z"/>
        <d v="2026-04-20T00:00:00Z"/>
        <d v="2026-04-01T00:00:00Z"/>
      </sharedItems>
    </cacheField>
    <cacheField name="VALUE DATE">
      <sharedItems containsDate="1" containsBlank="1" containsMixedTypes="1">
        <m/>
        <s v="17-Aug-2026"/>
        <d v="2026-08-16T00:00:00Z"/>
        <s v="12-Aug-2026"/>
        <s v="11-Aug-2026"/>
        <s v="10-Aug-2026"/>
        <s v="06-Aug-2026"/>
        <s v="05-Aug-2026"/>
        <s v="04-Aug-2026"/>
        <s v="03-Aug-2026"/>
        <s v="02-Aug-2026"/>
        <s v="01-Aug-2026"/>
        <d v="2026-07-30T00:00:00Z"/>
        <d v="2026-07-29T00:00:00Z"/>
        <d v="2026-07-23T00:00:00Z"/>
        <d v="2026-07-22T00:00:00Z"/>
        <d v="2026-07-21T00:00:00Z"/>
        <d v="2026-07-18T00:00:00Z"/>
        <d v="2026-07-16T00:00:00Z"/>
        <d v="2026-07-15T00:00:00Z"/>
        <d v="2026-07-13T00:00:00Z"/>
        <d v="2026-07-12T00:00:00Z"/>
        <d v="2026-07-11T00:00:00Z"/>
        <d v="2026-07-10T00:00:00Z"/>
        <d v="2026-07-08T00:00:00Z"/>
        <d v="2026-07-07T00:00:00Z"/>
        <d v="2026-07-06T00:00:00Z"/>
        <d v="2026-07-05T00:00:00Z"/>
        <d v="2026-07-04T00:00:00Z"/>
        <d v="2026-07-03T00:00:00Z"/>
        <d v="2026-07-02T00:00:00Z"/>
        <d v="2026-07-01T00:00:00Z"/>
        <d v="2026-06-25T00:00:00Z"/>
        <d v="2026-06-22T00:00:00Z"/>
        <d v="2026-06-20T00:00:00Z"/>
        <d v="2026-06-19T00:00:00Z"/>
        <d v="2026-06-12T00:00:00Z"/>
        <d v="2026-06-11T00:00:00Z"/>
        <d v="2026-06-09T00:00:00Z"/>
        <d v="2026-06-06T00:00:00Z"/>
        <d v="2026-06-05T00:00:00Z"/>
        <d v="2026-06-04T00:00:00Z"/>
        <d v="2026-06-03T00:00:00Z"/>
        <d v="2026-06-02T00:00:00Z"/>
        <d v="2026-06-01T00:00:00Z"/>
        <d v="2026-05-31T00:00:00Z"/>
        <d v="2026-05-29T00:00:00Z"/>
        <d v="2026-05-28T00:00:00Z"/>
        <d v="2026-05-27T00:00:00Z"/>
        <d v="2026-05-26T00:00:00Z"/>
        <d v="2026-05-25T00:00:00Z"/>
        <d v="2026-05-24T00:00:00Z"/>
        <d v="2026-05-15T00:00:00Z"/>
        <d v="2026-05-13T00:00:00Z"/>
        <d v="2026-05-11T00:00:00Z"/>
        <d v="2026-05-09T00:00:00Z"/>
        <d v="2026-05-07T00:00:00Z"/>
        <d v="2026-05-06T00:00:00Z"/>
        <d v="2026-05-05T00:00:00Z"/>
        <d v="2026-05-04T00:00:00Z"/>
        <d v="2026-05-03T00:00:00Z"/>
        <d v="2026-05-02T00:00:00Z"/>
        <d v="2026-05-01T00:00:00Z"/>
        <d v="2026-04-30T00:00:00Z"/>
        <d v="2026-04-27T00:00:00Z"/>
        <d v="2026-04-22T00:00:00Z"/>
        <d v="2026-04-20T00:00:00Z"/>
        <d v="2026-04-01T00:00:00Z"/>
      </sharedItems>
    </cacheField>
    <cacheField name="TYPE" numFmtId="0">
      <sharedItems containsBlank="1">
        <m/>
        <s v=""/>
      </sharedItems>
    </cacheField>
    <cacheField name="DESCRIPTION" numFmtId="0">
      <sharedItems containsBlank="1">
        <m/>
        <s v="YIB-TPT-DWARKADHIS PROJECTS PVT LT D-TRANSFERFROM0264TO0477ONACCONTOFC USTOMER-045563400002477"/>
        <s v="YIB-TPT-DWARKADHIS PROJECTS PRIVATE LIMITED-TRANSFERFROM026 4TO0377ONACCONTOFCUSTOMER-04556320 0000377"/>
        <s v="IMPS/SUNITA SUNITA/XXX8258/ RRN:622911882764/STATE BANK OF INDIA"/>
        <s v="IMPS/MRIGANKACHAKRABORTY/XXX7113/RRN:622810783912/AXIS BANK"/>
        <s v="YIB-TPT-DWARKADHIS PROJECTS PVT LT D-INTERNAL-045563400002477"/>
        <s v="YIB-TPT-DWARKADHIS PROJECTS PRIVATE LIMITED-INTERNAL-0455632 00000377"/>
        <s v="NEFT CR-HDFC0000240- AMIT JAIN-LEKH RAJ BAJAJ-HDFCH01188134343"/>
        <s v="NEFT CR-KVBL0002101-RAHULENT ERPRISES-DWARKADHIS PROJECTS PRIVA-KVBLH00267884483"/>
        <s v="NET-TPT-ASHISH SHUKLA-071691900001571"/>
        <s v="RTGS CR-HDFC0000240-VANDANA KHULLAR-DWARKADHIS PROJECTS PVTL-HDFCR52026080592593517"/>
        <s v="NEFT CR-HDFC0000001-CHETAN A HUJA-DWARKADHIS PROJECTS PRIVA-HDFCH01173383398"/>
        <s v="NEFT CR-SBIN0003771-VIDYA DEVI -DWARKADHIS PROJECTS PVT L-SBIN526217498424"/>
        <s v="NEFT CR-ICIC0SF0002-POONAM K AUR-DWARKADHIS PROJECTS PRIVA-IN12621649590896"/>
        <s v="IMPS/REUBEN MUKHERJEE U/G S OUMEN MUKHERJEE/XXX9384/RRN:621655423714/HDFC BANK"/>
        <s v="NEFT CR-ICIC0SF0002- SANJAY YADAV-DWAR KADHIS PROJECTS IVA-IN12621649540991"/>
        <s v="IMPS/AMITKUMAR/X XX3986/RRN:62161 4493753/AXIS BANK"/>
        <s v="NEFT CR-HDFC000000 1-LT JITENDRA KUMAR AGARWAL-DWARKA DHIS PROJECTS PRIV A-HDFCH01168958353"/>
        <s v="YIB-TPT-DWARKADHIS PROJECTS PVT LTD-INTERN AL-045563400002477"/>
        <s v="YIB-TPT-DWARKADHIS OJECTS PRIVATE LIMITED -INTERNAL-045563200000377"/>
        <s v="IMPS/ANJANJEET SINGH HAL/XXX5487/RRN:6216097 90512/ICICI BANK LIMITED"/>
        <s v="NEFT CR-HDFC000000 1-ARUNABH SINGH-D A-HDFCH01166052298"/>
        <s v="DWARKADHIS PROJECTS PRIV NEFT CR-HDFC000000 1-ARUNABH SINGH-D WARKADHIS PROJECTS PRIV A-HDFCH01166050774"/>
        <s v="IMPS/MRS BHAVNA MAHIPAL/XX X6701/RRN:621411185223/ CANADA: 18334910559"/>
        <s v="NEFT CR-HDFC0000001-VIJAY AV-DWARKADHIS PROJECTS PVT H01164625739"/>
        <s v="YIB-TPT-DWARKADHIS PROJECTS D-INTERNAL-045563400002477"/>
        <s v="NEFT CR-UTIB0000057-ANKIT AR-DWARKADHIS PROJECTS A-AXOMB21302010445"/>
        <s v="YIB-TPT-Dwarkadhis Projects Pvt Ltd-internal-045563400002477"/>
        <s v="YIB-TPT-DWARKADHIS PROJECTS PRIVATE LIMITED-internal-045563200000377"/>
        <s v="POS GST"/>
        <s v="M_Jun26_SBOX_pay.ypbsm000006435_37002065"/>
        <s v="CHQ DEP HDB 29-JUL-26 SOHNA ROAD"/>
        <s v="CASH DEP-SELF-DWARKADHIS PROJECTS PRIVATE LIMITED IN C-SHAMSHABAD"/>
        <s v="NEFT Cr-ICIC0SF0002-HARI KISHAN-DWARKADHIS PROJECTS PRIVA-IN12620247274271"/>
        <s v="NEFT Cr-KKBK0000958-PRAVEEN KUMAR PAUR-DWARKADHIS PROJECTS PRIVA-KKBKH26202867090"/>
        <s v="NEFT Cr-ICIC0SF0002-POONAM KAUR-DWARKADHIS PROJECTS PRIVA-IN12619746786146"/>
        <s v="IMPS/SUNITA SUNITA/XXX8258/RRN:619612512425/STATE BANK OF INDIA"/>
        <s v="NEFT Cr-ICIC0SF0002-NEELKANT GUMMALLA-DWARKADHIS PROJECTS PRIVA-IN12619646598201"/>
        <s v="YIB-TPT-Dwarkadhis Projects Pvt Ltd-CRM To CRF-045563400002477"/>
        <s v="YIB-TPT-DWARKADHIS PROJECTS PRIVATE LIMITED-CRM to CRR-045563200000377"/>
        <s v="IMPS/MRIGANKACHAKRABORTY/XXX7113/RRN:619321078962/AXIS BANK"/>
        <s v="CHQ DEP CBI 10-JUL-26 SAKET"/>
        <s v="IMPS/ABHIJEET ./XXX1052/RRN:619113959999/"/>
        <s v="YIB-TPT-Dwarkadhis Projects Pvt Ltd-tfr F-045563400002477"/>
        <s v="YIB-TPT-DWARKADHIS PROJECTS PRIVATE LIMITED-tfr r-045563200000377"/>
        <s v="UPI/169410392263/From:9811295007@ybl/To:045563200000264@YESB0000455.ifsc.npci/Payment from PhonePe"/>
        <s v="UPI/310650751520/From:9799400249-2@axl/To:045563200000264@YESB0000455.ifsc.npci/Payment from PhonePe"/>
        <s v="NEFT Cr-IDFB0021001-Mrs. ANSHU SHARMA-DWARKADHIS PROJECTS PRIVA-IDFB6187M8433490"/>
        <s v="NEFT Cr-ICIC0SF0002-ROHITAS KUMAR-DWARKADHIS PROJECTS PRIVA-IN12618745392512"/>
        <s v="IMPS/AMITKUMAR/XXX3986/RRN:618712584961/AXIS BANK"/>
        <s v="NEFT Cr-HDFC0000001-MANISH ANAND-DWARKADHIS PROJECTS PRIVA-HDFCH01105733681"/>
        <s v="UPI/220961157514/From:9811295007@ybl/To:045563200000264@YESB0000455.ifsc.npci/Payment from PhonePe"/>
        <s v="NEFT Cr-ICIC0SF0002-RAMJI TIWARI-DWARKADHIS PROJECTS PRIVA-IN12618645202215"/>
        <s v="IMPS/Jayant Raitani/XXX8180/RRN:618614869331/"/>
        <s v="NEFT Cr-HDFC0000001-VIJAY YADAV-Dwarkadhis projects pvt l-HDFCH01104907359"/>
        <s v="RTGS Cr-HDFC0000240-VANDANA KHULLAR-Dwarkadhis Projects Pvt L-HDFCR52026070478907371"/>
        <s v="IMPS/RENUYADAV/XXX2338/RRN:618512880646/"/>
        <s v="IMPS/ANJANJEET SINGH DHAL/XXX5487/RRN:618511574196/ICICI BANK LIMITED"/>
        <s v="NEFT Cr-SBIN0018624-Avnish Singh-DWARKADHIS PROJECTS PRIVA-SBIN226185086272"/>
        <s v="RTGS Cr-ICIC0000083-RAJEEV SAINI-DWARKADHIS PROJECTS PRIVA-ICICR12026070411554969"/>
        <s v="UPI/618466458932/From:snehlatasharma057-2@okaxis/To:045563200000264@yesb0000455.ifsc.npci/UPI"/>
        <s v="NEFT Cr-UTIB0003100-DEVENDER KUMAR-Dwarkadhis Projects Pvt L-AXOIR18400916137"/>
        <s v="NEFT Cr-UTIB0003100-DEVENDER KUMAR-Dwarkadhis Projects Pvt L-AXOIR18400916039"/>
        <s v="UPI/952208863984/From:madaankanwalnain@ybl/To:045563200000264@YESB0000455.ifsc.npci/Payment from PhonePe"/>
        <s v="NEFT Cr-ICIC0SF0002-POONAM KAUR-DWARKADHIS PROJECTS PRIVA-IN12618344640995"/>
        <s v="IMPS/VIDYA DEVI/XXX7419/RRN:618321555666/STATE BANK OF INDIA"/>
        <s v="IMPS/MANISHAAHUJA/XXX6587/RRN:618316849837/AXIS BANK"/>
        <s v="NEFT Cr-HDFC0000001-ARUNABH SINGH-Dwarkadhis Projects Priva-HDFCH01096757544"/>
        <s v="NEFT Cr-HDFC0000001-ARUNABH SINGH-Dwarkadhis Projects Priva-HDFCH01096753563"/>
        <s v="UPI/138765928691/From:anoopkatiyar2001@ybl/To:045563200000264@YESB0000455.ifsc.npci/Payment from PhonePe"/>
        <s v="IMPS/BHAVNA MAHIPAL/XXX6701/RRN:618311871867/"/>
        <s v="NEFT Cr-UTIB0000057-ANKIT NAHAR-DWARKADHIS PROJECTS PRIVA-AXOMB18302013646"/>
        <s v="IMPS/ABHIJIT SHARMA/XXX2427/RRN:618208516598/ICICI BANK LIMITED"/>
        <s v="M_May26_SBOX_ypbsm000006435_37002065"/>
        <s v="NEFT Cr-ICIC0SF0002-POONAM  KAUR-DWARKADHIS PROJECTS PRIVA-IN12617342864822"/>
        <s v="CHQ DEP HDB 20-JUN-26 SOHNA ROAD"/>
        <s v="NEFT Cr-KKBK0000958-EKTA YADAV-DWARKADHISH PROJECT-KKBKH26171664267"/>
        <s v="NEFT Cr-HDFC0000001-AMIT JAIN-LEKH RAJ  BAJAJ-HDFCH01071137852"/>
        <s v="NEFT Cr-KVBL0002101-RAHULENTERPRISES-dwarkadhis projects priva-KVBLH00263507186"/>
        <s v="YIB-TPT-DWARKADHIS PROJECTS PRIVATE LIMITED -tfr r-045563200000377"/>
        <s v="IMPS/MRIGANKACHAKRABORTY/XXX7113/RRN:615720769510/AXIS BANK"/>
        <s v="NET-TPT-DWARKADHIS PROJECTS PRIVATE LIMITED IN CIRP CR-dpl r-045563200000377"/>
        <s v="YIB-TPT-Dwarkadhis Projects Pvt Ltd-dpl f-045563400002477"/>
        <s v="NEFT Cr-CNRB0002040-GIAN SINGH-DWARKADHIS PROJECTS PRIVA-CNRBH00137463745"/>
        <s v="RTGS Cr-HDFC0000240-VANDANA KHULLAR-Dwarkadhis Projects Pvt L-HDFCR52026060667520804"/>
        <s v="NEFT Cr-SBIN0003771-VIDYA DEVI-Dwarkadhis Projects Pvt L-SBIN226157418825"/>
        <s v="IMPS/ANIL KUMAR SHARMA/XXX1777/RRN:615621039659/ICICI BANK LIMITED"/>
        <s v="IMPS/BHAGIRATHBHARDWAJ/XXX7885/RRN:615620360794/AXIS BANK"/>
        <s v="IMPS/MANISH ANAND/XXX7556/RRN:615667295148/HDFC BANK"/>
        <s v="IMPS/AMITKUMAR/XXX3986/RRN:615619312708/AXIS BANK"/>
        <s v="YIB-TPT-Dwarkadhis Projects Pvt Ltd-free-045563400002477"/>
        <s v="YIB-TPT-DWARKADHIS PROJECTS PRIVATE LIMITED -tfr-045563200000377"/>
        <s v="IMPS/MOHINDER SINGH/XXX7409/RRN:615617721669/PUNJAB NATIONAL BANK"/>
        <s v="NEFT Cr-UTIB0003100-DEVENDER KUMAR-Dwarkadhis Projects Pvt L-AXOMB15602129055"/>
        <s v="NEFT Cr-HDFC0000001-GAURAV KHANNA-Dwarkadhis Projects Pvt L-HDFCH01040961920"/>
        <s v="IMPS/Mr Jayant Raitani/XXX0348/RRN:615615045043/"/>
        <s v="IMPS/RENUYADAV/XXX2338/RRN:615612303793/"/>
        <s v="UPI/287354718952/From:madaankanwalnain@ybl/To:045563200000264@YESB0000455.ifsc.npci/Payment from PhonePe"/>
        <s v="NEFT Cr-ICIC0SF0002-POONAM KAUR-DWARKADHIS PROJECTS PRIVA-IN12615640773855"/>
        <s v="NEFT Cr-ICIC0SF0002-RAJEEV SAINI-DWARKADHIS PROJECTS PRIVA-IN12615540653042"/>
        <s v="RTGS Cr-HDFC0000240-PAWAN KUMAR BHARDWAJ-DWARKADHIS CRIP-HDFCR52026060466789770"/>
        <s v="YIB-NEFT-YESME61550052502-Dwarkadhis Projects Pvt Ltd-MAHB0001461-tfr-BANK OF MAHARASHTRA"/>
        <s v="NEFT Cr-HDFC0000001-ARUNABH SINGH-Dwarkadhis Projects Priva-HDFCH01038491058"/>
        <s v="NEFT Cr-HDFC0000001-ARUNABH SINGH-Dwarkadhis Projects Priva-HDFCH01038483421"/>
        <s v="IMPS/ANJANJEET SINGH DHAL/XXX5487/RRN:615510918595/ICICI BANK LIMITED"/>
        <s v="NEFT Cr-SBIN0018624-Avnish Singh-DWARKADHIS PROJECTS PRIVA-SBIN426155403145"/>
        <s v="IMPS/ABHIJIT SHARMA/XXX2427/RRN:615423454739/ICICI BANK LIMITED"/>
        <s v="YIB-NEFT-YESME61530042755-Dwarkadhis Projects Pvt Ltd-MAHB0001461-tfr-BANK OF MAHARASHTRA"/>
        <s v="IMPS/Mrs BHAVNA MAHIPAL/XXX6701/RRN:615211209650/"/>
        <s v="NEFT Cr-UTIB0000057-ANKIT NAHAR-DWARKADHIS PROJECTS PRIVA-AXOMB15202026320"/>
        <s v="NEFT Cr-HDFC0000001-VIJAY YADAV-Dwarkadhis projects pvt l-HDFCH01027911443"/>
        <s v="YIB-NEFT-YESME61490061190-Dwarkadhis Projects Pvt Ltd-MAHB0001461-tfr-BANK OF MAHARASHTRA"/>
        <s v="IMPS/RISHI BHATIA/XXX8877/RRN:614807892809/ICICI BANK LIMITED"/>
        <s v="YIB-NEFT-YESME61470062658-Dwarkadhis Projects Pvt Ltd-MAHB0001461-tfr-BANK OF MAHARASHTRA"/>
        <s v="IMPS/RISHI BHATIA/XXX8877/RRN:614623837550/ICICI BANK LIMITED"/>
        <s v="M_Apr26_SBOX_ypbsm000006435_37002065"/>
        <s v="YIB-NEFT-YESME61450064936-Dwarkadhis Projects Pvt Ltd-MAHB0001461-tfr-BANK OF MAHARASHTRA"/>
        <s v="IMPS/SOUMEN MUKHERJEE/XXX4401/RRN:614561758165/HDFC BANK"/>
        <s v="NEFT Cr-HDFC0000001-AMIT JAIN-LEKH RAJ BAJAJ-HDFCH01014071313"/>
        <s v="YIB-NEFT-YESME61350053692-Dwarkadhis Projects Pvt Ltd-MAHB0001347-free-BANK OF MAHARASHTRA"/>
        <s v="YIB-TPT-DWARKADHIS PROJECTS PRIVATE LIMITED -rera-045563200000377"/>
        <s v="NEFT Cr-ICIC0SF0002-NEELKANT GUMMALLA-DWARKADHIS PROJECTS PRIVA-IN12613337484665"/>
        <s v="NEFT Cr-ICIC0SF0002-SANJAY YADAV-DWARKADHIS PROJECTS PRIVA-IN12613337433200"/>
        <s v="YIB-NEFT-YESME61310089187-Dwarkadhis Projects Pvt Ltd-MAHB0001347-free-BANK OF MAHARASHTRA"/>
        <s v="CHQ DEP HDB 11-MAY-26 SOHNA ROAD"/>
        <s v="YIB-NEFT-YESME61290036856-Dwarkadhis Projects Pvt Ltd-MAHB0001347-free-BANK OF MAHARASHTRA"/>
        <s v="YIB-NEFT-YESME61290036857-Dwarkadhis Projects Pvt Ltd-MAHB0001347-free-BANK OF MAHARASHTRA"/>
        <s v="NEFT Cr-HDFC0000001-MEENAKSHI VIJH-DWARKADHIS PROJECTS PRIVA-HDFCH00987859519"/>
        <s v="RTGS Cr-HDFC0000240-VANDANA KHULLAR-Dwarkadhis Projects Pvt L-HDFCR52026050755329048"/>
        <s v="YIB-NEFT-YESME61270067154-Dwarkadhis Projects Pvt Ltd-MAHB0001347-master to free-BANK OF MAHARASHTRA"/>
        <s v="YIB-TPT-DWARKADHIS PROJECTS PRIVATE LIMITED -master to rera-045563200000377"/>
        <s v="NEFT Cr-UTIB0000056-MRIGANKA CHAKRABORTY-Dwarkadhis projects priva-AXOMB12702121165"/>
        <s v="IMPS/AMITKUMAR/XXX3986/RRN:612622675562/AXIS BANK"/>
        <s v="YIB-NEFT-YESME61260055675-Dwarkadhis Projects Pvt Ltd-MAHB0001347-master to free-BANK OF MAHARASHTRA"/>
        <s v="NEFT Cr-KVBL0002101-RAHULENTERPRISES-dwarkadhis projects priva-KVBLH00260858988"/>
        <s v="NEFT Cr-HDFC0000001-RAJIV PAWAR-Dwarkadhis projectsPvt Lt-HDFCH00976823057"/>
        <s v="YIB-NEFT-YESME61250067517-Dwarkadhis Projects Pvt Ltd-MAHB0001347-free-BANK OF MAHARASHTRA"/>
        <s v="NEFT Cr-IDFB0080151-Mr. Jayant Raitani-DWARKADHIS PROJECTS PRIVA-IDFB612581820432"/>
        <s v="NEFT Cr-HDFC0000001-MANISH ANAND-DWARKADHIS PROJECTS PRIVA-HDFCH00975369665"/>
        <s v="IMPS/VIDYA DEVI/XXX7419/RRN:612514851842/STATE BANK OF INDIA"/>
        <s v="NEFT Cr-ICIC0SF0002-POONAM KAUR-DWARKADHIS PROJECTS PRIVA-IN12612536214211"/>
        <s v="NEFT Cr-SCBL0036001-PARVATHY KALESHBABU ANITH-DWARKADHIS PROJECTS PVT L-SCBLH12500698872"/>
        <s v="NEFT Cr-HDFC0000001-MUKESH KIRAR-DWARKADHIS PROJECTS PRIVA-HDFCH00974466038"/>
        <s v="IMPS/RISHI BHATIA/XXX8877/RRN:612511403468/ICICI BANK LIMITED"/>
        <s v="UPI/012216184317/From:9811295007@ybl/To:045563200000264@YESB0000455.ifsc.npci/Payment from PhonePe"/>
        <s v="IMPS/RENUYADAV/XXX2338/RRN:612421139258/"/>
        <s v="IMPS/ABHIJIT SHARMA/XXX2427/RRN:612420388589/ICICI BANK LIMITED"/>
        <s v="YIB-NEFT-YESME61240075684-Dwarkadhis Projects Pvt Ltd-MAHB0001347-tfr-BANK OF MAHARASHTRA"/>
        <s v="YIB-NEFT-YESME61240075683-Dwarkadhis Projects Pvt Ltd-MAHB0001347-Tfr-BANK OF MAHARASHTRA"/>
        <s v="NEFT Cr-SBIN0000107-ARUN INTERNATIONAL-Dwarkadhis Projects Pvt L-SBIN126124709726"/>
        <s v="IMPS/MANISHAAHUJA/XXX6587/RRN:612417800348/AXIS BANK"/>
        <s v="UPI/549332112391/From:madaankanwalnain@ybl/To:045563200000264@YESB0000455.ifsc.npci/Payment from PhonePe"/>
        <s v="YIB-NEFT-YESME61240036870-Dwarkadhis Projects Pvt Ltd-MAHB0001347-master to free-BANK OF MAHARASHTRA"/>
        <s v="IMPS/ANJANJEET SINGH DHAL/XXX5487/RRN:612413379205/ICICI BANK LIMITED"/>
        <s v="NEFT Cr-HDFC0000001-GAURAV KHANNA-Dwarkadhis Projects Pvt L-HDFCH00971730334"/>
        <s v="NEFT Cr-SBIN0018624-Avnish Singh-DWARKADHIS PROJECTS PRIVA-SBIN526124699869"/>
        <s v="IMPS/Mrs BHAVNA MAHIPAL/XXX6701/RRN:612409234572/"/>
        <s v="NEFT Cr-ICIC0SF0002-RAJEEV SAINI-DWARKADHIS PROJECTS PRIVA-IN12612335808459"/>
        <s v="IMPS/ARUNABH SINGH/XXX8847/RRN:612356555078/HDFC BANK"/>
        <s v="IMPS/ARUNABH SINGH/XXX8847/RRN:612356553788/HDFC BANK"/>
        <s v="IMPS/MOHINDER SINGH/XXX7409/RRN:612312618510/PUNJAB NATIONA L BANK"/>
        <s v="RTGS Cr-HDFC0000240-REKHA YADAV-Dwarkadhis Projects Pvt L-HDFCR52026050253222896"/>
        <s v="NEFT Cr-HDFC0000001-AMIT JAIN-LEKH RAJ BAJAJ-HDFCH00969165420"/>
        <s v="YIB-NEFT-YESME61210024718-Dwarkadhis Projects Pvt Ltd-MAHB0001347-free-BANK OF MAHARASHTRA"/>
        <s v="NEFT Cr-UTIB0000057-ANKIT NAHAR-DWARKADHIS PROJECTS PRIVA-AXOMB12002169813"/>
        <s v="YIB-NEFT-YESME61200068905-Dwarkadhis Projects Pvt Ltd-MAHB0001347-free-BANK OF MAHARASHTRA"/>
        <s v="YIB-NEFT-YESME61200067896-Dwarkadhis Projects Pvt Ltd-MAHB0001347-free-BANK OF MAHARASHTRA"/>
        <s v="NEFT Cr-CNRB0002040-GIAN SINGH-DWARKADHIS PROJECTS PRIVA-CNRBH00128466789"/>
        <s v="IMPS/HARSH SHARMA/XXX0354/RRN:612012532133/ICICI BANK LIMITED"/>
        <s v="YIB-TPT-DWARKADHIS PROJECTS PRIVATE LIMITED -NEFT-045563200000377"/>
        <s v="YIB-NEFT-YESME61170073002-Dwarkadhis Projects Pvt Ltd-MAHB0001347-NEFT-BANK OF MAHARASHTRA"/>
        <s v="NEFT Cr-HDFC0000001-VIJAY YADAV-Dwarkadhis projects pvt l-HDFCH00956185725"/>
        <s v="YIB-NEFT-YESME61120021663-Dwarkadhis Projects Pvt Ltd-MAHB0001347-tfr-BANK OF MAHARASHTRA"/>
        <s v="IMPS/REUBEN MUKHERJEE U/G SOUMEN MUKHERJEE/XXX9384/RRN:611050868977/HDFC BANK"/>
        <s v="M_Mar26_SBOX_ypbsm000006435_37002065"/>
        <s v="B/F ..."/>
      </sharedItems>
    </cacheField>
    <cacheField name="REFERENCE">
      <sharedItems containsBlank="1" containsMixedTypes="1" containsNumber="1" containsInteger="1">
        <m/>
        <s v=""/>
        <s v="YBP6228654732943"/>
        <s v="YES0N6223910853400"/>
        <s v="YES0N6216966268000"/>
        <s v="YBP6216640374289"/>
        <s v="YES0N6216953371600"/>
        <s v="YESME6216001852600"/>
        <s v="YESME6216001852500"/>
        <s v="YBP6216639920533"/>
        <s v="YES0N6215790227400"/>
        <s v="YES0N6215789866800"/>
        <s v="YBP6214637582965"/>
        <s v="YES0N6214629693100"/>
        <s v="YESME6213006789000"/>
        <s v="YESME6213006852400"/>
        <s v="YES0N6213471971500"/>
        <s v="YESME6211004463500"/>
        <s v="YESME6211004335200"/>
        <s v="SCREF01284574169"/>
        <n v="63.0"/>
        <s v="YESME6204005383700"/>
        <s v="YESME6204005383600"/>
        <s v="10004875420260723006900000009"/>
        <s v="YESME6203005228700"/>
        <s v="YESME6203005190700"/>
        <s v="YES0N6202072677900"/>
        <s v="YES0N6202046781100"/>
        <s v="YESME6199005117700"/>
        <s v="YESME6199005217500"/>
        <s v="YES0N6197493849800"/>
        <s v="YESME6196003720000"/>
        <s v="YESME6196003934400"/>
        <s v="YBP6196616883455"/>
        <s v="YES0N6196325504800"/>
        <s v="YESME6194005638000"/>
        <s v="YESME6194005637900"/>
        <s v="YBP6193613167067"/>
        <s v="YESME6192004439900"/>
        <s v="YESME6192004439800"/>
        <n v="412307.0"/>
        <s v="YBP6191609955191"/>
        <s v="YESME6189005399100"/>
        <s v="YESME6189005399200"/>
        <s v="YBS6188921330701"/>
        <s v="YBS6188920633298"/>
        <s v="YES0N6187270443400"/>
        <s v="YES0N6187256961500"/>
        <s v="YESME6187006949800"/>
        <s v="YESME6187006949700"/>
        <s v="YBP6187604198173"/>
        <s v="YES0N6187209039700"/>
        <s v="YBS6187912508427"/>
        <s v="YES0N6186130900100"/>
        <s v="NET9ONZ9JO4VW"/>
        <s v="YBP6186603163022"/>
        <s v="YES0N6186115947700"/>
        <s v="YESME6185005485200"/>
        <s v="YESME6185005631800"/>
        <s v="YES0R6185962256600"/>
        <s v="YBP6185601840539"/>
        <s v="YBP6185601699391"/>
        <s v="YES0N6185981875200"/>
        <s v="YES0R6185961655600"/>
        <s v="YBS6184890842465"/>
        <s v="YESME6184006254900"/>
        <s v="YESME6184006155200"/>
        <s v="YESME6184004910700"/>
        <s v="YESME6184004910600"/>
        <s v="YES0N6184844527200"/>
        <s v="YES0N6184844247700"/>
        <s v="YBS6184883664618"/>
        <s v="YES0N6183754426000"/>
        <s v="YBP6183599798717"/>
        <s v="YBP6183599357610"/>
        <s v="YES0N6183718812300"/>
        <s v="YES0N6183718515500"/>
        <s v="YBS6183876026934"/>
        <s v="YESME6183012155700"/>
        <s v="YESME6183012280200"/>
        <s v="YBP6183598901911"/>
        <s v="YES0N6183688218900"/>
        <s v="YBP6182597113662"/>
        <s v="SCREF01283997998"/>
        <s v="YESME6173005625500                      "/>
        <s v="YESME6173005625400                      "/>
        <s v="YES0N6173537735300                      "/>
        <s v="000000000062"/>
        <s v="YES0N6171366255200                      "/>
        <s v="YESME6170005567200                      "/>
        <s v="YESME6170005567100                      "/>
        <s v="YES0N6170227049000                      "/>
        <s v="YESME6163000858700"/>
        <s v="YESME6163000858600"/>
        <s v="YES0N6162341811100"/>
        <s v="YESME6160001433800"/>
        <s v="YESME6160001433900"/>
        <s v="YBP6157565187580"/>
        <s v="NETPC3811250197852789"/>
        <s v="YESME6157003886400"/>
        <s v="YES0N6157715640100"/>
        <s v="YES0R6157893120100"/>
        <s v="YES0N6157694128700"/>
        <s v="YES0N6156585527200"/>
        <s v="YBP6156563551362"/>
        <s v="YBP6156563322702"/>
        <s v="YBS6156634281144"/>
        <s v="YES0N6156558875000"/>
        <s v="YES0N6155482347200"/>
        <s v="YES0R6155889413700"/>
        <s v="YESME6155005250200"/>
        <s v="YESME6155005150500"/>
        <s v="YES0N6155468736600"/>
        <s v="YES0N6155468653300"/>
        <s v="YBP6155561667380"/>
        <s v="YES0N6155432302700"/>
        <s v="YBP6154523454739"/>
        <s v="YESME6153004400900"/>
        <s v="YESME6153004275500"/>
        <s v="YBP6152557524467"/>
        <s v="YES0N6152057122600"/>
        <s v="YES0N6151"/>
        <s v="YESME6149006119000"/>
        <s v="YESME6149006118900"/>
        <s v="YBP6148552004871"/>
        <s v="YESME6147006265800"/>
        <s v="YESME6147006265700"/>
        <s v="YBP6146550391073"/>
        <s v="SCREF01283548931"/>
        <s v="YESME6145006493600"/>
        <s v="YESME6145006493700"/>
        <s v="YBP6145548463885"/>
        <s v="YES0N6144267025900"/>
        <s v="YESME6135005369200"/>
        <s v="YESME6135005445900"/>
        <s v="YES0N6133148954500"/>
        <s v="YES0N6133120028900"/>
        <s v="YESME6131008786800"/>
        <s v="YESME6131008918700"/>
        <n v="61.0"/>
        <s v="YESME6129003685800"/>
        <s v="YESME6129003685400"/>
        <s v="YESME6129003685600"/>
        <s v="YESME6129003685700"/>
        <s v="YES0N6129706992200"/>
        <s v="YES0R6127821868200"/>
        <s v="YESME6127006715400"/>
        <s v="YESME6127006561800"/>
        <s v="YES0N6127480565900"/>
        <s v="YBP6126526592015"/>
        <s v="YESME6126005382800"/>
        <s v="YESME6126005567500"/>
        <s v="YES0N6126325320200"/>
        <s v="YES0N6125253064400"/>
        <s v="YESME6125006751700"/>
        <s v="YESME6125006751600"/>
        <s v="YES0N6125224390600"/>
        <s v="YES0N6125222905300"/>
        <s v="YBP6125524781537"/>
        <s v="YES0N6125218081200"/>
        <s v="YES0N6125215887400"/>
        <s v="YES0N6125205498100"/>
        <s v="YBP6125524539844"/>
        <s v="YBS6125352149073"/>
        <s v="YBP6124524037717"/>
        <s v="YBP6124523960708"/>
        <s v="YESME6124007568400"/>
        <s v="YESME6124007732000"/>
        <s v="YESME6124007568300"/>
        <s v="YESME6124007568200"/>
        <s v="YES0N6124133632700"/>
        <s v="YBP6124523745064"/>
        <s v="YBS6124345043983"/>
        <s v="YESME6124003687000"/>
        <s v="YESME6124003686900"/>
        <s v="NET0876P6G64U"/>
        <s v="YBP6124523511202"/>
        <s v="YES0N6124089373100"/>
        <s v="YES0N6124087174100"/>
        <s v="YBP6124523217873"/>
        <s v="YES0N6123018532500"/>
        <s v="YBP6123522466104"/>
        <s v="YBP6123522463504"/>
        <s v="YBP6123522318063"/>
        <s v="YES0R6122809392700"/>
        <s v="YES0N6122906279800"/>
        <s v="YESME6121002471700"/>
        <s v="YESME6121002471800"/>
        <s v="YES0N6120724074300"/>
        <s v="YESME6120006890500"/>
        <s v="YESME6120006890400"/>
        <s v="YESME6120006789500"/>
        <s v="YESME6120006789600"/>
        <s v="YES0N6120698227200"/>
        <s v="YBP6120518950260"/>
        <s v="YESME6117007191200"/>
        <s v="YESME6117007300200"/>
        <s v="YES0N6117353029000"/>
        <s v="YESME6112002166300"/>
        <s v="YESME6112002311100"/>
        <s v="YBP6110507670093"/>
        <s v="SCREF01282977797"/>
      </sharedItems>
    </cacheField>
    <cacheField name="DEBITS">
      <sharedItems containsBlank="1" containsMixedTypes="1" containsNumber="1">
        <m/>
        <n v="49426.0"/>
        <n v="115326.0"/>
        <n v="45000.0"/>
        <n v="105000.0"/>
        <n v="198629.0"/>
        <n v="85127.0"/>
        <n v="99576.0"/>
        <n v="232344.0"/>
        <n v="159227.0"/>
        <n v="68240.0"/>
        <n v="103199.0"/>
        <n v="240798.0"/>
        <n v="20479.0"/>
        <n v="47785.0"/>
        <n v="30000.0"/>
        <n v="70000.0"/>
        <n v="22.5"/>
        <n v="125.0"/>
        <n v="14700.0"/>
        <n v="34300.0"/>
        <n v="64015.0"/>
        <n v="27435.0"/>
        <n v="7500.0"/>
        <n v="17500.0"/>
        <n v="239841.0"/>
        <n v="102789.0"/>
        <n v="54510.0"/>
        <n v="127190.0"/>
        <n v="82500.0"/>
        <n v="192500.0"/>
        <n v="247548.0"/>
        <n v="106092.0"/>
        <n v="200117.0"/>
        <n v="466939.0"/>
        <n v="182799.0"/>
        <n v="426532.0"/>
        <n v="276523.0"/>
        <n v="118510.0"/>
        <n v="37644.0"/>
        <n v="16133.0"/>
        <n v="157500.0"/>
        <n v="67500.0"/>
        <s v=""/>
        <n v="15000.0"/>
        <n v="35000.0"/>
        <n v="576177.0"/>
        <n v="246927.0"/>
        <n v="219511.2"/>
        <n v="512192.8"/>
        <n v="39623.1"/>
        <n v="92453.9"/>
        <n v="219324.7"/>
        <n v="93996.3"/>
        <n v="15612.0"/>
        <n v="36428.0"/>
        <n v="47664.0"/>
        <n v="111216.0"/>
        <n v="74512.0"/>
        <n v="173860.0"/>
        <n v="223129.0"/>
        <n v="127490.0"/>
        <n v="95627.0"/>
        <n v="54639.0"/>
        <n v="3180.0"/>
        <n v="7420.0"/>
        <n v="177447.0"/>
        <n v="76049.0"/>
        <n v="163592.0"/>
        <n v="381714.0"/>
        <n v="41490.0"/>
        <n v="17782.0"/>
        <n v="339059.0"/>
        <n v="791139.0"/>
        <n v="49146.0"/>
        <n v="114768.0"/>
        <n v="17082.0"/>
        <n v="39858.0"/>
      </sharedItems>
    </cacheField>
    <cacheField name="CREDITS">
      <sharedItems containsBlank="1" containsMixedTypes="1" containsNumber="1" containsInteger="1">
        <m/>
        <n v="64752.0"/>
        <n v="100000.0"/>
        <n v="50000.0"/>
        <n v="15000.0"/>
        <n v="218756.0"/>
        <n v="61110.0"/>
        <n v="170820.0"/>
        <n v="10600.0"/>
        <n v="91867.0"/>
        <n v="25000.0"/>
        <n v="35200.0"/>
        <n v="63740.0"/>
        <n v="145057.0"/>
        <n v="68264.0"/>
        <n v="49000.0"/>
        <n v="70000.0"/>
        <n v="21450.0"/>
        <n v="194258.0"/>
        <n v="148372.0"/>
        <n v="34039.0"/>
        <n v="147661.0"/>
        <n v="55000.0"/>
        <n v="10000.0"/>
        <n v="150000.0"/>
        <n v="60000.0"/>
        <n v="32276.0"/>
        <n v="95000.0"/>
        <n v="53404.0"/>
        <n v="47360.0"/>
        <n v="30000.0"/>
        <n v="53300.0"/>
        <n v="250000.0"/>
        <n v="90000.0"/>
        <n v="200000.0"/>
        <n v="280000.0"/>
        <n v="43221.0"/>
        <n v="32772.0"/>
        <n v="53777.0"/>
        <s v=""/>
        <n v="27000.0"/>
        <n v="96406.0"/>
        <n v="64942.0"/>
        <n v="260000.0"/>
        <n v="35000.0"/>
        <n v="45000.0"/>
        <n v="196415.0"/>
        <n v="229259.0"/>
        <n v="63470.0"/>
        <n v="52040.0"/>
        <n v="113880.0"/>
        <n v="182129.0"/>
        <n v="103495.0"/>
        <n v="40148.0"/>
        <n v="4100.0"/>
        <n v="20222.0"/>
        <n v="59272.0"/>
        <n v="59753.0"/>
        <n v="551756.0"/>
        <n v="5000.0"/>
        <n v="163954.0"/>
        <n v="56940.0"/>
        <n v="29153.0"/>
      </sharedItems>
    </cacheField>
    <cacheField name="BALANCE" numFmtId="0">
      <sharedItems containsString="0" containsBlank="1" containsNumber="1">
        <m/>
        <n v="29079.78"/>
        <n v="78505.78"/>
        <n v="193831.78"/>
        <n v="129078.0"/>
        <n v="29078.0"/>
        <n v="74078.0"/>
        <n v="179078.0"/>
        <n v="227707.0"/>
        <n v="312834.0"/>
        <n v="297834.0"/>
        <n v="79078.0"/>
        <n v="128654.0"/>
        <n v="360998.0"/>
        <n v="299888.0"/>
        <n v="459115.0"/>
        <n v="527355.0"/>
        <n v="427355.0"/>
        <n v="256535.0"/>
        <n v="156535.0"/>
        <n v="145935.0"/>
        <n v="54068.0"/>
        <n v="157267.0"/>
        <n v="398065.0"/>
        <n v="373065.0"/>
        <n v="337865.0"/>
        <n v="274125.0"/>
        <n v="129068.0"/>
        <n v="29068.0"/>
        <n v="49547.0"/>
        <n v="97332.0"/>
        <n v="59068.0"/>
        <n v="129090.5"/>
        <n v="129215.5"/>
        <n v="29215.5"/>
        <n v="43915.5"/>
        <n v="78215.5"/>
        <n v="93230.5"/>
        <n v="120665.5"/>
        <n v="50665.5"/>
        <n v="36715.5"/>
        <n v="54215.5"/>
        <n v="269056.5"/>
        <n v="371845.5"/>
        <n v="177587.5"/>
        <n v="59215.5"/>
        <n v="83725.5"/>
        <n v="210915.5"/>
        <n v="176876.5"/>
        <n v="111715.5"/>
        <n v="304215.5"/>
        <n v="249215.5"/>
        <n v="239215.5"/>
        <n v="89215.5"/>
        <n v="276763.5"/>
        <n v="382855.5"/>
        <n v="372255.5"/>
        <n v="339979.5"/>
        <n v="244979.5"/>
        <n v="191575.5"/>
        <n v="176575.5"/>
        <n v="229332.5"/>
        <n v="696271.5"/>
        <n v="477515.5"/>
        <n v="447515.5"/>
        <n v="422515.5"/>
        <n v="369215.5"/>
        <n v="119215.5"/>
        <n v="212014.5"/>
        <n v="638546.5"/>
        <n v="915069.5"/>
        <n v="1033579.5"/>
        <n v="833579.5"/>
        <n v="553579.5"/>
        <n v="510358.5"/>
        <n v="485358.5"/>
        <n v="424248.5"/>
        <n v="374248.5"/>
        <n v="310508.5"/>
        <n v="275308.5"/>
        <n v="242536.5"/>
        <n v="280180.5"/>
        <n v="296313.5"/>
        <n v="151256.5"/>
        <n v="82992.5"/>
        <n v="29238.0"/>
        <n v="29363.0"/>
        <n v="186863.0"/>
        <n v="254363.0"/>
        <n v="229363.0"/>
        <n v="129363.0"/>
        <n v="44363.0"/>
        <n v="79363.0"/>
        <n v="59363.0"/>
        <n v="99363.0"/>
        <n v="605540.0"/>
        <n v="852467.0"/>
        <n v="825467.0"/>
        <n v="606711.0"/>
        <n v="545601.0"/>
        <n v="449194.99999999994"/>
        <n v="384252.99999999994"/>
        <n v="351976.99999999994"/>
        <n v="341376.99999999994"/>
        <n v="316376.99999999994"/>
        <n v="535888.2"/>
        <n v="1048081.0"/>
        <n v="1021081.0"/>
        <n v="761081.0"/>
        <n v="726081.0"/>
        <n v="678721.0"/>
        <n v="648721.0"/>
        <n v="598721.0"/>
        <n v="553721.0"/>
        <n v="357306.0"/>
        <n v="128047.0"/>
        <n v="167670.1"/>
        <n v="260124.0"/>
        <n v="224924.0"/>
        <n v="161454.0"/>
        <n v="136454.0"/>
        <n v="83154.0"/>
        <n v="29377.0"/>
        <n v="248701.7"/>
        <n v="342698.0"/>
        <n v="197641.0"/>
        <n v="129377.0"/>
        <n v="44989.0"/>
        <n v="81417.0"/>
        <n v="29502.0"/>
        <n v="29524.5"/>
        <n v="77188.5"/>
        <n v="188404.5"/>
        <n v="74524.5"/>
        <n v="104036.5"/>
        <n v="277896.5"/>
        <n v="129524.5"/>
        <n v="99524.5"/>
        <n v="252653.5"/>
        <n v="380143.5"/>
        <n v="475770.5"/>
        <n v="530409.5"/>
        <n v="348280.5"/>
        <n v="132704.5"/>
        <n v="140124.5"/>
        <n v="40124.5"/>
        <n v="206971.5"/>
        <n v="283020.5"/>
        <n v="133020.5"/>
        <n v="29525.5"/>
        <n v="193117.5"/>
        <n v="574831.5"/>
        <n v="527471.5"/>
        <n v="495195.5"/>
        <n v="434085.5"/>
        <n v="409085.5"/>
        <n v="368937.5"/>
        <n v="364837.5"/>
        <n v="312797.5"/>
        <n v="217797.5"/>
        <n v="187797.5"/>
        <n v="134020.5"/>
        <n v="149020.5"/>
        <n v="190510.5"/>
        <n v="208292.5"/>
        <n v="243292.5"/>
        <n v="223070.5"/>
        <n v="163798.5"/>
        <n v="113798.5"/>
        <n v="452857.5"/>
        <n v="1243996.5"/>
        <n v="1184243.5"/>
        <n v="1159243.5"/>
        <n v="1129243.5"/>
        <n v="1075943.5"/>
        <n v="930886.5"/>
        <n v="734471.5"/>
        <n v="699271.5"/>
        <n v="635801.5"/>
        <n v="585801.5"/>
        <n v="34045.5"/>
        <n v="29045.5"/>
        <n v="76830.5"/>
        <n v="97309.5"/>
        <n v="78191.5"/>
        <n v="113191.5"/>
        <n v="227959.5"/>
        <n v="242959.5"/>
        <n v="192959.5"/>
        <n v="29005.5"/>
        <n v="99005.5"/>
        <n v="129005.5"/>
        <n v="46087.5"/>
        <n v="85945.5"/>
        <n v="29130.5"/>
        <n v="29153.0"/>
      </sharedItems>
    </cacheField>
    <cacheField name="BUSINESS UNIT" numFmtId="0">
      <sharedItems containsBlank="1">
        <m/>
        <s v="Casa Romana"/>
        <s v="HO"/>
      </sharedItems>
    </cacheField>
    <cacheField name="HEAD" numFmtId="0">
      <sharedItems containsBlank="1">
        <m/>
        <s v="Internal"/>
        <s v="Collection"/>
        <s v="Bank Charges"/>
      </sharedItems>
    </cacheField>
    <cacheField name="SUB HEAD" numFmtId="0">
      <sharedItems containsBlank="1">
        <m/>
        <s v=""/>
      </sharedItems>
    </cacheField>
    <cacheField name="RECO" numFmtId="0">
      <sharedItems containsBlank="1">
        <m/>
        <s v="Reco"/>
        <s v="Entry"/>
      </sharedItems>
    </cacheField>
    <cacheField name="TYPE FOR RERA IDW" numFmtId="0">
      <sharedItems containsBlank="1">
        <m/>
        <s v="Master to Free"/>
        <s v="Master 2 RERA"/>
        <s v="Customer Collection"/>
        <s v="HO - Admin"/>
        <s v="Opening Balance"/>
      </sharedItems>
    </cacheField>
    <cacheField name="TCP Head" numFmtId="0">
      <sharedItems containsBlank="1">
        <m/>
        <s v="Internal transfer"/>
        <s v="Credit- no effect"/>
        <s v="Other- Others"/>
      </sharedItems>
    </cacheField>
    <cacheField name="CONCERN" numFmtId="0">
      <sharedItems containsBlank="1">
        <m/>
        <s v=""/>
      </sharedItems>
    </cacheField>
    <cacheField name="CUST ID" numFmtId="0">
      <sharedItems containsBlank="1">
        <m/>
        <s v=""/>
      </sharedItems>
    </cacheField>
    <cacheField name="APT#" numFmtId="0">
      <sharedItems containsBlank="1">
        <m/>
        <s v=""/>
        <s v="P-064"/>
        <s v="P-071"/>
        <s v="M-105"/>
        <s v="U-013"/>
        <s v="T-052"/>
        <s v="L-064"/>
        <s v="U-062"/>
        <s v="L-043"/>
        <s v="U-092"/>
        <s v="T-103"/>
        <s v="P-054"/>
        <s v="R-064"/>
        <s v="T-101"/>
        <s v="N-104"/>
        <s v="M-118"/>
        <s v="R-052"/>
        <s v="P-022"/>
        <s v="R-123"/>
        <s v="R-063"/>
        <s v="N-054"/>
        <s v="M-087"/>
        <s v="U-102"/>
        <s v="M-072"/>
        <s v="N-124"/>
        <s v="U-072"/>
        <s v="N-041"/>
        <s v="S-064"/>
        <s v="L-113"/>
        <s v="M-128"/>
        <s v="M-097"/>
        <s v="M-096"/>
        <s v="S-083"/>
        <s v="L-074"/>
        <s v="N-034"/>
        <s v="N-093"/>
        <s v="N-112"/>
        <s v="M-007"/>
        <s v="R-083"/>
        <s v="M-12A2"/>
        <s v="S-013"/>
        <s v="N-052"/>
        <s v="L-112"/>
        <s v="L-102"/>
        <s v="N/A"/>
        <s v="M-124"/>
        <s v="L-082"/>
        <s v="L-023"/>
        <s v="M-104"/>
        <s v="R-032"/>
        <s v="M-048"/>
        <s v="M-122"/>
        <s v="M-011"/>
        <s v="S-074"/>
        <s v="u-12A4"/>
        <s v="S-093"/>
      </sharedItems>
    </cacheField>
    <cacheField name="ACC REMARKS" numFmtId="0">
      <sharedItems containsBlank="1">
        <m/>
        <s v=""/>
        <s v="GST On Bank Charges"/>
        <s v="Bank Charges Debited"/>
        <s v="Mr. AMARJEET SINGH DAYMA"/>
        <s v="Ms. KAMAL JEET AGARWAL"/>
        <s v="JOGINDER PAUL SUD"/>
        <s v="Mr. VIJAY SHARMA"/>
        <s v="Ms. SUMAN"/>
        <s v="&#10;Mr. VIJAY SHARMA"/>
        <s v="Bank Charges "/>
      </sharedItems>
    </cacheField>
    <cacheField name="CRM REMARKS" numFmtId="0">
      <sharedItems containsBlank="1">
        <m/>
        <s v=""/>
        <s v="Adjust"/>
        <s v="On Account "/>
        <s v="Adjust 31,245 On Account 68,755 "/>
        <s v="Adjust 117,160 &#10;On Account 53660&#10;As on"/>
        <s v="Adjust "/>
        <s v="on account"/>
        <s v="as on 21-July&#10;adjust"/>
        <s v="as on 21-Jul&#10;&#10;Adjust - 14,152&#10;On Account - 75848"/>
        <s v="on account - 42,847&#10;Adjust -10,930"/>
        <s v="Adjust- 60,248/-&#10;On Ac- 39,752/-"/>
      </sharedItems>
    </cacheField>
    <cacheField name="NARRATION" numFmtId="0">
      <sharedItems containsBlank="1">
        <m/>
        <s v="Fund Transfer: From YES MASTER 0264 to x2477 (Ref: ) (Type: Master to Free) (BU: Casa Romana) (Head: Internal)"/>
        <s v="Fund Transfer: From YES MASTER 0264 to x0377 (Ref: ) (Type: Master 2 RERA) (BU: Casa Romana) (Head: Internal)"/>
        <s v="Receipt: For (Apt#: P-064) (Ref: ) (IMPS: SUNITA SUNITA/XXX8258/ RRN:622911882764/STATE BANK OF INDIA) (Type: Customer Collection) (BU: Casa Romana)"/>
        <s v="Receipt: For (Apt#: P-071) (Ref: YBP6228654732943) (IMPS: MRIGANKACHAKRABORTY/XXX7113/RRN:622810783912/AXIS BANK) (Type: Customer Collection) (BU: Casa Romana)"/>
        <s v="Receipt: For (Apt#: M-105) (Ref: YES0N6223910853400) (NEFT: AMIT JAIN-LEKH RAJ BAJAJ-HDFCH01188134343) (Type: Customer Collection) (BU: Casa Romana)"/>
        <s v="Receipt: For (Apt#: U-013) (Ref: ) (NEFT: RAHULENT ERPRISES-DWARKADHIS PROJECTS PRIVA-KVBLH00267884483) (Type: Customer Collection) (BU: Casa Romana)"/>
        <s v="Receipt: For (Apt#: T-052) (Ref: ) ( ASHISH SHUKLA-071691900001571) (Type: Customer Collection) (BU: Casa Romana)"/>
        <s v="Receipt: For (Apt#: L-064) (Ref: ) (RTGS: VANDANA KHULLAR-DWARKADHIS PROJECTS PVTL-HDFCR52026080592593517) (Type: Customer Collection) (BU: Casa Romana)"/>
        <s v="Receipt: For (Apt#: U-062) (Ref: ) (NEFT: CHETAN A HUJA-DWARKADHIS PROJECTS PRIVA-HDFCH01173383398) (Type: Customer Collection) (BU: Casa Romana)"/>
        <s v="Receipt: For (Apt#: L-043) (Ref: ) (NEFT: VIDYA DEVI -DWARKADHIS PROJECTS PVT L-SBIN526217498424) (Type: Customer Collection) (BU: Casa Romana)"/>
        <s v="Receipt: For (Apt#: U-092) (Ref: ) (NEFT: POONAM K AUR-DWARKADHIS PROJECTS PRIVA-IN12621649590896) (Type: Customer Collection) (BU: Casa Romana)"/>
        <s v="Receipt: For (Apt#: T-103) (Ref: ) (IMPS: REUBEN MUKHERJEE U/G S OUMEN MUKHERJEE/XXX9384/RRN:621655423714/HDFC BANK) (Type: Customer Collection) (BU: Casa Romana)"/>
        <s v="Receipt: For (Apt#: P-054) (Ref: YES0N6216966268000) (NEFT: SANJAY YADAV-DWAR KADHIS PROJECTS IVA-IN12621649540991) (Type: Customer Collection) (BU: Casa Romana)"/>
        <s v="Receipt: For (Apt#: R-064) (Ref: YBP6216640374289) (IMPS: AMITKUMAR/X XX3986/RRN:62161 4493753/AXIS BANK) (Type: Customer Collection) (BU: Casa Romana)"/>
        <s v="Receipt: For (Apt#: T-101) (Ref: YES0N6216953371600) (NEFT: LT JITENDRA KUMAR AGARWAL-DWARKA DHIS PROJECTS PRIV A-HDFCH01168958353) (Type: Customer Collection) (BU: Casa Romana)"/>
        <s v="Fund Transfer: From YES MASTER 0264 to x2477 (Ref: YESME6216001852600) (Type: Master to Free) (BU: Casa Romana) (Head: Internal)"/>
        <s v="Fund Transfer: From YES MASTER 0264 to x0377 (Ref: YESME6216001852500) (Type: Master 2 RERA) (BU: Casa Romana) (Head: Internal)"/>
        <s v="Receipt: For (Apt#: N-104) (Ref: YBP6216639920533) (IMPS: ANJANJEET SINGH HAL/XXX5487/RRN:6216097 90512/ICICI BANK LIMITED) (Type: Customer Collection) (BU: Casa Romana)"/>
        <s v="Receipt: For (Apt#: M-118) (Ref: YES0N6215790227400) (NEFT: ARUNABH SINGH-D A-HDFCH01166052298) (Type: Customer Collection) (BU: Casa Romana)"/>
        <s v="Receipt: For (Apt#: M-118) (Ref: YES0N6215789866800) (NEFT: ARUNABH SINGH-D WARKADHIS PROJECTS PRIV A-HDFCH01166050774) (Type: Customer Collection) (BU: Casa Romana)"/>
        <s v="Receipt: For (Apt#: R-052) (Ref: YBP6214637582965) (IMPS: MRS BHAVNA MAHIPAL/XX X6701/RRN:621411185223/ CANADA: 18334910559) (Type: Customer Collection) (BU: Casa Romana)"/>
        <s v="Receipt: For (Apt#: P-022) (Ref: YES0N6214629693100) (NEFT: VIJAY AV-DWARKADHIS PROJECTS PVT H01164625739) (Type: Customer Collection) (BU: Casa Romana)"/>
        <s v="Fund Transfer: From YES MASTER 0264 to x2477 (Ref: YESME6213006789000) (Type: Master to Free) (BU: Casa Romana) (Head: Internal)"/>
        <s v="Fund Transfer: From YES MASTER 0264 to x0377 (Ref: YESME6213006852400) (Type: Master 2 RERA) (BU: Casa Romana) (Head: Internal)"/>
        <s v="Receipt: For (Apt#: R-123) (Ref: YES0N6213471971500) (NEFT: ANKIT AR-DWARKADHIS PROJECTS A-AXOMB21302010445) (Type: Customer Collection) (BU: Casa Romana)"/>
        <s v="Fund Transfer: From YES MASTER 0264 to x2477 (Ref: YESME6211004463500) (Type: Master to Free) (BU: Casa Romana) (Head: Internal)"/>
        <s v="Fund Transfer: From YES MASTER 0264 to x0377 (Ref: YESME6211004335200) (Type: Master 2 RERA) (BU: Casa Romana) (Head: Internal)"/>
        <s v="Payment: Disbursement for GST On Bank Charges (Ref: SCREF01284574169) (Type: HO - Admin) (BU: Casa Romana) (Head: Bank Charges)"/>
        <s v="Payment: Disbursement for Bank Charges Debited (Ref: SCREF01284574169) (Type: HO - Admin) (BU: Casa Romana) (Head: Bank Charges)"/>
        <s v="Receipt: For (Apt#: R-063) (Ref: 63) ( ) (Type: Customer Collection) (BU: Casa Romana)"/>
        <s v="Fund Transfer: From YES MASTER 0264 to x2477 (Ref: YESME6204005383700) (Type: Master to Free) (BU: Casa Romana) (Head: Internal)"/>
        <s v="Fund Transfer: From YES MASTER 0264 to x0377 (Ref: YESME6204005383600) (Type: Master 2 RERA) (BU: Casa Romana) (Head: Internal)"/>
        <s v="Receipt: For (Apt#: T-101) (Ref: 10004875420260723006900000009) ( DWARKADHIS PROJECTS PRIVATE LIMITED IN C-SHAMSHABAD) (Type: Customer Collection) (BU: Casa Romana)"/>
        <s v="Fund Transfer: From YES MASTER 0264 to x0377 (Ref: YESME6203005228700) (Type: Master 2 RERA) (BU: Casa Romana) (Head: Internal)"/>
        <s v="Fund Transfer: From YES MASTER 0264 to x2477 (Ref: YESME6203005190700) (Type: Master to Free) (BU: Casa Romana) (Head: Internal)"/>
        <s v="Receipt: For (Apt#: N-054) (Ref: YES0N6202072677900) (NEFT: HARI KISHAN-DWARKADHIS PROJECTS PRIVA-IN12620247274271) (Type: Customer Collection) (BU: Casa Romana)"/>
        <s v="Receipt: For (Apt#: M-087) (Ref: YES0N6202046781100) (NEFT: PRAVEEN KUMAR PAUR-DWARKADHIS PROJECTS PRIVA-KKBKH26202867090) (Type: Customer Collection) (BU: Casa Romana)"/>
        <s v="Fund Transfer: From YES MASTER 0264 to x2477 (Ref: YESME6199005117700) (Type: Master to Free) (BU: Casa Romana) (Head: Internal)"/>
        <s v="Fund Transfer: From YES MASTER 0264 to x0377 (Ref: YESME6199005217500) (Type: Master 2 RERA) (BU: Casa Romana) (Head: Internal)"/>
        <s v="Receipt: For (Apt#: U-092) (Ref: YES0N6197493849800) (NEFT: POONAM KAUR-DWARKADHIS PROJECTS PRIVA-IN12619746786146) (Type: Customer Collection) (BU: Casa Romana)"/>
        <s v="Fund Transfer: From YES MASTER 0264 to x0377 (Ref: YESME6196003720000) (Type: Master 2 RERA) (BU: Casa Romana) (Head: Internal)"/>
        <s v="Fund Transfer: From YES MASTER 0264 to x2477 (Ref: YESME6196003934400) (Type: Master to Free) (BU: Casa Romana) (Head: Internal)"/>
        <s v="Receipt: For (Apt#: P-064) (Ref: YBP6196616883455) (IMPS: SUNITA SUNITA/XXX8258/RRN:619612512425/STATE BANK OF INDIA) (Type: Customer Collection) (BU: Casa Romana)"/>
        <s v="Receipt: For (Apt#: U-102) (Ref: YES0N6196325504800) (NEFT: NEELKANT GUMMALLA-DWARKADHIS PROJECTS PRIVA-IN12619646598201) (Type: Customer Collection) (BU: Casa Romana)"/>
        <s v="Fund Transfer: From YES MASTER 0264 to x2477 (Ref: YESME6194005638000) (Type: Master to Free) (BU: Casa Romana) (Head: Internal)"/>
        <s v="Fund Transfer: From YES MASTER 0264 to x0377 (Ref: YESME6194005637900) (Type: Master 2 RERA) (BU: Casa Romana) (Head: Internal)"/>
        <s v="Receipt: For (Apt#: P-071) (Ref: YBP6193613167067) (IMPS: MRIGANKACHAKRABORTY/XXX7113/RRN:619321078962/AXIS BANK) (Type: Customer Collection) (BU: Casa Romana)"/>
        <s v="Fund Transfer: From YES MASTER 0264 to x2477 (Ref: YESME6192004439900) (Type: Master to Free) (BU: Casa Romana) (Head: Internal)"/>
        <s v="Fund Transfer: From YES MASTER 0264 to x0377 (Ref: YESME6192004439800) (Type: Master 2 RERA) (BU: Casa Romana) (Head: Internal)"/>
        <s v="Receipt: For (Apt#: M-072) (Ref: 412307) ( 26 SAKET) (Type: Customer Collection) (BU: Casa Romana)"/>
        <s v="Receipt: For (Apt#: N-124) (Ref: YBP6191609955191) (IMPS: ABHIJEET ./XXX1052/RRN:619113959999/) (Type: Customer Collection) (BU: Casa Romana)"/>
        <s v="Fund Transfer: From YES MASTER 0264 to x2477 (Ref: YESME6189005399100) (Type: Master to Free) (BU: Casa Romana) (Head: Internal)"/>
        <s v="Fund Transfer: From YES MASTER 0264 to x0377 (Ref: YESME6189005399200) (Type: Master 2 RERA) (BU: Casa Romana) (Head: Internal)"/>
        <s v="Receipt: For (Apt#: U-072) (Ref: YBS6188921330701) ( UPI/169410392263/From:9811295007@ybl/To:045563200000264@YESB0000455.ifsc.npci/Payment from PhonePe) (Type: Customer Collection) (BU: Casa Romana)"/>
        <s v="Receipt: For (Apt#: N-041) (Ref: YBS6188920633298) ( UPI/310650751520/From:9799400249-2@axl/To:045563200000264@YESB0000455.ifsc.npci/Payment from PhonePe) (Type: Customer Collection) (BU: Casa Romana)"/>
        <s v="Receipt: For (Apt#: S-064) (Ref: YES0N6187270443400) (NEFT: Mrs. ANSHU SHARMA-DWARKADHIS PROJECTS PRIVA-IDFB6187M8433490) (Type: Customer Collection) (BU: Casa Romana)"/>
        <s v="Receipt: For (Apt#: L-113) (Ref: YES0N6187256961500) (NEFT: ROHITAS KUMAR-DWARKADHIS PROJECTS PRIVA-IN12618745392512) (Type: Customer Collection) (BU: Casa Romana)"/>
        <s v="Fund Transfer: From YES MASTER 0264 to x0377 (Ref: YESME6187006949800) (Type: Master 2 RERA) (BU: Casa Romana) (Head: Internal)"/>
        <s v="Fund Transfer: From YES MASTER 0264 to x2477 (Ref: YESME6187006949700) (Type: Master to Free) (BU: Casa Romana) (Head: Internal)"/>
        <s v="Receipt: For (Apt#: R-064) (Ref: YBP6187604198173) (IMPS: AMITKUMAR/XXX3986/RRN:618712584961/AXIS BANK) (Type: Customer Collection) (BU: Casa Romana)"/>
        <s v="Receipt: For (Apt#: M-128) (Ref: YES0N6187209039700) (NEFT: MANISH ANAND-DWARKADHIS PROJECTS PRIVA-HDFCH01105733681) (Type: Customer Collection) (BU: Casa Romana)"/>
        <s v="Receipt: For (Apt#: U-072) (Ref: YBS6187912508427) ( UPI/220961157514/From:9811295007@ybl/To:045563200000264@YESB0000455.ifsc.npci/Payment from PhonePe) (Type: Customer Collection) (BU: Casa Romana)"/>
        <s v="Receipt: For (Apt#: M-097) (Ref: YES0N6186130900100) (NEFT: RAMJI TIWARI-DWARKADHIS PROJECTS PRIVA-IN12618645202215) (Type: Customer Collection) (BU: Casa Romana)"/>
        <s v="Receipt: For (Apt#: T-052) (Ref: NET9ONZ9JO4VW) ( ASHISH SHUKLA-071691900001571) (Type: Customer Collection) (BU: Casa Romana)"/>
        <s v="Receipt: For (Apt#: M-096) (Ref: YBP6186603163022) (IMPS: Jayant Raitani/XXX8180/RRN:618614869331/) (Type: Customer Collection) (BU: Casa Romana)"/>
        <s v="Receipt: For (Apt#: P-022) (Ref: YES0N6186115947700) (NEFT: VIJAY YADAV-Dwarkadhis projects pvt l-HDFCH01104907359) (Type: Customer Collection) (BU: Casa Romana)"/>
        <s v="Fund Transfer: From YES MASTER 0264 to x2477 (Ref: YESME6185005485200) (Type: Master to Free) (BU: Casa Romana) (Head: Internal)"/>
        <s v="Fund Transfer: From YES MASTER 0264 to x0377 (Ref: YESME6185005631800) (Type: Master 2 RERA) (BU: Casa Romana) (Head: Internal)"/>
        <s v="Receipt: For (Apt#: L-064) (Ref: YES0R6185962256600) (RTGS: VANDANA KHULLAR-Dwarkadhis Projects Pvt L-HDFCR52026070478907371) (Type: Customer Collection) (BU: Casa Romana)"/>
        <s v="Receipt: For (Apt#: S-083) (Ref: YBP6185601840539) (IMPS: RENUYADAV/XXX2338/RRN:618512880646/) (Type: Customer Collection) (BU: Casa Romana)"/>
        <s v="Receipt: For (Apt#: N-104) (Ref: YBP6185601699391) (IMPS: ANJANJEET SINGH DHAL/XXX5487/RRN:618511574196/ICICI BANK LIMITED) (Type: Customer Collection) (BU: Casa Romana)"/>
        <s v="Receipt: For (Apt#: L-074) (Ref: YES0N6185981875200) (NEFT: Avnish Singh-DWARKADHIS PROJECTS PRIVA-SBIN226185086272) (Type: Customer Collection) (BU: Casa Romana)"/>
        <s v="Receipt: For (Apt#: N-034) (Ref: YES0R6185961655600) (RTGS: RAJEEV SAINI-DWARKADHIS PROJECTS PRIVA-ICICR12026070411554969) (Type: Customer Collection) (BU: Casa Romana)"/>
        <s v="Receipt: For (Apt#: N-093) (Ref: YBS6184890842465) ( UPI/618466458932/From:snehlatasharma057-2@okaxis/To:045563200000264@yesb0000455.ifsc.npci/UPI) (Type: Customer Collection) (BU: Casa Romana)"/>
        <s v="Fund Transfer: From YES MASTER 0264 to x2477 (Ref: YESME6184006254900) (Type: Master to Free) (BU: Casa Romana) (Head: Internal)"/>
        <s v="Fund Transfer: From YES MASTER 0264 to x0377 (Ref: YESME6184006155200) (Type: Master 2 RERA) (BU: Casa Romana) (Head: Internal)"/>
        <s v="Fund Transfer: From YES MASTER 0264 to x0377 (Ref: YESME6184004910700) (Type: Master 2 RERA) (BU: Casa Romana) (Head: Internal)"/>
        <s v="Fund Transfer: From YES MASTER 0264 to x2477 (Ref: YESME6184004910600) (Type: Master to Free) (BU: Casa Romana) (Head: Internal)"/>
        <s v="Receipt: For (Apt#: N-112) (Ref: YES0N6184844527200) (NEFT: DEVENDER KUMAR-Dwarkadhis Projects Pvt L-AXOIR18400916137) (Type: Customer Collection) (BU: Casa Romana)"/>
        <s v="Receipt: For (Apt#: N-112) (Ref: YES0N6184844247700) (NEFT: DEVENDER KUMAR-Dwarkadhis Projects Pvt L-AXOIR18400916039) (Type: Customer Collection) (BU: Casa Romana)"/>
        <s v="Receipt: For (Apt#: M-007) (Ref: YBS6184883664618) ( UPI/952208863984/From:madaankanwalnain@ybl/To:045563200000264@YESB0000455.ifsc.npci/Payment from PhonePe) (Type: Customer Collection) (BU: Casa Romana)"/>
        <s v="Receipt: For (Apt#: U-092) (Ref: YES0N6183754426000) (NEFT: POONAM KAUR-DWARKADHIS PROJECTS PRIVA-IN12618344640995) (Type: Customer Collection) (BU: Casa Romana)"/>
        <s v="Receipt: For (Apt#: L-043) (Ref: YBP6183599798717) (IMPS: VIDYA DEVI/XXX7419/RRN:618321555666/STATE BANK OF INDIA) (Type: Customer Collection) (BU: Casa Romana)"/>
        <s v="Receipt: For (Apt#: U-062) (Ref: YBP6183599357610) (IMPS: MANISHAAHUJA/XXX6587/RRN:618316849837/AXIS BANK) (Type: Customer Collection) (BU: Casa Romana)"/>
        <s v="Receipt: For (Apt#: M-118) (Ref: YES0N6183718812300) (NEFT: ARUNABH SINGH-Dwarkadhis Projects Priva-HDFCH01096757544) (Type: Customer Collection) (BU: Casa Romana)"/>
        <s v="Receipt: For (Apt#: M-118) (Ref: YES0N6183718515500) (NEFT: ARUNABH SINGH-Dwarkadhis Projects Priva-HDFCH01096753563) (Type: Customer Collection) (BU: Casa Romana)"/>
        <s v="Receipt: For (Apt#: R-083) (Ref: YBS6183876026934) ( UPI/138765928691/From:anoopkatiyar2001@ybl/To:045563200000264@YESB0000455.ifsc.npci/Payment from PhonePe) (Type: Customer Collection) (BU: Casa Romana)"/>
        <s v="Fund Transfer: From YES MASTER 0264 to x0377 (Ref: YESME6183012155700) (Type: Master 2 RERA) (BU: Casa Romana) (Head: Internal)"/>
        <s v="Fund Transfer: From YES MASTER 0264 to x2477 (Ref: YESME6183012280200) (Type: Master to Free) (BU: Casa Romana) (Head: Internal)"/>
        <s v="Receipt: For (Apt#: R-052) (Ref: YBP6183598901911) (IMPS: BHAVNA MAHIPAL/XXX6701/RRN:618311871867/) (Type: Customer Collection) (BU: Casa Romana)"/>
        <s v="Receipt: For (Apt#: R-123) (Ref: YES0N6183688218900) (NEFT: ANKIT NAHAR-DWARKADHIS PROJECTS PRIVA-AXOMB18302013646) (Type: Customer Collection) (BU: Casa Romana)"/>
        <s v="Receipt: For (Apt#: M-12A2) (Ref: YBP6182597113662) (IMPS: ABHIJIT SHARMA/XXX2427/RRN:618208516598/ICICI BANK LIMITED) (Type: Customer Collection) (BU: Casa Romana)"/>
        <s v="Payment: Disbursement for GST on Bank Charges Debited (Ref: SCREF01283997998) (Type: HO - Admin) (BU: Casa Romana) (Head: Bank Charges)"/>
        <s v="Payment: Disbursement for Bank Charges Debited (Ref: SCREF01283997998) (Type: HO - Admin) (BU: Casa Romana) (Head: Bank Charges)"/>
        <s v="Fund Transfer: From YES MASTER 0264 to x0377 (Ref: YESME6173005625500 ) (Type: Master 2 RERA) (BU: Casa Romana) (Head: Internal)"/>
        <s v="Fund Transfer: From YES MASTER 0264 to x2477 (Ref: YESME6173005625400 ) (Type: Master to Free) (BU: Casa Romana) (Head: Internal)"/>
        <s v="Receipt: For (Apt#: U-092) (Ref: YES0N6173537735300 ) (NEFT: POONAM KAUR-DWARKADHIS PROJECTS PRIVA-IN12617342864822) (Type: Customer Collection) (BU: Casa Romana)"/>
        <s v="Receipt: For (Apt#: R-063) (Ref: 000000000062) ( ) (Type: Customer Collection) (BU: Casa Romana)"/>
        <s v="Receipt: For (Apt#: S-013) (Ref: YES0N6171366255200 ) (NEFT: EKTA YADAV-DWARKADHISH PROJECT-KKBKH26171664267) (Type: Customer Collection) (BU: Casa Romana)"/>
        <s v="Fund Transfer: From YES MASTER 0264 to x2477 (Ref: YESME6170005567200 ) (Type: Master to Free) (BU: Casa Romana) (Head: Internal)"/>
        <s v="Fund Transfer: From YES MASTER 0264 to x0377 (Ref: YESME6170005567100 ) (Type: Master 2 RERA) (BU: Casa Romana) (Head: Internal)"/>
        <s v="Receipt: For (Apt#: M-105) (Ref: YES0N6170227049000 ) (NEFT: AMIT JAIN-LEKH RAJ BAJAJ-HDFCH01071137852) (Type: Customer Collection) (BU: Casa Romana)"/>
        <s v="Fund Transfer: From YES MASTER 0264 to x2477 (Ref: YESME6163000858700) (Type: Master to Free) (BU: Casa Romana) (Head: Internal)"/>
        <s v="Fund Transfer: From YES MASTER 0264 to x0377 (Ref: YESME6163000858600) (Type: Master 2 RERA) (BU: Casa Romana) (Head: Internal)"/>
        <s v="Receipt: For (Apt#: U-013) (Ref: YES0N6162341811100) (NEFT: RAHULENTERPRISES-dwarkadhis projects priva-KVBLH00263507186) (Type: Customer Collection) (BU: Casa Romana)"/>
        <s v="Fund Transfer: From YES MASTER 0264 to x0377 (Ref: YESME6160001433800) (Type: Master 2 RERA) (BU: Casa Romana) (Head: Internal)"/>
        <s v="Fund Transfer: From YES MASTER 0264 to x2477 (Ref: YESME6160001433900) (Type: Master to Free) (BU: Casa Romana) (Head: Internal)"/>
        <s v="Receipt: For (Apt#: P-071) (Ref: YBP6157565187580) (IMPS: MRIGANKACHAKRABORTY/XXX7113/RRN:615720769510/AXIS BANK) (Type: Customer Collection) (BU: Casa Romana)"/>
        <s v="Fund Transfer: From YES MASTER 0264 to x0377 (Ref: NETPC3811250197852789) (Type: Master 2 RERA) (BU: Casa Romana) (Head: Internal)"/>
        <s v="Fund Transfer: From YES MASTER 0264 to x2477 (Ref: YESME6157003886400) (Type: Master to Free) (BU: Casa Romana) (Head: Internal)"/>
        <s v="Receipt: For (Apt#: N-052) (Ref: YES0N6157715640100) (NEFT: GIAN SINGH-DWARKADHIS PROJECTS PRIVA-CNRBH00137463745) (Type: Customer Collection) (BU: Casa Romana)"/>
        <s v="Receipt: For (Apt#: L-064) (Ref: YES0R6157893120100) (RTGS: VANDANA KHULLAR-Dwarkadhis Projects Pvt L-HDFCR52026060667520804) (Type: Customer Collection) (BU: Casa Romana)"/>
        <s v="Receipt: For (Apt#: L-043) (Ref: YES0N6157694128700) (NEFT: VIDYA DEVI-Dwarkadhis Projects Pvt L-SBIN226157418825) (Type: Customer Collection) (BU: Casa Romana)"/>
        <s v="Receipt: For (Apt#: L-112) (Ref: ) (IMPS: ANIL KUMAR SHARMA/XXX1777/RRN:615621039659/ICICI BANK LIMITED) (Type: Customer Collection) (BU: Casa Romana)"/>
        <s v="Receipt: For (Apt#: L-102) (Ref: ) (IMPS: BHAGIRATHBHARDWAJ/XXX7885/RRN:615620360794/AXIS BANK) (Type: Customer Collection) (BU: Casa Romana)"/>
        <s v="Receipt: For (Apt#: M-128) (Ref: ) (IMPS: MANISH ANAND/XXX7556/RRN:615667295148/HDFC BANK) (Type: Customer Collection) (BU: Casa Romana)"/>
        <s v="Receipt: For (Apt#: R-064) (Ref: ) (IMPS: AMITKUMAR/XXX3986/RRN:615619312708/AXIS BANK) (Type: Customer Collection) (BU: Casa Romana)"/>
        <s v="Receipt: For (Apt#: N-052) (Ref: ) (IMPS: MOHINDER SINGH/XXX7409/RRN:615617721669/PUNJAB NATIONAL BANK) (Type: Customer Collection) (BU: Casa Romana)"/>
        <s v="Receipt: For (Apt#: N-112) (Ref: ) (NEFT: DEVENDER KUMAR-Dwarkadhis Projects Pvt L-AXOMB15602129055) (Type: Customer Collection) (BU: Casa Romana)"/>
        <s v="Receipt: For (Apt#: M-124) (Ref: YES0N6156585527200) (NEFT: GAURAV KHANNA-Dwarkadhis Projects Pvt L-HDFCH01040961920) (Type: Customer Collection) (BU: Casa Romana)"/>
        <s v="Receipt: For (Apt#: M-096) (Ref: YBP6156563551362) (IMPS: Mr Jayant Raitani/XXX0348/RRN:615615045043/) (Type: Customer Collection) (BU: Casa Romana)"/>
        <s v="Receipt: For (Apt#: S-083) (Ref: YBP6156563322702) (IMPS: RENUYADAV/XXX2338/RRN:615612303793/) (Type: Customer Collection) (BU: Casa Romana)"/>
        <s v="Receipt: For (Apt#: M-007) (Ref: YBS6156634281144) ( UPI/287354718952/From:madaankanwalnain@ybl/To:045563200000264@YESB0000455.ifsc.npci/Payment from PhonePe) (Type: Customer Collection) (BU: Casa Romana)"/>
        <s v="Receipt: For (Apt#: U-092) (Ref: YES0N6156558875000) (NEFT: POONAM KAUR-DWARKADHIS PROJECTS PRIVA-IN12615640773855) (Type: Customer Collection) (BU: Casa Romana)"/>
        <s v="Receipt: For (Apt#: N-034) (Ref: YES0N6155482347200) (NEFT: RAJEEV SAINI-DWARKADHIS PROJECTS PRIVA-IN12615540653042) (Type: Customer Collection) (BU: Casa Romana)"/>
        <s v="Receipt: For (Apt#: L-082) (Ref: YES0R6155889413700) (RTGS: PAWAN KUMAR BHARDWAJ-DWARKADHIS CRIP-HDFCR52026060466789770) (Type: Customer Collection) (BU: Casa Romana)"/>
        <s v="Fund Transfer: From YES MASTER 0264 to xHTRA (Ref: YESME6155005250200) (Type: Master to Free) (BU: Casa Romana) (Head: Internal)"/>
        <s v="Fund Transfer: From YES MASTER 0264 to x0377 (Ref: YESME6155005150500) (Type: Master 2 RERA) (BU: Casa Romana) (Head: Internal)"/>
        <s v="Receipt: For (Apt#: M-118) (Ref: YES0N6155468736600) (NEFT: ARUNABH SINGH-Dwarkadhis Projects Priva-HDFCH01038491058) (Type: Customer Collection) (BU: Casa Romana)"/>
        <s v="Receipt: For (Apt#: M-118) (Ref: YES0N6155468653300) (NEFT: ARUNABH SINGH-Dwarkadhis Projects Priva-HDFCH01038483421) (Type: Customer Collection) (BU: Casa Romana)"/>
        <s v="Receipt: For (Apt#: N-104) (Ref: YBP6155561667380) (IMPS: ANJANJEET SINGH DHAL/XXX5487/RRN:615510918595/ICICI BANK LIMITED) (Type: Customer Collection) (BU: Casa Romana)"/>
        <s v="Receipt: For (Apt#: L-074) (Ref: YES0N6155432302700) (NEFT: Avnish Singh-DWARKADHIS PROJECTS PRIVA-SBIN426155403145) (Type: Customer Collection) (BU: Casa Romana)"/>
        <s v="Receipt: For (Apt#: M-12A2) (Ref: YBP6154523454739) (IMPS: ABHIJIT SHARMA/XXX2427/RRN:615423454739/ICICI BANK LIMITED) (Type: Customer Collection) (BU: Casa Romana)"/>
        <s v="Fund Transfer: From YES MASTER 0264 to x0377 (Ref: YESME6153004400900) (Type: Master 2 RERA) (BU: Casa Romana) (Head: Internal)"/>
        <s v="Fund Transfer: From YES MASTER 0264 to xHTRA (Ref: YESME6153004275500) (Type: Master to Free) (BU: Casa Romana) (Head: Internal)"/>
        <s v="Receipt: For (Apt#: R-052) (Ref: YBP6152557524467) (IMPS: Mrs BHAVNA MAHIPAL/XXX6701/RRN:615211209650/) (Type: Customer Collection) (BU: Casa Romana)"/>
        <s v="Receipt: For (Apt#: R-123) (Ref: YES0N6152057122600) (NEFT: ANKIT NAHAR-DWARKADHIS PROJECTS PRIVA-AXOMB15202026320) (Type: Customer Collection) (BU: Casa Romana)"/>
        <s v="Receipt: For (Apt#: P-022) (Ref: YES0N6151) (NEFT: VIJAY YADAV-Dwarkadhis projects pvt l-HDFCH01027911443) (Type: Customer Collection) (BU: Casa Romana)"/>
        <s v="Fund Transfer: From YES MASTER 0264 to xHTRA (Ref: YESME6149006119000) (Type: Master to Free) (BU: Casa Romana) (Head: Internal)"/>
        <s v="Fund Transfer: From YES MASTER 0264 to x0377 (Ref: YESME6149006118900) (Type: Master 2 RERA) (BU: Casa Romana) (Head: Internal)"/>
        <s v="Receipt: For (Apt#: L-023) (Ref: YBP6148552004871) (IMPS: RISHI BHATIA/XXX8877/RRN:614807892809/ICICI BANK LIMITED) (Type: Customer Collection) (BU: Casa Romana)"/>
        <s v="Fund Transfer: From YES MASTER 0264 to xHTRA (Ref: YESME6147006265800) (Type: Master to Free) (BU: Casa Romana) (Head: Internal)"/>
        <s v="Fund Transfer: From YES MASTER 0264 to x0377 (Ref: YESME6147006265700) (Type: Master 2 RERA) (BU: Casa Romana) (Head: Internal)"/>
        <s v="Receipt: For (Apt#: L-023) (Ref: YBP6146550391073) (IMPS: RISHI BHATIA/XXX8877/RRN:614623837550/ICICI BANK LIMITED) (Type: Customer Collection) (BU: Casa Romana)"/>
        <s v="Payment: Disbursement for (Ref: SCREF01283548931) (Type: HO - Admin) (BU: Casa Romana) (Head: Bank Charges)"/>
        <s v="Fund Transfer: From YES MASTER 0264 to xHTRA (Ref: YESME6145006493600) (Type: Master to Free) (BU: Casa Romana) (Head: Internal)"/>
        <s v="Fund Transfer: From YES MASTER 0264 to x0377 (Ref: YESME6145006493700) (Type: Master 2 RERA) (BU: Casa Romana) (Head: Internal)"/>
        <s v="Receipt: For (Apt#: T-103) (Ref: YBP6145548463885) (IMPS: SOUMEN MUKHERJEE/XXX4401/RRN:614561758165/HDFC BANK) (Type: Customer Collection) (BU: Casa Romana)"/>
        <s v="Receipt: For (Apt#: M-105) (Ref: YES0N6144267025900) (NEFT: AMIT JAIN-LEKH RAJ BAJAJ-HDFCH01014071313) (Type: Customer Collection) (BU: Casa Romana)"/>
        <s v="Fund Transfer: From YES MASTER 0264 to xHTRA (Ref: YESME6135005369200) (Type: Master to Free) (BU: Casa Romana) (Head: Internal)"/>
        <s v="Fund Transfer: From YES MASTER 0264 to x0377 (Ref: YESME6135005445900) (Type: Master 2 RERA) (BU: Casa Romana) (Head: Internal)"/>
        <s v="Receipt: For (Apt#: U-102) (Ref: YES0N6133148954500) (NEFT: NEELKANT GUMMALLA-DWARKADHIS PROJECTS PRIVA-IN12613337484665) (Type: Customer Collection) (BU: Casa Romana)"/>
        <s v="Receipt: For (Apt#: P-054) (Ref: YES0N6133120028900) (NEFT: SANJAY YADAV-DWARKADHIS PROJECTS PRIVA-IN12613337433200) (Type: Customer Collection) (BU: Casa Romana)"/>
        <s v="Fund Transfer: From YES MASTER 0264 to x0377 (Ref: YESME6131008786800) (Type: Master 2 RERA) (BU: Casa Romana) (Head: Internal)"/>
        <s v="Fund Transfer: From YES MASTER 0264 to xHTRA (Ref: YESME6131008918700) (Type: Master to Free) (BU: Casa Romana) (Head: Internal)"/>
        <s v="Receipt: For (Apt#: R-063) (Ref: 61) ( ) (Type: Customer Collection) (BU: Casa Romana)"/>
        <s v="Fund Transfer: From YES MASTER 0264 to x0377 (Ref: YESME6129003685800) (Type: Master 2 RERA) (BU: Casa Romana) (Head: Internal)"/>
        <s v="Fund Transfer: From YES MASTER 0264 to x0377 (Ref: YESME6129003685400) (Type: Master 2 RERA) (BU: Casa Romana) (Head: Internal)"/>
        <s v="Fund Transfer: From YES MASTER 0264 to xHTRA (Ref: YESME6129003685600) (Type: Master to Free) (BU: Casa Romana) (Head: Internal)"/>
        <s v="Fund Transfer: From YES MASTER 0264 to xHTRA (Ref: YESME6129003685700) (Type: Master to Free) (BU: Casa Romana) (Head: Internal)"/>
        <s v="Receipt: For (Apt#: M-104) (Ref: YES0N6129706992200) (NEFT: MEENAKSHI VIJH-DWARKADHIS PROJECTS PRIVA-HDFCH00987859519) (Type: Customer Collection) (BU: Casa Romana)"/>
        <s v="Receipt: For (Apt#: L-064) (Ref: YES0R6127821868200) (RTGS: VANDANA KHULLAR-Dwarkadhis Projects Pvt L-HDFCR52026050755329048) (Type: Customer Collection) (BU: Casa Romana)"/>
        <s v="Fund Transfer: From YES MASTER 0264 to xHTRA (Ref: YESME6127006715400) (Type: Master to Free) (BU: Casa Romana) (Head: Internal)"/>
        <s v="Fund Transfer: From YES MASTER 0264 to x0377 (Ref: YESME6127006561800) (Type: Master 2 RERA) (BU: Casa Romana) (Head: Internal)"/>
        <s v="Receipt: For (Apt#: P-071) (Ref: YES0N6127480565900) (NEFT: MRIGANKA CHAKRABORTY-Dwarkadhis projects priva-AXOMB12702121165) (Type: Customer Collection) (BU: Casa Romana)"/>
        <s v="Receipt: For (Apt#: R-064) (Ref: YBP6126526592015) (IMPS: AMITKUMAR/XXX3986/RRN:612622675562/AXIS BANK) (Type: Customer Collection) (BU: Casa Romana)"/>
        <s v="Fund Transfer: From YES MASTER 0264 to x0377 (Ref: YESME6126005382800) (Type: Master 2 RERA) (BU: Casa Romana) (Head: Internal)"/>
        <s v="Fund Transfer: From YES MASTER 0264 to xHTRA (Ref: YESME6126005567500) (Type: Master to Free) (BU: Casa Romana) (Head: Internal)"/>
        <s v="Receipt: For (Apt#: U-013) (Ref: YES0N6126325320200) (NEFT: RAHULENTERPRISES-dwarkadhis projects priva-KVBLH00260858988) (Type: Customer Collection) (BU: Casa Romana)"/>
        <s v="Receipt: For (Apt#: R-032) (Ref: YES0N6125253064400) (NEFT: RAJIV PAWAR-Dwarkadhis projectsPvt Lt-HDFCH00976823057) (Type: Customer Collection) (BU: Casa Romana)"/>
        <s v="Fund Transfer: From YES MASTER 0264 to xHTRA (Ref: YESME6125006751700) (Type: Master to Free) (BU: Casa Romana) (Head: Internal)"/>
        <s v="Fund Transfer: From YES MASTER 0264 to x0377 (Ref: YESME6125006751600) (Type: Master 2 RERA) (BU: Casa Romana) (Head: Internal)"/>
        <s v="Receipt: For (Apt#: M-096) (Ref: YES0N6125224390600) (NEFT: Mr. Jayant Raitani-DWARKADHIS PROJECTS PRIVA-IDFB612581820432) (Type: Customer Collection) (BU: Casa Romana)"/>
        <s v="Receipt: For (Apt#: M-128) (Ref: YES0N6125222905300) (NEFT: MANISH ANAND-DWARKADHIS PROJECTS PRIVA-HDFCH00975369665) (Type: Customer Collection) (BU: Casa Romana)"/>
        <s v="Receipt: For (Apt#: L-043) (Ref: YBP6125524781537) (IMPS: VIDYA DEVI/XXX7419/RRN:612514851842/STATE BANK OF INDIA) (Type: Customer Collection) (BU: Casa Romana)"/>
        <s v="Receipt: For (Apt#: U-092) (Ref: YES0N6125218081200) (NEFT: POONAM KAUR-DWARKADHIS PROJECTS PRIVA-IN12612536214211) (Type: Customer Collection) (BU: Casa Romana)"/>
        <s v="Receipt: For (Apt#: M-048) (Ref: YES0N6125215887400) (NEFT: PARVATHY KALESHBABU ANITH-DWARKADHIS PROJECTS PVT L-SCBLH12500698872) (Type: Customer Collection) (BU: Casa Romana)"/>
        <s v="Receipt: For (Apt#: M-122) (Ref: YES0N6125205498100) (NEFT: MUKESH KIRAR-DWARKADHIS PROJECTS PRIVA-HDFCH00974466038) (Type: Customer Collection) (BU: Casa Romana)"/>
        <s v="Receipt: For (Apt#: L-023) (Ref: YBP6125524539844) (IMPS: RISHI BHATIA/XXX8877/RRN:612511403468/ICICI BANK LIMITED) (Type: Customer Collection) (BU: Casa Romana)"/>
        <s v="Receipt: For (Apt#: U-072) (Ref: YBS6125352149073) ( UPI/012216184317/From:9811295007@ybl/To:045563200000264@YESB0000455.ifsc.npci/Payment from PhonePe) (Type: Customer Collection) (BU: Casa Romana)"/>
        <s v="Receipt: For (Apt#: S-083) (Ref: YBP6124524037717) (IMPS: RENUYADAV/XXX2338/RRN:612421139258/) (Type: Customer Collection) (BU: Casa Romana)"/>
        <s v="Receipt: For (Apt#: M-12A2) (Ref: YBP6124523960708) (IMPS: ABHIJIT SHARMA/XXX2427/RRN:612420388589/ICICI BANK LIMITED) (Type: Customer Collection) (BU: Casa Romana)"/>
        <s v="Fund Transfer: From YES MASTER 0264 to xHTRA (Ref: YESME6124007568400) (Type: Master to Free) (BU: Casa Romana) (Head: Internal)"/>
        <s v="Fund Transfer: From YES MASTER 0264 to x0377 (Ref: YESME6124007732000) (Type: Master 2 RERA) (BU: Casa Romana) (Head: Internal)"/>
        <s v="Fund Transfer: From YES MASTER 0264 to xHTRA (Ref: YESME6124007568300) (Type: Master to Free) (BU: Casa Romana) (Head: Internal)"/>
        <s v="Fund Transfer: From YES MASTER 0264 to x0377 (Ref: YESME6124007568200) (Type: Master 2 RERA) (BU: Casa Romana) (Head: Internal)"/>
        <s v="Receipt: For (Apt#: M-011) (Ref: YES0N6124133632700) (NEFT: ARUN INTERNATIONAL-Dwarkadhis Projects Pvt L-SBIN126124709726) (Type: Customer Collection) (BU: Casa Romana)"/>
        <s v="Receipt: For (Apt#: U-062) (Ref: YBP6124523745064) (IMPS: MANISHAAHUJA/XXX6587/RRN:612417800348/AXIS BANK) (Type: Customer Collection) (BU: Casa Romana)"/>
        <s v="Receipt: For (Apt#: M-007) (Ref: YBS6124345043983) ( UPI/549332112391/From:madaankanwalnain@ybl/To:045563200000264@YESB0000455.ifsc.npci/Payment from PhonePe) (Type: Customer Collection) (BU: Casa Romana)"/>
        <s v="Fund Transfer: From YES MASTER 0264 to xHTRA (Ref: YESME6124003687000) (Type: Master to Free) (BU: Casa Romana) (Head: Internal)"/>
        <s v="Fund Transfer: From YES MASTER 0264 to x0377 (Ref: YESME6124003686900) (Type: Master 2 RERA) (BU: Casa Romana) (Head: Internal)"/>
        <s v="Receipt: For (Apt#: T-052) (Ref: NET0876P6G64U) ( ASHISH SHUKLA-071691900001571) (Type: Customer Collection) (BU: Casa Romana)"/>
        <s v="Receipt: For (Apt#: N-104) (Ref: YBP6124523511202) (IMPS: ANJANJEET SINGH DHAL/XXX5487/RRN:612413379205/ICICI BANK LIMITED) (Type: Customer Collection) (BU: Casa Romana)"/>
        <s v="Receipt: For (Apt#: M-124) (Ref: YES0N6124089373100) (NEFT: GAURAV KHANNA-Dwarkadhis Projects Pvt L-HDFCH00971730334) (Type: Customer Collection) (BU: Casa Romana)"/>
        <s v="Receipt: For (Apt#: L-074) (Ref: YES0N6124087174100) (NEFT: Avnish Singh-DWARKADHIS PROJECTS PRIVA-SBIN526124699869) (Type: Customer Collection) (BU: Casa Romana)"/>
        <s v="Receipt: For (Apt#: R-052) (Ref: YBP6124523217873) (IMPS: Mrs BHAVNA MAHIPAL/XXX6701/RRN:612409234572/) (Type: Customer Collection) (BU: Casa Romana)"/>
        <s v="Receipt: For (Apt#: N-034) (Ref: YES0N6123018532500) (NEFT: RAJEEV SAINI-DWARKADHIS PROJECTS PRIVA-IN12612335808459) (Type: Customer Collection) (BU: Casa Romana)"/>
        <s v="Receipt: For (Apt#: M-118) (Ref: YBP6123522466104) (IMPS: ARUNABH SINGH/XXX8847/RRN:612356555078/HDFC BANK) (Type: Customer Collection) (BU: Casa Romana)"/>
        <s v="Receipt: For (Apt#: S-074) (Ref: YBP6123522463504) (IMPS: ARUNABH SINGH/XXX8847/RRN:612356553788/HDFC BANK) (Type: Customer Collection) (BU: Casa Romana)"/>
        <s v="Receipt: For (Apt#: N-052) (Ref: YBP6123522318063) (IMPS: MOHINDER SINGH/XXX7409/RRN:612312618510/PUNJAB NATIONA L BANK) (Type: Customer Collection) (BU: Casa Romana)"/>
        <s v="Receipt: For (Apt#: u-12A4) (Ref: YES0R6122809392700) (RTGS: REKHA YADAV-Dwarkadhis Projects Pvt L-HDFCR52026050253222896) (Type: Customer Collection) (BU: Casa Romana)"/>
        <s v="Receipt: For (Apt#: M-105) (Ref: YES0N6122906279800) (NEFT: AMIT JAIN-LEKH RAJ BAJAJ-HDFCH00969165420) (Type: Customer Collection) (BU: Casa Romana)"/>
        <s v="Fund Transfer: From YES MASTER 0264 to x0377 (Ref: YESME6121002471700) (Type: Master 2 RERA) (BU: Casa Romana) (Head: Internal)"/>
        <s v="Fund Transfer: From YES MASTER 0264 to xHTRA (Ref: YESME6121002471800) (Type: Master to Free) (BU: Casa Romana) (Head: Internal)"/>
        <s v="Receipt: For (Apt#: R-123) (Ref: YES0N6120724074300) (NEFT: ANKIT NAHAR-DWARKADHIS PROJECTS PRIVA-AXOMB12002169813) (Type: Customer Collection) (BU: Casa Romana)"/>
        <s v="Fund Transfer: From YES MASTER 0264 to xHTRA (Ref: YESME6120006890500) (Type: Master to Free) (BU: Casa Romana) (Head: Internal)"/>
        <s v="Fund Transfer: From YES MASTER 0264 to x0377 (Ref: YESME6120006890400) (Type: Master 2 RERA) (BU: Casa Romana) (Head: Internal)"/>
        <s v="Fund Transfer: From YES MASTER 0264 to x0377 (Ref: YESME6120006789500) (Type: Master 2 RERA) (BU: Casa Romana) (Head: Internal)"/>
        <s v="Fund Transfer: From YES MASTER 0264 to xHTRA (Ref: YESME6120006789600) (Type: Master to Free) (BU: Casa Romana) (Head: Internal)"/>
        <s v="Receipt: For (Apt#: N-052) (Ref: YES0N6120698227200) (NEFT: GIAN SINGH-DWARKADHIS PROJECTS PRIVA-CNRBH00128466789) (Type: Customer Collection) (BU: Casa Romana)"/>
        <s v="Receipt: For (Apt#: S-093) (Ref: YBP6120518950260) (IMPS: HARSH SHARMA/XXX0354/RRN:612012532133/ICICI BANK LIMITED) (Type: Customer Collection) (BU: Casa Romana)"/>
        <s v="Fund Transfer: From YES MASTER 0264 to x0377 (Ref: YESME6117007191200) (Type: Master 2 RERA) (BU: Casa Romana) (Head: Internal)"/>
        <s v="Fund Transfer: From YES MASTER 0264 to xHTRA (Ref: YESME6117007300200) (Type: Master to Free) (BU: Casa Romana) (Head: Internal)"/>
        <s v="Receipt: For (Apt#: P-022) (Ref: YES0N6117353029000) (NEFT: VIJAY YADAV-Dwarkadhis projects pvt l-HDFCH00956185725) (Type: Customer Collection) (BU: Casa Romana)"/>
        <s v="Fund Transfer: From YES MASTER 0264 to xHTRA (Ref: YESME6112002166300) (Type: Master to Free) (BU: HO) (Head: Internal)"/>
        <s v="Fund Transfer: From YES MASTER 0264 to x0377 (Ref: YESME6112002311100) (Type: Master 2 RERA) (BU: HO) (Head: Internal)"/>
        <s v="Receipt: For (Apt#: T-103) (Ref: YBP6110507670093) (IMPS: REUBEN MUKHERJEE U/G SOUMEN MUKHERJEE/XXX9384/RRN:611050868977/HDFC BANK) (Type: Customer Collection) (BU: Casa Romana)"/>
        <s v="Payment: Disbursement for Bank Charges (Ref: SCREF01282977797) (Type: HO - Admin) (BU: HO) (Head: Bank Charges)"/>
        <s v="Payment: Disbursement for GST on Bank Charges (Ref: SCREF01282977797) (Type: HO - Admin) (BU: HO) (Head: Bank Charges)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W76" sheet="YES Rera 0377"/>
  </cacheSource>
  <cacheFields>
    <cacheField name="SL#" numFmtId="0">
      <sharedItems containsString="0" containsBlank="1" containsNumber="1" containsInteger="1">
        <m/>
        <n v="3.0"/>
        <n v="4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2.0"/>
        <n v="1.0"/>
      </sharedItems>
    </cacheField>
    <cacheField name="QTR" numFmtId="0">
      <sharedItems containsBlank="1">
        <m/>
        <s v="Q2"/>
        <e v="#NAME?"/>
      </sharedItems>
    </cacheField>
    <cacheField name="MONTH" numFmtId="0">
      <sharedItems containsString="0" containsBlank="1" containsNumber="1" containsInteger="1">
        <m/>
        <n v="8.0"/>
        <n v="7.0"/>
        <n v="6.0"/>
        <n v="5.0"/>
        <n v="4.0"/>
      </sharedItems>
    </cacheField>
    <cacheField name="TXN DATE">
      <sharedItems containsDate="1" containsBlank="1" containsMixedTypes="1">
        <m/>
        <s v="20-Aug-2026"/>
        <s v="17-Aug-2026"/>
        <s v="14/08/2026"/>
        <s v="12-Aug-2026"/>
        <s v="10-Aug-2026"/>
        <s v="06-Aug-2026"/>
        <s v="05-Aug-2026"/>
        <s v="04-Aug-2026"/>
        <s v="01-Aug-2026"/>
        <d v="2026-07-30T00:00:00Z"/>
        <d v="2026-07-24T00:00:00Z"/>
        <d v="2026-07-23T00:00:00Z"/>
        <d v="2026-07-22T00:00:00Z"/>
        <d v="2026-07-18T00:00:00Z"/>
        <d v="2026-07-15T00:00:00Z"/>
        <d v="2026-07-13T00:00:00Z"/>
        <d v="2026-07-11T00:00:00Z"/>
        <d v="2026-07-08T00:00:00Z"/>
        <d v="2026-07-06T00:00:00Z"/>
        <d v="2026-07-04T00:00:00Z"/>
        <d v="2026-07-03T00:00:00Z"/>
        <d v="2026-07-02T00:00:00Z"/>
        <d v="2026-06-22T00:00:00Z"/>
        <d v="2026-06-20T00:00:00Z"/>
        <d v="2026-06-19T00:00:00Z"/>
        <d v="2026-06-12T00:00:00Z"/>
        <d v="2026-06-11T00:00:00Z"/>
        <d v="2026-06-09T00:00:00Z"/>
        <d v="2026-06-06T00:00:00Z"/>
        <d v="2026-06-05T00:00:00Z"/>
        <d v="2026-06-04T00:00:00Z"/>
        <d v="2026-06-02T00:00:00Z"/>
        <d v="2026-05-30T00:00:00Z"/>
        <d v="2026-05-29T00:00:00Z"/>
        <d v="2026-05-27T00:00:00Z"/>
        <d v="2026-05-25T00:00:00Z"/>
        <d v="2026-05-23T00:00:00Z"/>
        <d v="2026-05-16T00:00:00Z"/>
        <d v="2026-05-15T00:00:00Z"/>
        <d v="2026-05-12T00:00:00Z"/>
        <d v="2026-05-11T00:00:00Z"/>
        <d v="2026-05-09T00:00:00Z"/>
        <d v="2026-05-07T00:00:00Z"/>
        <d v="2026-05-06T00:00:00Z"/>
        <d v="2026-05-05T00:00:00Z"/>
        <d v="2026-05-04T00:00:00Z"/>
        <d v="2026-05-02T00:00:00Z"/>
        <d v="2026-05-01T00:00:00Z"/>
        <d v="2026-04-30T00:00:00Z"/>
        <d v="2026-04-28T00:00:00Z"/>
        <d v="2026-04-27T00:00:00Z"/>
        <d v="2026-04-22T00:00:00Z"/>
        <d v="2026-04-01T00:00:00Z"/>
      </sharedItems>
    </cacheField>
    <cacheField name="VALUE DATE">
      <sharedItems containsDate="1" containsBlank="1" containsMixedTypes="1">
        <m/>
        <s v="20-Aug-2026"/>
        <s v="17-Aug-2026"/>
        <s v="14/08/2026"/>
        <s v="12-Aug-2026"/>
        <s v="10-Aug-2026"/>
        <s v="06-Aug-2026"/>
        <s v="05-Aug-2026"/>
        <s v="04-Aug-2026"/>
        <s v="01-Aug-2026"/>
        <d v="2026-07-30T00:00:00Z"/>
        <d v="2026-07-24T00:00:00Z"/>
        <d v="2026-07-23T00:00:00Z"/>
        <d v="2026-07-22T00:00:00Z"/>
        <d v="2026-07-18T00:00:00Z"/>
        <d v="2026-07-15T00:00:00Z"/>
        <d v="2026-07-13T00:00:00Z"/>
        <d v="2026-07-11T00:00:00Z"/>
        <d v="2026-07-08T00:00:00Z"/>
        <d v="2026-07-06T00:00:00Z"/>
        <d v="2026-07-04T00:00:00Z"/>
        <d v="2026-07-03T00:00:00Z"/>
        <d v="2026-07-02T00:00:00Z"/>
        <d v="2026-06-22T00:00:00Z"/>
        <d v="2026-06-20T00:00:00Z"/>
        <d v="2026-06-19T00:00:00Z"/>
        <d v="2026-06-12T00:00:00Z"/>
        <d v="2026-06-11T00:00:00Z"/>
        <d v="2026-06-09T00:00:00Z"/>
        <d v="2026-06-06T00:00:00Z"/>
        <d v="2026-06-05T00:00:00Z"/>
        <d v="2026-06-04T00:00:00Z"/>
        <d v="2026-06-02T00:00:00Z"/>
        <d v="2026-05-30T00:00:00Z"/>
        <d v="2026-05-29T00:00:00Z"/>
        <d v="2026-05-27T00:00:00Z"/>
        <d v="2026-05-25T00:00:00Z"/>
        <d v="2026-05-23T00:00:00Z"/>
        <d v="2026-05-16T00:00:00Z"/>
        <d v="2026-05-15T00:00:00Z"/>
        <d v="2026-05-12T00:00:00Z"/>
        <d v="2026-05-11T00:00:00Z"/>
        <d v="2026-05-09T00:00:00Z"/>
        <d v="2026-05-07T00:00:00Z"/>
        <d v="2026-05-06T00:00:00Z"/>
        <d v="2026-05-05T00:00:00Z"/>
        <d v="2026-05-04T00:00:00Z"/>
        <d v="2026-05-02T00:00:00Z"/>
        <d v="2026-05-01T00:00:00Z"/>
        <d v="2026-04-30T00:00:00Z"/>
        <d v="2026-04-28T00:00:00Z"/>
        <d v="2026-04-27T00:00:00Z"/>
        <d v="2026-04-22T00:00:00Z"/>
        <d v="2026-04-01T00:00:00Z"/>
      </sharedItems>
    </cacheField>
    <cacheField name="TYPE" numFmtId="0">
      <sharedItems containsBlank="1">
        <m/>
        <s v=""/>
      </sharedItems>
    </cacheField>
    <cacheField name="DESCRIPTION" numFmtId="0">
      <sharedItems containsBlank="1">
        <m/>
        <s v="YIB-TPT-DWARKADHIS PROJECTS PRIVATE LIMITED IN CIRP CR IDW-INTERNAL-045563200000490"/>
        <s v="YIB-TPT-DWARKADHIS PROJECTS PRIVATE LIMITED IN CIRP-0455632 00000264"/>
        <s v="YIB-TPT-DWARKADHIS PROJECTS PRIVATE LIMITED IN CIRP-045563200000264"/>
        <s v="YIB-TPT-DWARKADHIS PROJECTS PRIVATE LIMITED IN CIRP W-INTERNAL-045563200000490"/>
        <s v="YIB-TPT-DWARKADHIS PROJECTS PRIVATE LIMITED IN CIRP CR IDW-CRR To CRI-045563200000490"/>
        <s v="YIB-TPT-DWARKADHIS PROJECTS PRIVATE LIMITED IN CIRP CR IDW-tfr I-045563200000490"/>
        <s v="YIB-TPT-DWARKADHIS PROJECTS PRIVATE LIMITED IN CIRP CR IDW-tfr-045563200000490"/>
        <s v="YIB-TPT-DWARKADHIS PROJECTS PRIVATE LIMITED IN CIRP CR IDW-DPL I-045563200000490"/>
        <s v="NET-TPT-DWARKADHIS PROJECTS PRIVATE LIMITED IN CIRP-045563200000264"/>
        <s v="YIB-TPT-DWARKADHIS PROJECTS PRIVATE LIMITED IN CIRP CR IDW-intr-045563200000490"/>
        <s v="B/F ..."/>
      </sharedItems>
    </cacheField>
    <cacheField name="REFERENCE" numFmtId="0">
      <sharedItems containsBlank="1">
        <m/>
        <s v=""/>
        <s v="YESME6226004497800"/>
        <s v="YESME6216001852500"/>
        <s v="YESME6213006799900"/>
        <s v="YESME6213006852400"/>
        <s v="YESME6211004335200"/>
        <s v="YESME6205004965000"/>
        <s v="YESME6204005383600"/>
        <s v="YESME6203005228700"/>
        <s v="YESME6203001321900"/>
        <s v="YESME6199005217500"/>
        <s v="YESME6196004222000"/>
        <s v="YESME6196003720000"/>
        <s v="YESME6194005637900"/>
        <s v="YESME6194005184100"/>
        <s v="YESME6192004439800"/>
        <s v="YESME6192003472600"/>
        <s v="YESME6189005399200"/>
        <s v="YESME6187006949800"/>
        <s v="YESME6185005631800"/>
        <s v="YESME6185005089000"/>
        <s v="YESME6184006769500"/>
        <s v="YESME6184006155200"/>
        <s v="YESME6184004910700"/>
        <s v="YESME6183012155700"/>
        <s v="YESME6173005598700                      "/>
        <s v="YESME6173005625500                      "/>
        <s v="YESME6171004625500                      "/>
        <s v="YESME6170005567100                      "/>
        <s v="YESME6163001000500"/>
        <s v="YESME6163000858600"/>
        <s v="YESME6162005659400"/>
        <s v="YESME6160001433800"/>
        <s v="YESME6157003910800"/>
        <s v="NETPC3811250197852789"/>
        <s v="YESME6156006847900"/>
        <s v="YESME6155005150500"/>
        <s v="YESME6153004400900"/>
        <s v="YESME6150004220900"/>
        <s v="YESME6149006118900"/>
        <s v="YESME6147006265700"/>
        <s v="YESME6143002884300"/>
        <s v="YESME6136003636800"/>
        <s v="YESME6135005445900"/>
        <s v="YESME6132007609700"/>
        <s v="YESME6131008786800"/>
        <s v="YESME6129003685800"/>
        <s v="YESME6129003685400"/>
        <s v="YESME6127006561800"/>
        <s v="YESME6127003957500"/>
        <s v="YESME6126005382800"/>
        <s v="YESME6125006751600"/>
        <s v="YESME6124007732000"/>
        <s v="YESME6124007568200"/>
        <s v="YESME6124003686900"/>
        <s v="YESME6122005804600"/>
        <s v="YESME6121002471700"/>
        <s v="YESME6120006890400"/>
        <s v="YESME6120006789500"/>
        <s v="YESME6118003633400"/>
        <s v="YESME6117007191200"/>
        <s v="YESME6112005561500"/>
        <s v="YESME6112002311100"/>
      </sharedItems>
    </cacheField>
    <cacheField name="DEBITS">
      <sharedItems containsBlank="1" containsMixedTypes="1" containsNumber="1" containsInteger="1">
        <m/>
        <n v="150000.0"/>
        <n v="300000.0"/>
        <n v="350000.0"/>
        <n v="70000.0"/>
        <n v="100000.0"/>
        <n v="550000.0"/>
        <n v="500000.0"/>
        <n v="200000.0"/>
        <n v="600000.0"/>
        <s v=""/>
        <n v="90000.0"/>
        <n v="400000.0"/>
        <n v="700000.0"/>
        <n v="420000.0"/>
        <n v="900000.0"/>
        <n v="50000.0"/>
      </sharedItems>
    </cacheField>
    <cacheField name="CREDITS">
      <sharedItems containsBlank="1" containsMixedTypes="1" containsNumber="1">
        <m/>
        <n v="115326.0"/>
        <n v="105000.0"/>
        <n v="198629.0"/>
        <n v="232344.0"/>
        <n v="159227.0"/>
        <n v="240798.0"/>
        <n v="47785.0"/>
        <n v="70000.0"/>
        <n v="34300.0"/>
        <n v="64015.0"/>
        <n v="17500.0"/>
        <n v="239841.0"/>
        <n v="127190.0"/>
        <n v="192500.0"/>
        <n v="247548.0"/>
        <n v="466939.0"/>
        <n v="426532.0"/>
        <n v="276523.0"/>
        <n v="37644.0"/>
        <s v=""/>
        <n v="157500.0"/>
        <n v="35000.0"/>
        <n v="576177.0"/>
        <n v="512192.8"/>
        <n v="92453.9"/>
        <n v="219324.7"/>
        <n v="36428.0"/>
        <n v="111216.0"/>
        <n v="173860.0"/>
        <n v="223129.0"/>
        <n v="127490.0"/>
        <n v="7420.0"/>
        <n v="177447.0"/>
        <n v="381714.0"/>
        <n v="41490.0"/>
        <n v="791139.0"/>
        <n v="114768.0"/>
        <n v="39858.0"/>
        <n v="35558.0"/>
      </sharedItems>
    </cacheField>
    <cacheField name="BALANCE" numFmtId="0">
      <sharedItems containsString="0" containsBlank="1" containsNumber="1">
        <m/>
        <n v="8019.100000000006"/>
        <n v="158019.1"/>
        <n v="42693.39999999991"/>
        <n v="192693.3999999999"/>
        <n v="87693.3999999999"/>
        <n v="237693.3999999999"/>
        <n v="537693.3999999999"/>
        <n v="339064.3999999999"/>
        <n v="106720.3999999999"/>
        <n v="456720.3999999999"/>
        <n v="297493.3999999999"/>
        <n v="56695.39999999991"/>
        <n v="126695.3999999999"/>
        <n v="78910.3999999999"/>
        <n v="8910.399999999907"/>
        <n v="108910.3999999999"/>
        <n v="74610.3999999999"/>
        <n v="10595.399999999907"/>
        <n v="160595.3999999999"/>
        <n v="143095.3999999999"/>
        <n v="693095.3999999999"/>
        <n v="453254.3999999999"/>
        <n v="383254.3999999999"/>
        <n v="883254.3999999999"/>
        <n v="756064.3999999999"/>
        <n v="956064.3999999999"/>
        <n v="763564.3999999999"/>
        <n v="516016.3999999999"/>
        <n v="49077.39999999991"/>
        <n v="649077.3999999999"/>
        <n v="749077.3999999999"/>
        <n v="322545.3999999999"/>
        <n v="46022.39999999991"/>
        <n v="8378.399999999907"/>
        <n v="158378.3999999999"/>
        <n v="878.3999999999069"/>
        <n v="90878.3999999999"/>
        <n v="55878.39999999991"/>
        <n v="555878.3999999999"/>
        <n v="485878.3999999999"/>
        <n v="885878.3999999999"/>
        <n v="815878.3999999999"/>
        <n v="1515878.4"/>
        <n v="939701.3999999999"/>
        <n v="427508.6"/>
        <n v="335054.7"/>
        <n v="115730.0"/>
        <n v="215730.0"/>
        <n v="179302.0"/>
        <n v="142874.0"/>
        <n v="31658.0"/>
        <n v="451658.0"/>
        <n v="1051658.0"/>
        <n v="877798.0"/>
        <n v="1077798.0"/>
        <n v="1007798.0"/>
        <n v="784669.0"/>
        <n v="657179.0"/>
        <n v="649759.0"/>
        <n v="1549759.0"/>
        <n v="1372312.0"/>
        <n v="990598.0"/>
        <n v="949108.0"/>
        <n v="914108.0"/>
        <n v="122969.0"/>
        <n v="222969.0"/>
        <n v="175184.0"/>
        <n v="140184.0"/>
        <n v="25416.0"/>
        <n v="95416.0"/>
        <n v="75416.0"/>
        <n v="35558.0"/>
      </sharedItems>
    </cacheField>
    <cacheField name="BUSINESS UNIT" numFmtId="0">
      <sharedItems containsBlank="1">
        <m/>
        <s v="Casa Romana"/>
      </sharedItems>
    </cacheField>
    <cacheField name="HEAD" numFmtId="0">
      <sharedItems containsBlank="1">
        <m/>
        <s v="Internal"/>
      </sharedItems>
    </cacheField>
    <cacheField name="SUB HEAD" numFmtId="0">
      <sharedItems containsBlank="1">
        <m/>
        <s v=""/>
      </sharedItems>
    </cacheField>
    <cacheField name="RECO" numFmtId="0">
      <sharedItems containsBlank="1">
        <m/>
        <s v="Reco"/>
        <s v="Entry"/>
      </sharedItems>
    </cacheField>
    <cacheField name="TYPE FOR RERA IDW" numFmtId="0">
      <sharedItems containsBlank="1">
        <m/>
        <s v="RERA 2 IDW"/>
        <s v="Master 2 RERA"/>
        <s v="Opening Balance"/>
      </sharedItems>
    </cacheField>
    <cacheField name="TCP Head" numFmtId="0">
      <sharedItems containsBlank="1">
        <m/>
        <s v="Internal transfer"/>
        <s v="Credit- no effect"/>
      </sharedItems>
    </cacheField>
    <cacheField name="CONCERN" numFmtId="0">
      <sharedItems containsBlank="1">
        <m/>
        <s v=""/>
      </sharedItems>
    </cacheField>
    <cacheField name="CUST ID" numFmtId="0">
      <sharedItems containsBlank="1">
        <m/>
        <s v=""/>
      </sharedItems>
    </cacheField>
    <cacheField name="APT#" numFmtId="0">
      <sharedItems containsBlank="1">
        <m/>
        <s v=""/>
      </sharedItems>
    </cacheField>
    <cacheField name="ACC REMARKS" numFmtId="0">
      <sharedItems containsBlank="1">
        <m/>
        <s v=""/>
      </sharedItems>
    </cacheField>
    <cacheField name="CRM REMARKS" numFmtId="0">
      <sharedItems containsBlank="1">
        <m/>
        <s v=""/>
      </sharedItems>
    </cacheField>
    <cacheField name="NARRATION" numFmtId="0">
      <sharedItems containsBlank="1">
        <m/>
        <s v="Internal Fund Transfer (From x0377 to x0490) | Ref: N/A | Type: RERA 2 IDW | BU: Casa Romana | Head: Internal"/>
        <s v="Internal Fund Transfer (From x0264 to x0377) | Ref: 0455632 00000264 | Type: Master 2 RERA | BU: Casa Romana | Head: Internal"/>
        <s v="Fund Transfer: From YES RERA 0377 to x0490 (Bank Reference: ) (Type: RERA 2 IDW) (BU: Casa Romana) (Head: Internal)"/>
        <s v="Fund Transfer: From x0264 to YES RERA 0377 (Bank Reference: ) (Type: Master 2 RERA) (BU: Casa Romana) (Head: Internal)"/>
        <s v="Fund Transfer: From x0264 to YES RERA 0377 (Bank Reference: YESME6216001852500) (Type: Master 2 RERA) (BU: Casa Romana) (Head: Internal)"/>
        <s v="Fund Transfer: From YES RERA 0377 to x0490 (Bank Reference: YESME6213006799900) (Type: RERA 2 IDW) (BU: Casa Romana) (Head: Internal)"/>
        <s v="Fund Transfer: From x0264 to YES RERA 0377 (Bank Reference: YESME6213006852400) (Type: Master 2 RERA) (BU: Casa Romana) (Head: Internal)"/>
        <s v="Fund Transfer: From x0264 to YES RERA 0377 (Bank Reference: YESME6211004335200) (Type: Master 2 RERA) (BU: Casa Romana) (Head: Internal)"/>
        <s v="Fund Transfer: From YES RERA 0377 to x0490 (Bank Reference: YESME6205004965000) (Type: RERA 2 IDW) (BU: Casa Romana) (Head: Internal)"/>
        <s v="Fund Transfer: From x0264 to YES RERA 0377 (Bank Reference: YESME6204005383600) (Type: Master 2 RERA) (BU: Casa Romana) (Head: Internal)"/>
        <s v="Fund Transfer: From x0264 to YES RERA 0377 (Bank Reference: YESME6203005228700) (Type: Master 2 RERA) (BU: Casa Romana) (Head: Internal)"/>
        <s v="Fund Transfer: From YES RERA 0377 to x0490 (Bank Reference: YESME6203001321900) (Type: RERA 2 IDW) (BU: Casa Romana) (Head: Internal)"/>
        <s v="Fund Transfer: From x0264 to YES RERA 0377 (Bank Reference: YESME6199005217500) (Type: Master 2 RERA) (BU: Casa Romana) (Head: Internal)"/>
        <s v="Fund Transfer: From YES RERA 0377 to x0490 (Bank Reference: YESME6196004222000) (Type: RERA 2 IDW) (BU: Casa Romana) (Head: Internal)"/>
        <s v="Fund Transfer: From x0264 to YES RERA 0377 (Bank Reference: YESME6196003720000) (Type: Master 2 RERA) (BU: Casa Romana) (Head: Internal)"/>
        <s v="Fund Transfer: From x0264 to YES RERA 0377 (Bank Reference: YESME6194005637900) (Type: Master 2 RERA) (BU: Casa Romana) (Head: Internal)"/>
        <s v="Fund Transfer: From YES RERA 0377 to x0490 (Bank Reference: YESME6194005184100) (Type: RERA 2 IDW) (BU: Casa Romana) (Head: Internal)"/>
        <s v="Fund Transfer: From x0264 to YES RERA 0377 (Bank Reference: YESME6192004439800) (Type: Master 2 RERA) (BU: Casa Romana) (Head: Internal)"/>
        <s v="Fund Transfer: From YES RERA 0377 to x0490 (Bank Reference: YESME6192003472600) (Type: RERA 2 IDW) (BU: Casa Romana) (Head: Internal)"/>
        <s v="Fund Transfer: From x0264 to YES RERA 0377 (Bank Reference: YESME6189005399200) (Type: Master 2 RERA) (BU: Casa Romana) (Head: Internal)"/>
        <s v="Fund Transfer: From x0264 to YES RERA 0377 (Bank Reference: YESME6187006949800) (Type: Master 2 RERA) (BU: Casa Romana) (Head: Internal)"/>
        <s v="Fund Transfer: From x0264 to YES RERA 0377 (Bank Reference: YESME6185005631800) (Type: Master 2 RERA) (BU: Casa Romana) (Head: Internal)"/>
        <s v="Fund Transfer: From YES RERA 0377 to x0490 (Bank Reference: YESME6185005089000) (Type: RERA 2 IDW) (BU: Casa Romana) (Head: Internal)"/>
        <s v="Fund Transfer: From YES RERA 0377 to x0490 (Bank Reference: YESME6184006769500) (Type: RERA 2 IDW) (BU: Casa Romana) (Head: Internal)"/>
        <s v="Fund Transfer: From x0264 to YES RERA 0377 (Bank Reference: YESME6184006155200) (Type: Master 2 RERA) (BU: Casa Romana) (Head: Internal)"/>
        <s v="Fund Transfer: From x0264 to YES RERA 0377 (Bank Reference: YESME6184004910700) (Type: Master 2 RERA) (BU: Casa Romana) (Head: Internal)"/>
        <s v="Fund Transfer: From x0264 to YES RERA 0377 (Bank Reference: YESME6183012155700) (Type: Master 2 RERA) (BU: Casa Romana) (Head: Internal)"/>
        <s v="Fund Transfer: From YES RERA 0377 to x0490 (Bank Reference: YESME6173005598700 ) (Type: RERA 2 IDW) (BU: Casa Romana) (Head: Internal)"/>
        <s v="Fund Transfer: From x0264 to YES RERA 0377 (Bank Reference: YESME6173005625500 ) (Type: Master 2 RERA) (BU: Casa Romana) (Head: Internal)"/>
        <s v="Fund Transfer: From YES RERA 0377 to x0490 (Bank Reference: YESME6171004625500 ) (Type: RERA 2 IDW) (BU: Casa Romana) (Head: Internal)"/>
        <s v="Fund Transfer: From x0264 to YES RERA 0377 (Bank Reference: YESME6170005567100 ) (Type: Master 2 RERA) (BU: Casa Romana) (Head: Internal)"/>
        <s v="Fund Transfer: From YES RERA 0377 to x0490 (Bank Reference: YESME6163001000500) (Type: RERA 2 IDW) (BU: Casa Romana) (Head: Internal)"/>
        <s v="Fund Transfer: From x0264 to YES RERA 0377 (Bank Reference: YESME6163000858600) (Type: Master 2 RERA) (BU: Casa Romana) (Head: Internal)"/>
        <s v="Fund Transfer: From YES RERA 0377 to x0490 (Bank Reference: YESME6162005659400) (Type: RERA 2 IDW) (BU: Casa Romana) (Head: Internal)"/>
        <s v="Fund Transfer: From x0264 to YES RERA 0377 (Bank Reference: YESME6160001433800) (Type: Master 2 RERA) (BU: Casa Romana) (Head: Internal)"/>
        <s v="Fund Transfer: From YES RERA 0377 to x0490 (Bank Reference: YESME6157003910800) (Type: RERA 2 IDW) (BU: Casa Romana) (Head: Internal)"/>
        <s v="Fund Transfer: From x0264 to YES RERA 0377 (Bank Reference: NETPC3811250197852789) (Type: Master 2 RERA) (BU: Casa Romana) (Head: Internal)"/>
        <s v="Fund Transfer: From x0264 to YES RERA 0377 (Bank Reference: YESME6156006847900) (Type: Master 2 RERA) (BU: Casa Romana) (Head: Internal)"/>
        <s v="Fund Transfer: From x0264 to YES RERA 0377 (Bank Reference: YESME6155005150500) (Type: Master 2 RERA) (BU: Casa Romana) (Head: Internal)"/>
        <s v="Fund Transfer: From x0264 to YES RERA 0377 (Bank Reference: YESME6153004400900) (Type: Master 2 RERA) (BU: Casa Romana) (Head: Internal)"/>
        <s v="Fund Transfer: From YES RERA 0377 to x0490 (Bank Reference: YESME6150004220900) (Type: RERA 2 IDW) (BU: Casa Romana) (Head: Internal)"/>
        <s v="Fund Transfer: From x0264 to YES RERA 0377 (Bank Reference: YESME6149006118900) (Type: Master 2 RERA) (BU: Casa Romana) (Head: Internal)"/>
        <s v="Fund Transfer: From x0264 to YES RERA 0377 (Bank Reference: YESME6147006265700) (Type: Master 2 RERA) (BU: Casa Romana) (Head: Internal)"/>
        <s v="Fund Transfer: From YES RERA 0377 to x0490 (Bank Reference: YESME6143002884300) (Type: RERA 2 IDW) (BU: Casa Romana) (Head: Internal)"/>
        <s v="Fund Transfer: From YES RERA 0377 to x0490 (Bank Reference: YESME6136003636800) (Type: RERA 2 IDW) (BU: Casa Romana) (Head: Internal)"/>
        <s v="Fund Transfer: From x0264 to YES RERA 0377 (Bank Reference: YESME6135005445900) (Type: Master 2 RERA) (BU: Casa Romana) (Head: Internal)"/>
        <s v="Fund Transfer: From YES RERA 0377 to x0490 (Bank Reference: YESME6132007609700) (Type: RERA 2 IDW) (BU: Casa Romana) (Head: Internal)"/>
        <s v="Fund Transfer: From x0264 to YES RERA 0377 (Bank Reference: YESME6131008786800) (Type: Master 2 RERA) (BU: Casa Romana) (Head: Internal)"/>
        <s v="Fund Transfer: From x0264 to YES RERA 0377 (Bank Reference: YESME6129003685800) (Type: Master 2 RERA) (BU: Casa Romana) (Head: Internal)"/>
        <s v="Fund Transfer: From x0264 to YES RERA 0377 (Bank Reference: YESME6129003685400) (Type: Master 2 RERA) (BU: Casa Romana) (Head: Internal)"/>
        <s v="Fund Transfer: From x0264 to YES RERA 0377 (Bank Reference: YESME6127006561800) (Type: Master 2 RERA) (BU: Casa Romana) (Head: Internal)"/>
        <s v="Fund Transfer: From YES RERA 0377 to x0490 (Bank Reference: YESME6127003957500) (Type: RERA 2 IDW) (BU: Casa Romana) (Head: Internal)"/>
        <s v="Fund Transfer: From x0264 to YES RERA 0377 (Bank Reference: YESME6126005382800) (Type: Master 2 RERA) (BU: Casa Romana) (Head: Internal)"/>
        <s v="Fund Transfer: From x0264 to YES RERA 0377 (Bank Reference: YESME6125006751600) (Type: Master 2 RERA) (BU: Casa Romana) (Head: Internal)"/>
        <s v="Fund Transfer: From x0264 to YES RERA 0377 (Bank Reference: YESME6124007732000) (Type: Master 2 RERA) (BU: Casa Romana) (Head: Internal)"/>
        <s v="Fund Transfer: From x0264 to YES RERA 0377 (Bank Reference: YESME6124007568200) (Type: Master 2 RERA) (BU: Casa Romana) (Head: Internal)"/>
        <s v="Fund Transfer: From x0264 to YES RERA 0377 (Bank Reference: YESME6124003686900) (Type: Master 2 RERA) (BU: Casa Romana) (Head: Internal)"/>
        <s v="Fund Transfer: From YES RERA 0377 to x0490 (Bank Reference: YESME6122005804600) (Type: RERA 2 IDW) (BU: Casa Romana) (Head: Internal)"/>
        <s v="Fund Transfer: From x0264 to YES RERA 0377 (Bank Reference: YESME6121002471700) (Type: Master 2 RERA) (BU: Casa Romana) (Head: Internal)"/>
        <s v="Fund Transfer: From x0264 to YES RERA 0377 (Bank Reference: YESME6120006890400) (Type: Master 2 RERA) (BU: Casa Romana) (Head: Internal)"/>
        <s v="Fund Transfer: From x0264 to YES RERA 0377 (Bank Reference: YESME6120006789500) (Type: Master 2 RERA) (BU: Casa Romana) (Head: Internal)"/>
        <s v="Fund Transfer: From YES RERA 0377 to x0490 (Bank Reference: YESME6118003633400) (Type: RERA 2 IDW) (BU: Casa Romana) (Head: Internal)"/>
        <s v="Fund Transfer: From x0264 to YES RERA 0377 (Bank Reference: YESME6117007191200) (Type: Master 2 RERA) (BU: Casa Romana) (Head: Internal)"/>
        <s v="Fund Transfer: From YES RERA 0377 to x0490 (Bank Reference: YESME6112005561500) (Type: RERA 2 IDW) (BU: Casa Romana) (Head: Internal)"/>
        <s v="Fund Transfer: From x0264 to YES RERA 0377 (Bank Reference: YESME6112002311100) (Type: Master 2 RERA) (BU: Casa Romana) (Head: Internal)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W432" sheet="YES IDW 0490"/>
  </cacheSource>
  <cacheFields>
    <cacheField name="SL#" numFmtId="0">
      <sharedItems containsString="0" containsBlank="1" containsNumber="1" containsInteger="1">
        <m/>
        <n v="3.0"/>
        <n v="4.0"/>
        <n v="5.0"/>
        <n v="6.0"/>
        <n v="7.0"/>
        <n v="8.0"/>
        <n v="9.0"/>
        <n v="10.0"/>
        <n v="11.0"/>
        <n v="12.0"/>
        <n v="13.0"/>
        <n v="419.0"/>
        <n v="418.0"/>
        <n v="417.0"/>
        <n v="416.0"/>
        <n v="415.0"/>
        <n v="414.0"/>
        <n v="413.0"/>
        <n v="412.0"/>
        <n v="411.0"/>
        <n v="410.0"/>
        <n v="409.0"/>
        <n v="408.0"/>
        <n v="407.0"/>
        <n v="406.0"/>
        <n v="405.0"/>
        <n v="404.0"/>
        <n v="403.0"/>
        <n v="402.0"/>
        <n v="401.0"/>
        <n v="400.0"/>
        <n v="399.0"/>
        <n v="398.0"/>
        <n v="397.0"/>
        <n v="396.0"/>
        <n v="395.0"/>
        <n v="394.0"/>
        <n v="393.0"/>
        <n v="392.0"/>
        <n v="391.0"/>
        <n v="390.0"/>
        <n v="389.0"/>
        <n v="388.0"/>
        <n v="387.0"/>
        <n v="386.0"/>
        <n v="385.0"/>
        <n v="384.0"/>
        <n v="383.0"/>
        <n v="382.0"/>
        <n v="381.0"/>
        <n v="380.0"/>
        <n v="379.0"/>
        <n v="378.0"/>
        <n v="377.0"/>
        <n v="376.0"/>
        <n v="375.0"/>
        <n v="374.0"/>
        <n v="373.0"/>
        <n v="372.0"/>
        <n v="371.0"/>
        <n v="370.0"/>
        <n v="369.0"/>
        <n v="368.0"/>
        <n v="367.0"/>
        <n v="366.0"/>
        <n v="365.0"/>
        <n v="364.0"/>
        <n v="363.0"/>
        <n v="362.0"/>
        <n v="361.0"/>
        <n v="360.0"/>
        <n v="359.0"/>
        <n v="358.0"/>
        <n v="357.0"/>
        <n v="356.0"/>
        <n v="355.0"/>
        <n v="354.0"/>
        <n v="353.0"/>
        <n v="352.0"/>
        <n v="351.0"/>
        <n v="350.0"/>
        <n v="349.0"/>
        <n v="348.0"/>
        <n v="347.0"/>
        <n v="346.0"/>
        <n v="345.0"/>
        <n v="344.0"/>
        <n v="343.0"/>
        <n v="342.0"/>
        <n v="341.0"/>
        <n v="340.0"/>
        <n v="339.0"/>
        <n v="338.0"/>
        <n v="337.0"/>
        <n v="336.0"/>
        <n v="335.0"/>
        <n v="334.0"/>
        <n v="333.0"/>
        <n v="332.0"/>
        <n v="331.0"/>
        <n v="330.0"/>
        <n v="329.0"/>
        <n v="328.0"/>
        <n v="327.0"/>
        <n v="326.0"/>
        <n v="325.0"/>
        <n v="324.0"/>
        <n v="323.0"/>
        <n v="322.0"/>
        <n v="321.0"/>
        <n v="320.0"/>
        <n v="319.0"/>
        <n v="318.0"/>
        <n v="317.0"/>
        <n v="316.0"/>
        <n v="315.0"/>
        <n v="314.0"/>
        <n v="313.0"/>
        <n v="312.0"/>
        <n v="311.0"/>
        <n v="310.0"/>
        <n v="309.0"/>
        <n v="308.0"/>
        <n v="307.0"/>
        <n v="306.0"/>
        <n v="305.0"/>
        <n v="304.0"/>
        <n v="303.0"/>
        <n v="302.0"/>
        <n v="301.0"/>
        <n v="300.0"/>
        <n v="299.0"/>
        <n v="298.0"/>
        <n v="297.0"/>
        <n v="296.0"/>
        <n v="295.0"/>
        <n v="294.0"/>
        <n v="293.0"/>
        <n v="292.0"/>
        <n v="291.0"/>
        <n v="290.0"/>
        <n v="289.0"/>
        <n v="288.0"/>
        <n v="287.0"/>
        <n v="286.0"/>
        <n v="285.0"/>
        <n v="284.0"/>
        <n v="283.0"/>
        <n v="282.0"/>
        <n v="281.0"/>
        <n v="280.0"/>
        <n v="279.0"/>
        <n v="278.0"/>
        <n v="277.0"/>
        <n v="276.0"/>
        <n v="275.0"/>
        <n v="274.0"/>
        <n v="273.0"/>
        <n v="272.0"/>
        <n v="271.0"/>
        <n v="270.0"/>
        <n v="269.0"/>
        <n v="268.0"/>
        <n v="267.0"/>
        <n v="266.0"/>
        <n v="265.0"/>
        <n v="264.0"/>
        <n v="263.0"/>
        <n v="262.0"/>
        <n v="261.0"/>
        <n v="260.0"/>
        <n v="259.0"/>
        <n v="258.0"/>
        <n v="257.0"/>
        <n v="256.0"/>
        <n v="255.0"/>
        <n v="254.0"/>
        <n v="253.0"/>
        <n v="252.0"/>
        <n v="251.0"/>
        <n v="250.0"/>
        <n v="249.0"/>
        <n v="248.0"/>
        <n v="247.0"/>
        <n v="246.0"/>
        <n v="245.0"/>
        <n v="244.0"/>
        <n v="243.0"/>
        <n v="242.0"/>
        <n v="241.0"/>
        <n v="240.0"/>
        <n v="239.0"/>
        <n v="238.0"/>
        <n v="237.0"/>
        <n v="236.0"/>
        <n v="235.0"/>
        <n v="234.0"/>
        <n v="233.0"/>
        <n v="232.0"/>
        <n v="231.0"/>
        <n v="230.0"/>
        <n v="229.0"/>
        <n v="228.0"/>
        <n v="227.0"/>
        <n v="226.0"/>
        <n v="225.0"/>
        <n v="224.0"/>
        <n v="223.0"/>
        <n v="222.0"/>
        <n v="221.0"/>
        <n v="220.0"/>
        <n v="219.0"/>
        <n v="218.0"/>
        <n v="217.0"/>
        <n v="216.0"/>
        <n v="215.0"/>
        <n v="214.0"/>
        <n v="213.0"/>
        <n v="212.0"/>
        <n v="211.0"/>
        <n v="210.0"/>
        <n v="209.0"/>
        <n v="208.0"/>
        <n v="207.0"/>
        <n v="206.0"/>
        <n v="205.0"/>
        <n v="204.0"/>
        <n v="203.0"/>
        <n v="202.0"/>
        <n v="201.0"/>
        <n v="200.0"/>
        <n v="199.0"/>
        <n v="198.0"/>
        <n v="197.0"/>
        <n v="196.0"/>
        <n v="195.0"/>
        <n v="194.0"/>
        <n v="193.0"/>
        <n v="192.0"/>
        <n v="191.0"/>
        <n v="190.0"/>
        <n v="189.0"/>
        <n v="188.0"/>
        <n v="187.0"/>
        <n v="186.0"/>
        <n v="185.0"/>
        <n v="184.0"/>
        <n v="183.0"/>
        <n v="182.0"/>
        <n v="181.0"/>
        <n v="180.0"/>
        <n v="179.0"/>
        <n v="178.0"/>
        <n v="177.0"/>
        <n v="176.0"/>
        <n v="175.0"/>
        <n v="174.0"/>
        <n v="173.0"/>
        <n v="172.0"/>
        <n v="171.0"/>
        <n v="170.0"/>
        <n v="169.0"/>
        <n v="168.0"/>
        <n v="167.0"/>
        <n v="166.0"/>
        <n v="165.0"/>
        <n v="164.0"/>
        <n v="163.0"/>
        <n v="162.0"/>
        <n v="161.0"/>
        <n v="160.0"/>
        <n v="159.0"/>
        <n v="158.0"/>
        <n v="157.0"/>
        <n v="156.0"/>
        <n v="155.0"/>
        <n v="154.0"/>
        <n v="153.0"/>
        <n v="152.0"/>
        <n v="151.0"/>
        <n v="150.0"/>
        <n v="149.0"/>
        <n v="148.0"/>
        <n v="147.0"/>
        <n v="146.0"/>
        <n v="145.0"/>
        <n v="144.0"/>
        <n v="143.0"/>
        <n v="142.0"/>
        <n v="141.0"/>
        <n v="140.0"/>
        <n v="139.0"/>
        <n v="138.0"/>
        <n v="137.0"/>
        <n v="136.0"/>
        <n v="135.0"/>
        <n v="134.0"/>
        <n v="133.0"/>
        <n v="132.0"/>
        <n v="131.0"/>
        <n v="130.0"/>
        <n v="129.0"/>
        <n v="128.0"/>
        <n v="127.0"/>
        <n v="126.0"/>
        <n v="125.0"/>
        <n v="124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2.0"/>
        <n v="1.0"/>
      </sharedItems>
    </cacheField>
    <cacheField name="QTR">
      <sharedItems containsBlank="1" containsMixedTypes="1" containsNumber="1" containsInteger="1">
        <m/>
        <s v="Q2"/>
        <e v="#NAME?"/>
        <n v="1.0"/>
      </sharedItems>
    </cacheField>
    <cacheField name="MONTH" numFmtId="0">
      <sharedItems containsString="0" containsBlank="1" containsNumber="1" containsInteger="1">
        <m/>
        <n v="8.0"/>
        <n v="7.0"/>
        <n v="6.0"/>
        <n v="5.0"/>
        <n v="4.0"/>
      </sharedItems>
    </cacheField>
    <cacheField name="TXN DATE">
      <sharedItems containsDate="1" containsBlank="1" containsMixedTypes="1">
        <m/>
        <s v="22-Aug-2026"/>
        <d v="2026-08-22T00:00:00Z"/>
        <d v="2026-08-20T00:00:00Z"/>
        <d v="2026-08-14T00:00:00Z"/>
        <s v="10-Aug-2026"/>
        <s v="08-Aug-2026"/>
        <s v="06-Aug-2026"/>
        <s v="05-Aug-2026"/>
        <s v="03-Aug-2026"/>
        <s v="01-Aug-2026"/>
        <d v="2026-07-27T00:00:00Z"/>
        <d v="2026-07-24T00:00:00Z"/>
        <d v="2026-07-22T00:00:00Z"/>
        <d v="2026-07-20T00:00:00Z"/>
        <d v="2026-07-18T00:00:00Z"/>
        <d v="2026-07-15T00:00:00Z"/>
        <d v="2026-07-13T00:00:00Z"/>
        <d v="2026-07-11T00:00:00Z"/>
        <d v="2026-07-10T00:00:00Z"/>
        <d v="2026-07-09T00:00:00Z"/>
        <d v="2026-07-06T00:00:00Z"/>
        <d v="2026-07-04T00:00:00Z"/>
        <d v="2026-07-03T00:00:00Z"/>
        <d v="2026-07-01T00:00:00Z"/>
        <d v="2026-06-29T00:00:00Z"/>
        <d v="2026-06-27T00:00:00Z"/>
        <d v="2026-06-26T00:00:00Z"/>
        <d v="2026-06-23T00:00:00Z"/>
        <d v="2026-06-22T00:00:00Z"/>
        <d v="2026-06-20T00:00:00Z"/>
        <d v="2026-06-19T00:00:00Z"/>
        <d v="2026-06-18T00:00:00Z"/>
        <d v="2026-06-17T00:00:00Z"/>
        <d v="2026-06-15T00:00:00Z"/>
        <d v="2026-06-13T00:00:00Z"/>
        <d v="2026-06-12T00:00:00Z"/>
        <d v="2026-06-11T00:00:00Z"/>
        <d v="2026-06-09T00:00:00Z"/>
        <d v="2026-06-06T00:00:00Z"/>
        <d v="2026-06-01T00:00:00Z"/>
        <d v="2026-05-30T00:00:00Z"/>
        <d v="2026-05-28T00:00:00Z"/>
        <d v="2026-05-26T00:00:00Z"/>
        <d v="2026-05-23T00:00:00Z"/>
        <d v="2026-05-21T00:00:00Z"/>
        <d v="2026-05-16T00:00:00Z"/>
        <d v="2026-05-15T00:00:00Z"/>
        <d v="2026-05-13T00:00:00Z"/>
        <d v="2026-05-12T00:00:00Z"/>
        <d v="2026-05-09T00:00:00Z"/>
        <d v="2026-05-07T00:00:00Z"/>
        <d v="2026-05-02T00:00:00Z"/>
        <d v="2026-04-29T00:00:00Z"/>
        <d v="2026-04-28T00:00:00Z"/>
        <d v="2026-04-24T00:00:00Z"/>
        <d v="2026-04-23T00:00:00Z"/>
        <d v="2026-04-22T00:00:00Z"/>
        <d v="2026-04-20T00:00:00Z"/>
        <d v="2026-04-16T00:00:00Z"/>
        <d v="2026-04-15T00:00:00Z"/>
        <d v="2026-04-14T00:00:00Z"/>
        <d v="2026-04-13T00:00:00Z"/>
        <d v="2026-04-11T00:00:00Z"/>
        <d v="2026-04-08T00:00:00Z"/>
        <d v="2026-04-06T00:00:00Z"/>
        <d v="2026-04-04T00:00:00Z"/>
        <d v="2026-04-01T00:00:00Z"/>
      </sharedItems>
    </cacheField>
    <cacheField name="VALUE DATE">
      <sharedItems containsDate="1" containsBlank="1" containsMixedTypes="1">
        <m/>
        <s v="22-Aug-2026"/>
        <d v="2026-08-22T00:00:00Z"/>
        <d v="2026-08-20T00:00:00Z"/>
        <d v="2026-08-14T00:00:00Z"/>
        <s v="10-Aug-2026"/>
        <s v="08-Aug-2026"/>
        <s v="06-Aug-2026"/>
        <s v="05-Aug-2026"/>
        <s v="03-Aug-2026"/>
        <s v="01-Aug-2026"/>
        <d v="2026-07-27T00:00:00Z"/>
        <d v="2026-07-24T00:00:00Z"/>
        <d v="2026-07-22T00:00:00Z"/>
        <d v="2026-07-20T00:00:00Z"/>
        <d v="2026-07-18T00:00:00Z"/>
        <d v="2026-07-15T00:00:00Z"/>
        <d v="2026-07-13T00:00:00Z"/>
        <d v="2026-07-11T00:00:00Z"/>
        <d v="2026-07-10T00:00:00Z"/>
        <d v="2026-07-09T00:00:00Z"/>
        <d v="2026-07-06T00:00:00Z"/>
        <d v="2026-07-04T00:00:00Z"/>
        <d v="2026-07-03T00:00:00Z"/>
        <d v="2026-07-01T00:00:00Z"/>
        <d v="2026-06-29T00:00:00Z"/>
        <d v="2026-06-27T00:00:00Z"/>
        <d v="2026-06-26T00:00:00Z"/>
        <d v="2026-06-23T00:00:00Z"/>
        <d v="2026-06-22T00:00:00Z"/>
        <d v="2026-06-20T00:00:00Z"/>
        <d v="2026-06-19T00:00:00Z"/>
        <d v="2026-06-18T00:00:00Z"/>
        <d v="2026-06-17T00:00:00Z"/>
        <d v="2026-06-15T00:00:00Z"/>
        <d v="2026-06-13T00:00:00Z"/>
        <d v="2026-06-12T00:00:00Z"/>
        <d v="2026-06-11T00:00:00Z"/>
        <d v="2026-06-09T00:00:00Z"/>
        <d v="2026-06-06T00:00:00Z"/>
        <d v="2026-06-01T00:00:00Z"/>
        <d v="2026-05-30T00:00:00Z"/>
        <d v="2026-05-28T00:00:00Z"/>
        <d v="2026-05-26T00:00:00Z"/>
        <d v="2026-05-23T00:00:00Z"/>
        <d v="2026-05-21T00:00:00Z"/>
        <d v="2026-05-16T00:00:00Z"/>
        <d v="2026-05-15T00:00:00Z"/>
        <d v="2026-05-13T00:00:00Z"/>
        <d v="2026-05-12T00:00:00Z"/>
        <d v="2026-05-09T00:00:00Z"/>
        <d v="2026-05-07T00:00:00Z"/>
        <d v="2026-05-02T00:00:00Z"/>
        <d v="2026-04-29T00:00:00Z"/>
        <d v="2026-04-28T00:00:00Z"/>
        <d v="2026-04-24T00:00:00Z"/>
        <d v="2026-04-23T00:00:00Z"/>
        <d v="2026-04-22T00:00:00Z"/>
        <d v="2026-04-20T00:00:00Z"/>
        <d v="2026-04-16T00:00:00Z"/>
        <d v="2026-04-15T00:00:00Z"/>
        <d v="2026-04-14T00:00:00Z"/>
        <d v="2026-04-13T00:00:00Z"/>
        <d v="2026-04-11T00:00:00Z"/>
        <d v="2026-04-08T00:00:00Z"/>
        <d v="2026-04-06T00:00:00Z"/>
        <d v="2026-04-04T00:00:00Z"/>
        <d v="2026-04-01T00:00:00Z"/>
      </sharedItems>
    </cacheField>
    <cacheField name="TYPE" numFmtId="0">
      <sharedItems containsBlank="1">
        <m/>
        <s v=""/>
      </sharedItems>
    </cacheField>
    <cacheField name="DESCRIPTION" numFmtId="0">
      <sharedItems containsBlank="1">
        <m/>
        <s v="YIB-NEFT-YESME62340021125-MKA DECORATOR-CBIN0283490-CONTRACTOR- CENTRAL BANK OF INDIA"/>
        <s v="YIB-NEFT-YESME62340022583-MONA POWER TRADING-CNRB0006638-Vendor-CANARA BANK"/>
        <s v="YIB-NEFT-YESME62340021127-RAM CHAND YADAV-CNRB0006479-SALARY- CANARA BANK"/>
        <s v="YIB-NEFT-YESME62340021126-CHOU DHARY ENTERPRISES-IDIB000D618-VEN DOR-INDIAN BANK"/>
        <s v="YIB-NEFT-YESME62340021124-RAVI VATS-UBIN0567370-IMPREST-UNION BANK OF INDIA"/>
        <s v="YIB-NEFT-YESME62340021121-NAVE EN YADAV-HDFC0001977-CONTRACTOR- HDFC BANK"/>
        <s v="YIB-NEFT-YESME62340021123-VAHI D-PUNB0116410-CONTRACTOR-PUNJAB NATIONAL BANK"/>
        <s v="YIB-NEFT-YESME62340021122-SAHIL- HDFC0000168-SALARY-HDFC BANK"/>
        <s v="YIB-NEFT-YESME62340022581-RAKE SH KUMAR-SBIN0005699-SALARY-STAT E BANK OF INDIA"/>
        <s v="YIB-NEFT-YESME62340022580-MAN MATI YADAV-CNRB0006479-CONTRACTO R-CANARA BANK"/>
        <s v="YIB-NEFT-YESME62340021120-NASI M-SBIN0014231-CONTRACTOR-STATE BANK OF INDIA"/>
        <s v="YIB-TPT-DWARKADHIS PROJECTS PVT LTD IN CIRP CASA ROMANA FR-045563400002477"/>
        <s v="YIB-NEFT-YESME62320055332-Ram Kishan-SBIN0005699-Contractor-STATE BANK OF INDIA"/>
        <s v="YIB-NEFT-YESME62320053538-Ramabati Devi-PUNB0155300-Salary-PUNJAB NATIONAL BANK"/>
        <s v="YIB-NEFT-YESME62320053535-Santosh-PUNB0HGB001-Salary-PUNJAB NATIONAL BANK"/>
        <s v="YIB-NEFT-YESME62320055329-Ravi Vats-UBIN0567370-Salary-UNION BANK OF INDIA"/>
        <s v="YIB-NEFT-YESME62320053534-Maya Choudhary-SBIN0003508-Salary-STATE BANK OF INDIA"/>
        <s v="YIB-NEFT-YESME62320053533-Amar jeet-SBIN0005699-Salary-STATE BANK OF INDIA"/>
        <s v="YIB-NEFT-YESME62320055327-Rahul Kumar-PUNB0357200-Salary-PUNJAB NATIONAL BANK"/>
        <s v="YIB-NEFT-YESME62320053529-Jyoti-IDIB000D618-Salary-INDIAN BANK"/>
        <s v="YIB-NEFT-YESME62320053531-Sanjay Kumar-UBIN0567370-Salary-UNION BANK OF INDIA"/>
        <s v="YIB-NEFT-YESME62320053530-Ram Sharan-BKID0007415-Salary-BANK OF INDIA"/>
        <s v="YIB-NEFT-YESME62320055326-Vishwajeet-UBIN0567370-Salary-UNION BANK OF INDIA"/>
        <s v="YIB-NEFT-YESME62320053527-Sandeep Kumar-UBIN0567370-Salary-UNION BANK OF INDIA"/>
        <s v="YIB-NEFT-YESME62320055325-Mohan Singh-BARB0INDBHI-Salary-BANK OF BARODA"/>
        <s v="YIB-NEFT-YESME62320055324-VISHAL KUMAR-SBIN0050145-Salary-STATE BANK OF INDIA"/>
        <s v="YIB-NEFT-YESME62320053525-Satish-PUNB0357200-Salary-PUNJAB NATIONAL BANK"/>
        <s v="YIB-NEFT-YESME62320053524-Devender Kumar-HDFC0003848-Salary-HDFC BANK"/>
        <s v="IMPS/NA/XXXX1842/RRN:623289456366/PC4533815183110463/PUNJAB NATIONAL/Pooja/POOJA Salary"/>
        <s v="YIB-NEFT-YESME62320053523-Sher Singh-IOBA0002166-Contractor-INDIAN OVERSEAS BANK"/>
        <s v="YIB-NEFT-YESME62320053521-Lakshmi-PUNB0130400-Salary-PUNJAB NATIONAL BANK"/>
        <s v="YIB-NEFT-YESME62320055323-Ajay-NSPB0000002-Salary-NSDL PAYMENTS BANK LIMITED"/>
        <s v="IMPS/NA/XXXX0091/RRN:623289456349/PC45337666004329/FINO PAYMENTS B/Bharat Singh/Bharat Singh Salary"/>
        <s v="YIB-NEFT-YESME62320053520-Balram Mishara-SBIN0015698-Salary-STATE BANK OF INDIA"/>
        <s v="YIB-NEFT-YESME62320055322-Babu Ram Thapa-PUNB0123710-Salary-PUNJAB NATIONAL BANK"/>
        <s v="YIB-TPT-DWARKADHIS PROJECTS PRIVATE LIMITED IN CIRP CR-045563200000377"/>
        <s v="YIB-NEFT-YESME62260054892-Mukesh Kumar-KVBL0004201-Contractor-KARUR VYSYA BANK"/>
        <s v="YIB-NEFT-YESME62260056670-Durpati-CNRB0006479-Contractor-CANARA BANK"/>
        <s v="YIB-NEFT-YESME62260054890-Manmati Yadav-CNRB0006479-Contractor-CANARA BANK"/>
        <s v="YIB-NEFT-YESME62260054889-Nasim-SBIN0014231-Contractor-STATE BANK OF INDIA"/>
        <s v="YIB-NEFT-YESME62260056669-Lalan Yadav-FDRL0002158-Contractor-FEDERAL BANK"/>
        <s v="YIB-NEFT-YESME62260056661-Ravi Vats-UBIN0567370-Imprest-UNION BANK OF INDIA"/>
        <s v="YIB-NEFT-YESME62260056659-MKA Decorator-CBIN0283490-Contractor-CENTRAL BANK OF INDIA"/>
        <s v="YIB-NEFT-YESME62260056664-Ram Chand Yadav-CNRB0006479-Contractor-CANARA BANK"/>
        <s v="YIB-NEFT-YESME62260056663-Sahun-BARB0TIJARA-Contractor-BANK OF BARODA"/>
        <s v="YIB-NEFT-YESME62260022720-DWARKADHIS PROJECTS PVT LTD-MAHB0001461-transferfrom490to675onaccountofepfpaymen-BANK OF MAHARx9675"/>
        <s v="YIB-NEFT-YESME62260022719-DWARKADHIS PROJECTS PVT LTD-MAHB0001461-transferfrom490to675onaccountofesipaymen-BANK OF MAHARx9675"/>
        <s v="YIB-NEFT-YESME62260022718-Durpati-CNRB0006479-Contractor-CANARA BANK"/>
        <s v="YIB-NEFT-YESME62220060227-RAM CHAND YADAV-CNRB0006479-CONTRAC TOR-CANARA BANK"/>
        <s v="YIB-NEFT-YESME62220059858-AWES OME PAINT PLANNERS PVT LTD-ICIC0003 254-VENDOR-ICICI BANK LIMITED"/>
        <s v="YIB-NEFT-YESME62220060226-SHAR MA PAINTS-PUNB0166500-VENDOR-PU NJAB NATIONAL BANK"/>
        <s v="YIB-NEFT-YESME62220059857-MAN MATI YADAV-CNRB0006479-CONTRACTO R-CANARA BANK"/>
        <s v="YIB-NEFT-YESME62220059856-MKA DECORATOR-CBIN0283490-CONTRACTOR- CENTRAL BANK OF INDIA"/>
        <s v="YIB-NEFT-YESME62220059855-NASI M-SBIN0014231-CONTRACTOR-STATE BANK OF INDIA"/>
        <s v="YIB-NEFT-YESME62220060223-LALAN YADAV-FDRL0002158-CONTRACTOR-FED ERAL BANK"/>
        <s v="YIB-NEFT-YESME62220059851-RAVI VATS-UBIN0567370-IMPREST-UNION BANK OF INDIA"/>
        <s v="YIB-NEFT-YESME62220059849-MUKE SH KUMAR-KVBL0004201-CONTRACTOR- KARUR VYSYA BANK"/>
        <s v="YIB-NEFT-YESME62220059850-MOHA MMAD KHALIL-SBIN0008152-CONTRACTO R-STATE BANK OF INDIA"/>
        <s v="YIB-TPT-DWARKADHIS PROJECTS PRIVATE LIMITED IN CIRP 563200000377"/>
        <s v="YIB-NEFT-YESME62200043189-A N FILLING STATION-ICIC0003494-VENDOR-I CICI BANK LIMITED"/>
        <s v="YIB-NEFT-YESME62180057304-DWA RKADHIS PROJECTS PVT LTD-MA HB0001461-FOR TDS PAY-BANK OF MAHARASHTRAx9675"/>
        <s v="YIB-NEFT-YESME62180059046-MONO ATOM LABS PRIVATE LIMITED-IDFB0040 311-VENDOR-IDFC FIRST BANK LTD"/>
        <s v="YIB-NEFT-YESME62180057305-ULTRAT ECH CEMENT LTD-YESB0CMSNOC-VE NDOR-YESB0CMSNOC"/>
        <s v="YIB-NEFT-YESME62170060821-RAM CHAND YADAV-CNRB0006479-CONTRAC TOR-CANARA BANK"/>
        <s v="YIB-NEFT-YESME62170060820-MUKE SH KUMAR-KVBL0004201-CONTRACTOR- KARUR VYSYA BANK"/>
        <s v="YIB-NEFT-YESME62170060819-MOHA MMAD KHALIL-SBIN0008152-CONTRACTO R-STATE BANK OF INDIA"/>
        <s v="YIB-NEFT-YESME62170062063-SHRI S HYAM TRADERS-IDFB0021009-VENDOR-I DFC FIRST BANK LTD"/>
        <s v="YIB-NEFT-YESME62170062064-RAKIB A BIBI-SBIN0007204-CONTRACTOR-STA TE BANK OF INDIA"/>
        <s v="YIB-NEFT-YESME62170060818-RAVI VATS-UBIN0567370-IMPREST-UNION BANK OF INDIA"/>
        <s v="YIB-NEFT-YESME62170060817-NASI M-SBIN0014231-CONTRACTOR-STATE BANK OF INDIA"/>
        <s v="YIB-NEFT-YESME62170062061-MKA DECORATOR-CBIN0283490-CONTRACTOR- CENTRAL BANK OF INDIA"/>
        <s v="YIB-NEFT-YESME62170060815-MAN MATI YADAV-CNRB0006479-CONTRACTO R-CANARA BANK"/>
        <s v="YIB-NEFT-YESME62170060816-LALAN YADAV-FDRL0002158-CONTRACTOR-FED ERAL BANK"/>
        <s v="YIB-NEFT-YESME621500 72816-DURGA HARDWARE AND ELECTRICALS-HDFC0005 460-VENDOR-HDFC BANK"/>
        <s v="YIB-NEFT-YESME6215 0074109-VAHID-PUNB0 116410-CONTRACTOR-PUN JAB NATIONAL BANK"/>
        <s v="YIB-NEFT-YESME621500 74108-VIPUL ENTERPRISES-R MGB0001499-VENDOR-RA JASTHAN GRAMIN BANK"/>
        <s v="YIB-NEFT-YESME62080025994-Ram Chand Yadav-CNRB0006479-Contractor-CANARA BANK"/>
        <s v="YIB-NEFT-YESME62080025993-Mukesh Kumar-KVBL0004201-Contractor-KARUR VYSYA BANK"/>
        <s v="YIB-NEFT-YESME62080025992-Lalan Yadav-FDRL0002158-Contractor-FEDERAL BANK"/>
        <s v="YIB-NEFT-YESME62080027534-MKA Decorator-CBIN0283490-Contractor-CENTRAL BANK OF INDIA"/>
        <s v="YIB-NEFT-YESME62080025988-Rakiba BIBI-SBIN0007204-Contractor-STATE BANK OF INDIA"/>
        <s v="YIB-NEFT-YESME62080025989-Manmati Yadav-CNRB0006479-Contractor-CANARA BANK"/>
        <s v="YIB-NEFT-YESME62080025987-Nasim-SBIN0014231-Contractor-STATE BANK OF INDIA"/>
        <s v="YIB-NEFT-YESME62080027532-Mohammad Khalil-SBIN0008152-Contractor-STATE BANK OF INDIA"/>
        <s v="IMPS/NA/XXXX5421/RRN:620565635433/PC4267675229661928/HDFC BANK/Pallavi Fibre Glass/Vendor"/>
        <s v="YIB-NEFT-YESME62050054046-Exen Chem-KKBK0000208-Vendor-KOTAK MAHINDRA BANK LIMITED"/>
        <s v="YIB-NEFT-YESME62050054045-Sharma Paints-PUNB0166500-Vendor-PUNJAB NATIONAL BANK"/>
        <s v="YIB-NEFT-YESME62050054044-Auro Chemical Industries Pvt Ltd-KKBK0000190-Vendor-KOTAK MAHINDRA BANK LIMITED"/>
        <s v="YIB-NEFT-YESME62030018559-Rakiba BIBI-SBIN0007204-Contractor-STATE BANK OF INDIA"/>
        <s v="YIB-NEFT-YESME62030018558-Mohammad Khalil-SBIN0008152-Contractor-STATE BANK OF INDIA"/>
        <s v="YIB-NEFT-YESME62030018557-Manmati Yadav-CNRB0006479-Contractor-CANARA BANK"/>
        <s v="YIB-NEFT-YESME62030018556-Sahun-BARB0TIJARA-Contractor-BANK OF BARODA"/>
        <s v="YIB-NEFT-YESME62030018555-Vahid-PUNB0116410-Contractor-PUNJAB NATIONAL BANK"/>
        <s v="YIB-NEFT-YESME62030016702-Awesome Paint Planners Pvt Ltd-ICIC0003254-Vendor-ICICI BANK LIMITED"/>
        <s v="YIB-NEFT-YESME62030016703-Lalan Yadav-FDRL0002158-Contractor-FEDERAL BANK"/>
        <s v="YIB-NEFT-YESME62030018554-Ram Chand Yadav-CNRB0006479-Contractor-CANARA BANK"/>
        <s v="YIB-NEFT-YESME62030018553-Mukesh Kumar-KVBL0004201-Contractor-KARUR VYSYA BANK"/>
        <s v="YIB-NEFT-YESME62030016699-MKA Decorator-CBIN0283490-Contractor-CENTRAL BANK OF INDIA"/>
        <s v="YIB-NEFT-YESME62030016700-Nasim-SBIN0014231-Contractor-STATE BANK OF INDIA"/>
        <s v="YIB-TPT-DWARKADHIS PROJECTS PVT LTD IN CIRP CASA ROMANA FREE-internal-045563400002477"/>
        <s v="YIB-NEFT-YESME61990054142-Ravi Vats-UBIN0567370-Imprest-UNION BANK OF INDIA"/>
        <s v="YIB-NEFT-YESME61990050235-Ram Sharan-BKID0007415-Salary-BANK OF INDIA"/>
        <s v="YIB-NEFT-YESME61990050234-Balram Mishara-SBIN0015698-Salary-STATE BANK OF INDIA"/>
        <s v="YIB-NEFT-YESME61990049156-Devender Kumar-HDFC0003848-Salary-HDFC BANK"/>
        <s v="YIB-NEFT-YESME61990050233-Ajay-NSPB0000002-Salary-NSDL PAYMENTS BANK LIMITED"/>
        <s v="YIB-NEFT-YESME61990050231-Sandeep Kumar-UBIN0567370-Salary-UNION BANK OF INDIA"/>
        <s v="YIB-NEFT-YESME61990049154-Sher Singh-IOBA0002166-Contractor-INDIAN OVERSEAS BANK"/>
        <s v="YIB-NEFT-YESME61990050229-Jyoti-IDIB000D618-Salary-INDIAN BANK"/>
        <s v="YIB-NEFT-YESME61990050230-Deepak Mishra-PUNB0090700-Salary-PUNJAB NATIONAL BANK"/>
        <s v="YIB-NEFT-YESME61990049153-Lakshmi-PUNB0130400-Salary-PUNJAB NATIONAL BANK"/>
        <s v="YIB-NEFT-YESME61990050228-Mohan Singh-BARB0INDBHI-Salary-BANK OF BARODA"/>
        <s v="YIB-NEFT-YESME61990049152-Santosh-PUNB0HGB001-Salary-PUNJAB NATIONAL BANK"/>
        <s v="IMPS/NA/XXXX0091/RRN:619961125628/PC4213346171779670/FINO PAYMENTS B/Bharat Singh/Salary"/>
        <s v="YIB-NEFT-YESME61990049151-Satish-PUNB0357200-Salary-PUNJAB NATIONAL BANK"/>
        <s v="YIB-NEFT-YESME61990049150-Ramabati Devi-PUNB0155300-Salary-PUNJAB NATIONAL BANK"/>
        <s v="YIB-NEFT-YESME61990050227-Rahul Kumar-PUNB0357200-Salary-PUNJAB NATIONAL BANK"/>
        <s v="YIB-NEFT-YESME61990050225-Ravi Vats-UBIN0567370-Salary-UNION BANK OF INDIA"/>
        <s v="YIB-NEFT-YESME61990050224-Vishwajeet-UBIN0567370-Salary-UNION BANK OF INDIA"/>
        <s v="YIB-NEFT-YESME61990049147-Sanjay Kumar-UBIN0567370-Salary-UNION BANK OF INDIA"/>
        <s v="YIB-NEFT-YESME61990050223-Ram Kishan-SBIN0005699-Contractor-STATE BANK OF INDIA"/>
        <s v="YIB-NEFT-YESME61990050222-Sahil-HDFC0000168-Salary-HDFC BANK"/>
        <s v="IMPS/NA/XXXX7234/RRN:619961125590/PC421336836917248/STATE BANK OF I/Vishal Kumar/Salary"/>
        <s v="YIB-NEFT-YESME61990050220-Maya Choudhary-SBIN0003508-Salary-STATE BANK OF INDIA"/>
        <s v="YIB-NEFT-YESME61990050219-Surendra Singh-PUNB0130400-Salary-PUNJAB NATIONAL BANK"/>
        <s v="YIB-NEFT-YESME61990049144-Amar jeet-SBIN0005699-Salary-STATE BANK OF INDIA"/>
        <s v="YIB-NEFT-YESME61940058191-RK Traders-UTIB0002967-Vendor-AXIS BANK"/>
        <s v="YIB-NEFT-YESME61940058192-DWARKADHIS PROJECTS PVT LTD-MAHB0001461-for epf esi payment-BANK OF MAHARASHTRA9675"/>
        <s v="YIB-NEFT-YESME61940057226-UNIQUE TRADING-HDFC0001719-Vendor-HDFC BANK"/>
        <s v="YIB-NEFT-YESME61940058190-OM Steela-HDFC0005460-Vendor-HDFC BANK"/>
        <s v="YIB-NEFT-YESME61920046199-Vahid-PUNB0116410-Contractor-PUNJAB NATIONAL BANK"/>
        <s v="YIB-NEFT-YESME61920046198-Ram Chand Yadav-CNRB0006479-Contractor-CANARA BANK"/>
        <s v="YIB-NEFT-YESME61920044349-Manmati Yadav-CNRB0006479-Contractor-CANARA BANK"/>
        <s v="YIB-NEFT-YESME61920046196-Mukesh Kumar-KVBL0004201-Contractor-KARUR VYSYA BANK"/>
        <s v="YIB-NEFT-YESME61920046194-Mohammad Khalil-SBIN0008152-Contractor-STATE BANK OF INDIA"/>
        <s v="YIB-NEFT-YESME61920046195-Nasim-SBIN0014231-Contractor-STATE BANK OF INDIA"/>
        <s v="YIB-NEFT-YESME61920044348-Rakiba BIBI-SBIN0007204-Contractor-STATE BANK OF INDIA"/>
        <s v="YIB-NEFT-YESME61920044345-Ravi Vats-UBIN0567370-Imprest-UNION BANK OF INDIA"/>
        <s v="YIB-NEFT-YESME61920046192-Lalan Yadav-FDRL0002158-Contractor-FEDERAL BANK"/>
        <s v="YIB-NEFT-YESME61920044346-MKA Decorator-CBIN0283490-Contractor-CENTRAL BANK OF INDIA"/>
        <s v="YIB-NEFT-YESME61920044344-Sahun-BARB0TIJARA-Contractor-BANK OF BARODA"/>
        <s v="YIB-NEFT-YESME61910074872-Star tools and Machinery-HDFC0005460-Vendor-HDFC BANK"/>
        <s v="YIB-NEFT-YESME61900062435-Sharma Paints-PUNB0166500-Vendor-PUNJAB NATIONAL BANK"/>
        <s v="YIB-NEFT-YESME61900062434-Star tools and Machinery-HDFC0005460-Vendor-HDFC BANK"/>
        <s v="YIB-NEFT-YESME61900061377-Nasim-SBIN0014231-Contractor-STATE BANK OF INDIA"/>
        <s v="YIB-NEFT-YESME61900061376-Ravi Vats-UBIN0567370-imprest-UNION BANK OF INDIA"/>
        <s v="YIB-NEFT-YESME61870062449-Rakiba BIBI-SBIN0007204-Contractor-STATE BANK OF INDIA"/>
        <s v="YIB-NEFT-YESME61870061869-DWARKADHIS PROJECTS PVT LTD-MAHB0001461-for tds-BANK OF MAHARASHTRABOM9675"/>
        <s v="YIB-NEFT-YESME61850064653-Lalan Yadav-FDRL0002158-contractor-FEDERAL BANK"/>
        <s v="YIB-NEFT-YESME61850063630-Ram Chand Yadav-CNRB0006479-contractor-CANARA BANK"/>
        <s v="YIB-NEFT-YESME61850064652-MKA Decorator-CBIN0283490-contractor-CENTRAL BANK OF INDIA"/>
        <s v="YIB-NEFT-YESME61850064651-Mukesh Kumar-KVBL0004201-contractor-KARUR VYSYA BANK"/>
        <s v="YIB-NEFT-YESME61850063629-Nasim-SBIN0014231-Contractor-STATE BANK OF INDIA"/>
        <s v="YIB-NEFT-YESME61850063628-Mohammad Khalil-SBIN0008152-contractor-STATE BANK OF INDIA"/>
        <s v="YIB-NEFT-YESME61850064650-Sahun-BARB0TIJARA-Contractor-BANK OF BARODA"/>
        <s v="YIB-NEFT-YESME61850057030-Choudhary Enterprises-IDIB000D618-Vendor-INDIAN BANK"/>
        <s v="YIB-NEFT-YESME61850055672-Manmati Yadav-CNRB0006479-Contractor-CANARA BANK"/>
        <s v="YIB-NEFT-YESME61840070259-A N Filling Station-ICIC0003494-Vendor-ICICI BANK LIMITED"/>
        <s v="YIB-NEFT-YESME61820066761-S S Paints-HDFC0001977-Vendor-HDFC BANK"/>
        <s v="YIB-NEFT-YESME61820066760-New Delhi Doaba Carriers-HDFC0007044-Vendor-HDFC BANK"/>
        <s v="YIB-NEFT-YESME61800053936-Mittal Hardware Store-HDFC0005460-Vendor-HDFC BANK"/>
        <s v="YIB-NEFT-YESME61780079194-MKA Decorator-CBIN0283490-Contractor-CENTRAL BANK OF INDIA"/>
        <s v="YIB-NEFT-YESME61780079195-Ram Chand Yadav-CNRB0006479-Contractor-CANARA BANK"/>
        <s v="YIB-NEFT-YESME61780079196-Nasim-SBIN0014231-Contractor-STATE BANK OF INDIA"/>
        <s v="YIB-NEFT-YESME61780079193-Ravi Vats-UBIN0567370-imprest-UNION BANK OF INDIA"/>
        <s v="YIB-NEFT-YESME61780079192-Rakiba BIBI-SBIN0007204-Contractor-STATE BANK OF INDIA"/>
        <s v="YIB-NEFT-YESME61780079191-Lalan Yadav-FDRL0002158-Contractor-FEDERAL BANK"/>
        <s v="YIB-NEFT-YESME61780077574-Manmati Yadav-CNRB0006479-Contractor-CANARA BANK"/>
        <s v="YIB-NEFT-YESME61780077573-Heera Lal-SBIN0007052-Contractor-STATE BANK OF INDIA"/>
        <s v="YIB-NEFT-YESME61770041045-The Fire Wala-UTIB0004373-Vendor-AXIS BANK"/>
        <s v="IMPS/NA/XXXX9241/RRN:617435957808/PC396683862567141/KARUR VYSYA BAN/Mukesh Kumar/Contractor"/>
        <s v="YIB-NEFT-YESME61740052599-UNIQUE TRADING-HDFC0001719-Vendor-HDFC BANK"/>
        <s v="YIB-NEFT-YESME61740052598-PNH POWER CONTROL-HDFC0003706-Contractor-HDFC BANK"/>
        <s v="YIB-NEFT-YESME61730060782-Mittal Hardware Store-HDFC0005460-Vendor-HDFC BANK"/>
        <s v="YIB-NEFT-YESME61710047927-Rakiba BIBI-SBIN0007204-contractor-STATE BANK OF INDIA"/>
        <s v="YIB-NEFT-YESME61710049883-Lalan Yadav-FDRL0002158-Contractor-FEDERAL BANK"/>
        <s v="YIB-NEFT-YESME61710049882-Mohammad Khalil-SBIN0008152-contractor-STATE BANK OF INDIA"/>
        <s v="YIB-NEFT-YESME61710049881-Om Prakash-UBIN0907359-tfr-UNION BANK OF INDIA"/>
        <s v="YIB-NEFT-YESME61710049880-Ram Chand Yadav-CNRB0006479-Contractor-CANARA BANK"/>
        <s v="YIB-NEFT-YESME61710047925-Ravi Vats-UBIN0567370-imprest-UNION BANK OF INDIA"/>
        <s v="YIB-NEFT-YESME61710047924-Nasim-SBIN0014231-Contractor-STATE BANK OF INDIA"/>
        <s v="YIB-NEFT-YESME61710047923-MKA Decorator-CBIN0283490-contractor-CENTRAL BANK OF INDIA"/>
        <s v="YIB-NEFT-YESME61710047615-Manmati Yadav-CNRB0006479-Contractor-CANARA BANK"/>
        <s v="YIB-NEFT-YESME61700057278-Naveen Yadav-HDFC0001977-Contractor-HDFC BANK"/>
        <s v="YIB-RTGS-YESBR12026061800038695 DWARKADHIS PROJECTS PVT LTD MAHB0001461- DHBVN- Payment-BANK OF MAHARASHTRA9675"/>
        <s v="YIB-NEFT-YESME61680041747-PNH POWER CONTROL-HDFC0003706-Vendor-HDFC BANK"/>
        <s v="YIB-NEFT-YESME61660073158-Balram Mishara-SBIN0015698-Salary-STATE BANK OF INDIA"/>
        <s v="YIB-NEFT-YESME61660070669-Jyoti-IDIB000D618-Salary-INDIAN BANK"/>
        <s v="YIB-NEFT-YESME61660070668-Sanjay Kumar-UBIN0567370-Salary-UNION BANK OF INDIA"/>
        <s v="YIB-NEFT-YESME61660070666-Ram Kishan-SBIN0005699-tfr-STATE BANK OF INDIA"/>
        <s v="YIB-NEFT-YESME61660073154-Rahul Kumar-PUNB0357200-Salary-PUNJAB NATIONAL BANK"/>
        <s v="YIB-NEFT-YESME61660073155-Manjay Kumar-FINO0001060-Salary-FINO PAYMENTS BANK"/>
        <s v="YIB-NEFT-YESME61660073156-Surendra Singh-PUNB0130400-Salary-PUNJAB NATIONAL BANK"/>
        <s v="YIB-NEFT-YESME61660073151-Maya Choudhary-SBIN0003508-Salary-STATE BANK OF INDIA"/>
        <s v="YIB-NEFT-YESME61660073153-Rajasthan Sanitarty and Hardware-HDFC0005460-Vendor-HDFC BANK"/>
        <s v="YIB-NEFT-YESME61660073152-Ajay-NSPB0000002-Salary-NSDL PAYMENTS BANK LIMITED"/>
        <s v="YIB-NEFT-YESME61660073149-Sandeep Kumar-UBIN0567370-Salary-UNION BANK OF INDIA"/>
        <s v="YIB-NEFT-YESME61660073148-Shiva-IOBA0002166-Salary-INDIAN OVERSEAS BANK"/>
        <s v="YIB-NEFT-YESME61660073147-Ram Sharan-BKID0007415-Salary-BANK OF INDIA"/>
        <s v="YIB-NEFT-YESME61660070664-Vishwajeet-UBIN0567370-Salary-UNION BANK OF INDIA"/>
        <s v="YIB-NEFT-YESME61660070661-Babu Ram Thapa-PUNB0123710-Salary-PUNJAB NATIONAL BANK"/>
        <s v="YIB-NEFT-YESME61660070660-Satish-PUNB0357200-Salary-PUNJAB NATIONAL BANK"/>
        <s v="YIB-NEFT-YESME61660070662-Ravi Vats-UBIN0567370-Salary-UNION BANK OF INDIA"/>
        <s v="YIB-NEFT-YESME61660070658-Amarjeet-SBIN0005699-Salary-STATE BANK OF INDIA"/>
        <s v="YIB-NEFT-YESME61660073145-Devender Kumar-HDFC0003848-Salary-HDFC BANK"/>
        <s v="IMPS/NA/XXXX0091/RRN:616698356024/PC38978 11144658468/FINO PAYMENTS B/Bharat Singh/Bharat Singh Salary"/>
        <s v="YIB-NEFT-YESME61660070657-Lakshmi-PUNB0130400-Salary-PUNJAB NATIONAL BANK"/>
        <s v="IMPS/NA/XXXX7234/RRN:616698356018/PC3897828256925503/STATE BANK OF I/Vishal Kumar/Vishal Kumar Salary"/>
        <s v="YIB-NEFT-YESME61660070656-Ramabati Devi-PUNB0155300-Salary-PUNJAB NATIONAL BANK"/>
        <s v="YIB-NEFT-YESME61660073142-Deepak Mishra-PUNB0090700-Salary-PUNJAB NATIONAL BANK"/>
        <s v="YIB-NEFT-YESME61660070654-Sahil-HDFC0000168-Salary-HDFC BANK"/>
        <s v="YIB-NEFT-YESME61660073139-Sher Singh-IOBA0002166-tfr-INDIAN OVERSEAS BANK"/>
        <s v="YIB-NEFT-YESME61660070653-Santosh-PUNB0HGB001-Salary-PUNJAB NATIONAL BANK"/>
        <s v="YIB-NEFT-YESME61660073138-Vikram-PUNB0357200-salary-PUNJAB NATIONAL BANK"/>
        <s v="YIB-NEFT-YESME61640029239-Vahid-PUNB0116410-Contractor-PUNJAB NATIONAL BANK"/>
        <s v="YIB-NEFT-YESME61640029238-Ram Chand Yadav-CNRB0006479-Contractor-CANARA BANK"/>
        <s v="YIB-NEFT-YESME61640029236-Manmati Yadav-CNRB0006479-Contractor-CANARA BANK"/>
        <s v="YIB-NEFT-YESME61640029235-Shokeen Shokeen-SBIN0016240-Contractor-STATE BANK OF INDIA"/>
        <s v="YIB-NEFT-YESME61640029234-Nasim-SBIN0014231-Contractor-STATE BANK OF INDIA"/>
        <s v="YIB-NEFT-YESME61640029237-Heera Lal-SBIN0007052-Contractor-STATE BANK OF INDIA"/>
        <s v="YIB-NEFT-YESME61640011580-Rajasthan Sanitarty and Hardware-HDFC0005460-Vendor-HDFC BANK"/>
        <s v="YIB-NEFT-YESME61640006358-Sharma Paints-PUNB0166500-Vendor-PUNJAB NATIONAL BANK"/>
        <s v="YIB-NEFT-YESME61630011446-Star tools and Machinery-HDFC0005460-Vendor-HDFC BANK"/>
        <s v="YIB-NEFT-YESME61630003536-OM Steela-HDFC0005460-Vendor-HDFC BANK"/>
        <s v="YIB-NEFT-YESME61630011445-DWARKADHIS PROJECTS PVT LTD-MAHB0001461-for esi epf-BANK OF MAHARASHTRA"/>
        <s v="YIB-NEFT-YESME61630011444-RK Traders-UTIB0002967-Vendor-AXIS BANK"/>
        <s v="YIB-NEFT-YESME61630011443-Sunil Iron and Machinery Store-HDFC0002537-Vendor-HDFC BANK"/>
        <s v="YIB-NEFT-YESME61620064251-Ultratech Cement Ltd-YESB0CMSNOC-Vendor-YESB0CMSNOC"/>
        <s v="YIB-NEFT-YESME61620050796-Ravi Vats-UBIN0567370-Imprest-UNION BANK OF INDIA"/>
        <s v="YIB-NEFT-YESME61600066519-Awesome Paint Planners Pvt Ltd-ICIC0003254-Vendor-ICICI BANK LIMITED"/>
        <s v="YIB-NEFT-YESME61600049866-Shri Shyam Traders-IDFB0021009-Vendor-IDFC FIRST BANK LTD"/>
        <s v="YIB-NEFT-YESME61570054041-Ravi Vats-UBIN0567370-Imprest-UNION BANK OF INDIA"/>
        <s v="YIB-NEFT-YESME61570054040-Nasim-SBIN0014231-contractor-STATE BANK OF INDIA"/>
        <s v="YIB-NEFT-YESME61570054039-Jhalani Electricals-PUNB0399300-Vendor-PUNJAB NATIONAL BANK"/>
        <s v="YIB-NEFT-YESME61570054038-Ram Chand Yadav-CNRB0006479-contractor-CANARA BANK"/>
        <s v="YIB-NEFT-YESME61570053480-Sahun-BARB0TIJARA-Contractor-BANK OF BARODA"/>
        <s v="YIB-NEFT-YESME61570053479-DWARKADHIS PROJECTS PVT LTD-MAHB0001461-for TDS Payment-BANK OF MAHARASHTRA"/>
        <s v="YIB-NEFT-YESME61570053478-Mona Power Trading-CNRB0006638-Vendor-CANARA BANK"/>
        <s v="YIB-NEFT-YESME61570053477-Choudhary Enterprises-IDIB000D618-Vendor-INDIAN BANK"/>
        <s v="YIB-NEFT-YESME61570053475-Manmati Yadav-CNRB0006479-Contractor-CANARA BANK"/>
        <s v="YIB-NEFT-YESME61570053476-Balaji Hardware and Sanitary-ICIC0000509-Vendor-ICICI BANK LIMITED"/>
        <s v="YIB-NEFT-YESME61570054037-Heera Lal-SBIN0007052-Contractor-STATE BANK OF INDIA"/>
        <s v="NEFT Cr-MAHB0001461-DWARKADHIS PROJECTS PRIVA-Dwarkadhis Projects Pvt L-MAHBH00154053152"/>
        <s v="YIB-NEFT-YESME61500045407-Nasim-SBIN0014231-Contractor-STATE BANK OF INDIA"/>
        <s v="YIB-NEFT-YESME61500045406-Sahun-BARB0TIJARA-Contractor-BANK OF BARODA"/>
        <s v="YIB-NEFT-YESME61500043501-Heera Lal-SBIN0007052-Contractor-STATE BANK OF INDIA"/>
        <s v="YIB-NEFT-YESME61500043502-Manmati Yadav-CNRB0006479-Contractor-CANARA BANK"/>
        <s v="YIB-NEFT-YESME61500045405-Ram Chand Yadav-CNRB0006479-Contractor-CANARA BANK"/>
        <s v="YIB-NEFT-YESME61480032830-Bharti Battery House-HDFC0005460-vendor-HDFC BANK"/>
        <s v="YIB-NEFT-YESME61460041457-A N Filling Station-ICIC0003494-Vendor-ICICI BANK LIMITED"/>
        <s v="YIB-NEFT-YESME61430032868-Nasim-SBIN0014231-Contractor-STATE BANK OF INDIA"/>
        <s v="YIB-NEFT-YESME61430032018-Ram Chand Yadav-CNRB0006479-Contractor-CANARA BANK"/>
        <s v="YIB-NEFT-YESME61430032020-Mohammad Mukhtar-INDB0000412-contractor-INDUSIND BANK"/>
        <s v="YIB-NEFT-YESME61430032019-Choudhary Enterprises-IDIB000D618-Vendor-INDIAN BANK"/>
        <s v="YIB-NEFT-YESME61430032867-Heera Lal-SBIN0007052-Contractor-STATE BANK OF INDIA"/>
        <s v="YIB-NEFT-YESME61430032017-Master Nabiul Miah-CBIN0282919-Contractor-CENTRAL BANK OF INDIA"/>
        <s v="YIB-NEFT-YESME61430032016-Sahun-BARB0TIJARA-Contractor-BANK OF BARODA"/>
        <s v="YIB-NEFT-YESME61430032015-Manmati Yadav-CNRB0006479-Contractor-CANARA BANK"/>
        <s v="NEFT Cr-MAHB0001461-DWARKADHIS PROJECTS PRIVA-Dwarkadhis Projects Pvt L-MAHBH00353358488"/>
        <s v="NEFT Cr-MAHB0001461-DWARKADHIS PROJECTS PRIVA-Dwarkadhis Projects Pvt L-MAHBH00153213157"/>
        <s v="YIB-NEFT-YESME61410038762-Shokeen Shokeen-SBIN0016240-Contractor-STATE BANK OF INDIA"/>
        <s v="YIB-NEFT-YESME61410040492-Vahid-PUNB0116410-Contractor-PUNJAB NATIONAL BANK"/>
        <s v="YIB-NEFT-YESME61360047240-Santosh-PUNB0HGB001-salary-PUNJAB NATIONAL BANK"/>
        <s v="YIB-NEFT-YESME61360047239-Manmati Yadav-CNRB0006479-Contractor-CANARA BANK"/>
        <s v="YIB-NEFT-YESME61360047238-Heera Lal-SBIN0007052-contractor-STATE BANK OF INDIA"/>
        <s v="YIB-NEFT-YESME61360047237-Balram Mishara-SBIN0015698-salary-STATE BANK OF INDIA"/>
        <s v="YIB-NEFT-YESME61360048278-Ram Kishan-SBIN0005699-contractor-STATE BANK OF INDIA"/>
        <s v="YIB-NEFT-YESME61360047236-Rahul Kumar-PUNB0357200-salary-PUNJAB NATIONAL BANK"/>
        <s v="YIB-NEFT-YESME61360048277-Deepak Mishra-PUNB0090700-salary-PUNJAB NATIONAL BANK"/>
        <s v="YIB-NEFT-YESME61360048276-Ramabati Devi-PUNB0155300-salary-PUNJAB NATIONAL BANK"/>
        <s v="YIB-NEFT-YESME61360048275-Ram Chand Yadav-CNRB0006479-Contractor-CANARA BANK"/>
        <s v="YIB-NEFT-YESME61360048274-Sher Singh-IOBA0002166-contractor-INDIAN OVERSEAS BANK"/>
        <s v="YIB-NEFT-YESME61360048273-Jyoti-IDIB000D618-salary-INDIAN BANK"/>
        <s v="YIB-NEFT-YESME61360048272-Bhagwan Singh-PUNB0130400-salary-PUNJAB NATIONAL BANK"/>
        <s v="YIB-NEFT-YESME61360047235-Shiva-IOBA0002166-salary-INDIAN OVERSEAS BANK"/>
        <s v="YIB-NEFT-YESME61360048271-Sahil-HDFC0000168-salary-HDFC BANK"/>
        <s v="YIB-NEFT-YESME61360048270-Sahun-BARB0TIJARA-contractor-BANK OF BARODA"/>
        <s v="YIB-NEFT-YESME61360047232-Amar jeet-SBIN0005699-salary-STATE BANK OF INDIA"/>
        <s v="YIB-NEFT-YESME61360048269-Lakshmi-PUNB0130400-salary-PUNJAB NATIONAL BANK"/>
        <s v="YIB-NEFT-YESME61360048268-Maya Choudhary-SBIN0003508-salary-STATE BANK OF INDIA"/>
        <s v="YIB-NEFT-YESME61360048267-Sanjay Kumar-UBIN0567370-salary-UNION BANK OF INDIA"/>
        <s v="YIB-NEFT-YESME61360047231-Sandeep Kumar-UBIN0567370-salary-UNION BANK OF INDIA"/>
        <s v="YIB-NEFT-YESME61360048266-Vishwajeet-UBIN0567370-salary-UNION BANK OF INDIA"/>
        <s v="YIB-NEFT-YESME61360048265-Nasim-SBIN0014231-Contractor-STATE BANK OF INDIA"/>
        <s v="YIB-NEFT-YESME61360047234-Devender Kumar-HDFC0003848-salary-HDFC BANK"/>
        <s v="YIB-NEFT-YESME61360047233-Ram Sharan-BKID0007415-salary-BANK OF INDIA"/>
        <s v="YIB-NEFT-YESME61360047229-Rakesh Kumar-SBIN0005699-salary-STATE BANK OF INDIA"/>
        <s v="YIB-NEFT-YESME61360047228-Ravi Vats-UBIN0567370-salary-UNION BANK OF INDIA"/>
        <s v="YIB-NEFT-YESME61360047226-Surendra Singh-PUNB0130400-salary-PUNJAB NATIONAL BANK"/>
        <s v="YIB-NEFT-YESME61360047224-Arvind-UTIB0002002-salary-AXIS BANK"/>
        <s v="YIB-NEFT-YESME61360047222-Ajay-NSPB0000002-salary-NSDL PAYMENTS BANK LIMITED"/>
        <s v="YIB-NEFT-YESME61360047230-Lalan Yadav-FDRL0002158-contractor-FEDERAL BANK"/>
        <s v="YIB-NEFT-YESME61360047223-Satish-PUNB0357200-salary-PUNJAB NATIONAL BANK"/>
        <s v="YIB-NEFT-YESME61350054405-Shiv Rediator Works-PUNB0054010-Vendor-PUNJAB NATIONAL BANK"/>
        <s v="YIB-NEFT-YESME61350053640-Dwarkadhis Projects Pvt Ltd-MAHB0001347-for esi and epf-BANK OF MAHARASHTRA"/>
        <s v="YIB-NEFT-YESME61330045366-Shri Shyam Traders-IDFB0021009-Vendor-IDFC FIRST BANK LTD"/>
        <s v="YIB-NEFT-YESME61330045365-RK Traders-UTIB0002967-Vendor-AXIS BANK"/>
        <s v="YIB-NEFT-YESME61290038620-Ram Chand Yadav-CNRB0006479-contractor-CANARA BANK"/>
        <s v="YIB-NEFT-YESME61290036809-Heera Lal-SBIN0007052-Contractor-STATE BANK OF INDIA"/>
        <s v="YIB-NEFT-YESME61290038619-Sahun-BARB0TIJARA-contractor-BANK OF BARODA"/>
        <s v="YIB-NEFT-YESME61290036807-Manmati Yadav-CNRB0006479-Contractor-CANARA BANK"/>
        <s v="YIB-NEFT-YESME61290036808-Nasim-SBIN0014231-Contractor-STATE BANK OF INDIA"/>
        <s v="YIB-NEFT-YESME61270048557-Dwarkadhis Projects Pvt Ltd-MAHB0001347-for tds-BANK OF MAHARASHTRA"/>
        <s v="YIB-NEFT-YESME61270048556-Manmati Yadav-CNRB0006479-Contractor-CANARA BANK"/>
        <s v="YIB-NEFT-YESME61270048555-Dauphin Galaxy-IDIB000S746-Vendor-INDIAN BANK"/>
        <s v="YIB-NEFT-YESME61270048562-Choudhary Enterprises-IDIB000D618-Vendor-INDIAN BANK"/>
        <s v="YIB-NEFT-YESME61270048558-Nasim-SBIN0014231-Contractor-STATE BANK OF INDIA"/>
        <s v="Funds Trf to XX0061/RRN:612254293396/To : IMPS/vendor"/>
        <s v="YIB-NEFT-YESME61220062902-Nasim-SBIN0014231-Contractor-STATE BANK OF INDIA"/>
        <s v="YIB-NEFT-YESME61220062900-Ram Chand Yadav-CNRB0006479-Contractor-CANARA BANK"/>
        <s v="YIB-NEFT-YESME61220062899-Manmati Yadav-CNRB0006479-Contract-CANARA BANK"/>
        <s v="YIB-NEFT-YESME61220062901-Heera Lal-SBIN0007052-Contractor-STATE BANK OF INDIA"/>
        <s v="YIB-NEFT-YESME61190044064-Haryana Jagriti Fuel-SBIN0005699-Vendor-STATE BANK OF INDIA"/>
        <s v="YIB-NEFT-YESME61180040823-Sahun-BARB0TIJARA-contractor-BANK OF BARODA"/>
        <s v="YIB-NEFT-YESME61180042229-Nasim-SBIN0014231-contractor-STATE BANK OF INDIA"/>
        <s v="YIB-NEFT-YESME61180040822-Heera Lal-SBIN0007052-contractor-STATE BANK OF INDIA"/>
        <s v="YIB-NEFT-YESME61180040821-Manmati Yadav-CNRB0006479-Contractor-CANARA BANK"/>
        <s v="YIB-NEFT-YESME61140059084-Manmati Yadav-CNRB0006479-contractor-CANARA BANK"/>
        <s v="YIB-NEFT-YESME61140057610-Choudhary Enterprises-IDIB000D618-vendor-INDIAN BANK"/>
        <s v="NEFT Cr-MAHB0001461-DWARKADHIS PROJECTS PRIVA-Dwarkadhis Projects Pvt L-MAHBH00450119372"/>
        <s v="YIB-NEFT-YESME61130049362-RK Traders-UTIB0002967-Vendor-AXIS BANK"/>
        <s v="YIB-NEFT-YESME61130049363-Dwarkadhis Projects Pvt Ltd-MAHB0001347-for tds-BANK OF MAHARASHTRA"/>
        <s v="YIB-NEFT-YESME61130049361-Shri Shyam Traders-IDFB0021009-Vendor-IDFC FIRST BANK LTD"/>
        <s v="NEFT Cr-MAHB0001461-DWARKADHIS PROJECTS PRIVA-Dwarkadhis Projects Pvt L-MAHBH00350004677"/>
        <s v="YIB-NEFT-YESME61120063156-MKA Decorator-CBIN0283490-Contractor-CENTRAL BANK OF INDIA"/>
        <s v="YIB-NEFT-YESME61100067102-Vahid-PUNB0116410-Contractor-PUNJAB NATIONAL BANK"/>
        <s v="YIB-NEFT-YESME61100064881-Heera Lal-SBIN0007052-Contractor-STATE BANK OF INDIA"/>
        <s v="YIB-NEFT-YESME61100067098-Jhalani Electricals-PUNB0399300-Vendor-PUNJAB NATIONAL BANK"/>
        <s v="YIB-NEFT-YESME61100064879-Ravi Vats-UBIN0567370-imprest-UNION BANK OF INDIA"/>
        <s v="YIB-NEFT-YESME61100067097-Nasim-SBIN0014231-contractor-STATE BANK OF INDIA"/>
        <s v="YIB-NEFT-YESME61100067101-Manmati Yadav-CNRB0006479-Contractor-CANARA BANK"/>
        <s v="YIB-NEFT-YESME61100067100-Shokeen Shokeen-SBIN0016240-Contractor-STATE BANK OF INDIA"/>
        <s v="YIB-NEFT-YESME61100064880-Nana Bai Sahu-CNRB0006479-Contractor-CANARA BANK"/>
        <s v="YIB-NEFT-YESME61100067099-Dwarkadhis Projects Pvt Ltd-MAHB0001347-for electricity bill pay-BANK OF MAHARASHTRA"/>
        <s v="YIB-NEFT-YESME61100064878-Balaji Hardware and Sanitary-ICIC0000509-Vendor-ICICI BANK LIMITED"/>
        <s v="NEFT Cr-MAHB0001461-DWARKADHIS PROJECTS PRIVA-Dwarkadhis Projects Pvt L-MAHBH00049627060"/>
        <s v="YIB-NEFT-YESME61060061251-Ultratech Cement Ltd-YESB0CMSNOC-Vendor-YESB0CMSNOC"/>
        <s v="YIB-NEFT-YESME61060061250-RK Traders-UTIB0002967-Vendor-AXIS BANK"/>
        <s v="NEFT Cr-MAHB0001461-DWARKADHIS PROJECTS PRIVA-Dwarkadhis Projects Pvt L-MAHBH00649196694"/>
        <s v="YIB-NEFT-YESME61050067499-Shiva-IOBA0002166-salary-INDIAN OVERSEAS BANK"/>
        <s v="YIB-NEFT-YESME61050069062-Sher Singh-IOBA0002166-salary-INDIAN OVERSEAS BANK"/>
        <s v="YIB-NEFT-YESME61050069061-Sahil-HDFC0000168-salary-HDFC BANK"/>
        <s v="YIB-NEFT-YESME61050067498-Santosh-PUNB0HGB001-salary-PUNJAB NATIONAL BANK"/>
        <s v="YIB-NEFT-YESME61050069060-Surendra Singh-PUNB0130400-salary-PUNJAB NATIONAL BANK"/>
        <s v="YIB-NEFT-YESME61050067497-Rakesh Kumar-SBIN0005699-salary-STATE BANK OF INDIA"/>
        <s v="YIB-NEFT-YESME61050067500-Ravi Vats-UBIN0567370-salary-UNION BANK OF INDIA"/>
        <s v="YIB-NEFT-YESME61050069059-Sandeep Kumar-UBIN0567370-Salary-UNION BANK OF INDIA"/>
        <s v="YIB-NEFT-YESME61050069056-Jyoti-IDIB000D618-salary-INDIAN BANK"/>
        <s v="YIB-NEFT-YESME61050067495-Bhagwan Singh-PUNB0130400-salary-PUNJAB NATIONAL BANK"/>
        <s v="YIB-NEFT-YESME61050069058-Rahul Kumar-PUNB0357200-salary-PUNJAB NATIONAL BANK"/>
        <s v="YIB-NEFT-YESME61050067496-Amar jeet-SBIN0005699-salary-STATE BANK OF INDIA"/>
        <s v="YIB-NEFT-YESME61050069057-Deepak Mishra-PUNB0090700-salary-PUNJAB NATIONAL BANK"/>
        <s v="YIB-NEFT-YESME61050069055-Arvind-UTIB0002002-salary-AXIS BANK"/>
        <s v="YIB-NEFT-YESME61050067494-Satish-PUNB0357200-salary-PUNJAB NATIONAL BANK"/>
        <s v="YIB-NEFT-YESME61050067492-Devender Kumar-HDFC0003848-salary-HDFC BANK"/>
        <s v="YIB-NEFT-YESME61050067491-Lakshmi-PUNB0130400-salary-PUNJAB NATIONAL BANK"/>
        <s v="YIB-NEFT-YESME61050069054-Ram Sharan-BKID0007415-salary-BANK OF INDIA"/>
        <s v="YIB-NEFT-YESME61050067488-Dara Patel-CNRB0006638-salary-CANARA BANK"/>
        <s v="YIB-NEFT-YESME61050067493-Balram Mishara-SBIN0015698-salary-STATE BANK OF INDIA"/>
        <s v="YIB-NEFT-YESME61050067490-OM Steela-HDFC0005460-Vendor-HDFC BANK"/>
        <s v="YIB-NEFT-YESME61050067489-Vishwajeet-UBIN0567370-salary-UNION BANK OF INDIA"/>
        <s v="YIB-NEFT-YESME61050069053-Ram Kishan-SBIN0005699-salary-STATE BANK OF INDIA"/>
        <s v="YIB-NEFT-YESME61050069052-Ramabati Devi-PUNB0155300-salary-PUNJAB NATIONAL BANK"/>
        <s v="YIB-NEFT-YESME61050067486-Ajay-NSPB0000002-salary-NSDL PAYMENTS BANK LIMITED"/>
        <s v="YIB-NEFT-YESME61050069051-Maya Choudhary-SBIN0003508-salary-STATE BANK OF INDIA"/>
        <s v="YIB-NEFT-YESME61050069050-Sanjay Kumar-UBIN0567370-salary-UNION BANK OF INDIA"/>
        <s v="NEFT Cr-MAHB0001461-DWARKADHIS PROJECTS PRIVA-Dwarkadhis Projects Pvt L-MAHBH00549066330"/>
        <s v="YIB-NEFT-YESME61040039116-Balaji Mesh Tech India-KKBK0000213-Vendor-KOTAK MAHINDRA BANK LIMITED"/>
        <s v="NEFT Cr-MAHB0001461-DWARKADHIS PROJECTS PRIVA-Dwarkadhis Projects Pvt L-MAHBH00448982127"/>
        <s v="YIB-NEFT-YESME61030021156-Rakiba BIBI-SBIN0007204-contractor-STATE BANK OF INDIA"/>
        <s v="YIB-NEFT-YESME61030021155-Master Nabiul Miah-CBIN0282919-Contractor-CENTRAL BANK OF INDIA"/>
        <s v="YIB-NEFT-YESME61030021154-Manmati Yadav-CNRB0006479-contractor-CANARA BANK"/>
        <s v="YIB-NEFT-YESME61030019957-Rajesh Kumar-HDFC0005460-contractor-HDFC BANK"/>
        <s v="YIB-NEFT-YESME61030021153-Dwarkadhis Projects Pvt Ltd-MAHB0001347-for esi pf-BANK OF MAHARASHTRA"/>
        <s v="YIB-NEFT-YESME61030019956-Heera Lal-SBIN0007052-contractor-STATE BANK OF INDIA"/>
        <s v="YIB-NEFT-YESME61030021151-Ravi Vats-UBIN0567370-imprest-UNION BANK OF INDIA"/>
        <s v="YIB-NEFT-YESME61030021150-Ram Chand Yadav-CNRB0006479-contractor-CANARA BANK"/>
        <s v="YIB-NEFT-YESME61030019954-Najimul Hoque-FINO0000001-contractor-FINO PAYMENTS BANK"/>
        <s v="YIB-NEFT-YESME61030021149-Nasim-SBIN0014231-contractor-STATE BANK OF INDIA"/>
        <s v="NEFT Cr-MAHB0001461-DWARKADHIS PROJECTS PRIVA-Dwarkadhis Projects Pvt L-MAHBH00148686286"/>
        <s v="YIB-NEFT-YESME60980074503-Shri Shyam Traders-IDFB0021009-Vendor-IDFC FIRST BANK LTD"/>
        <s v="YIB-NEFT-YESME60960067390-Pallavi Fibre Glass-HDFC0010640-vendor-HDFC BANK"/>
        <s v="YIB-NEFT-YESME60960068059-Rakesh Kumar-SBIN0005699-Salary-STATE BANK OF INDIA"/>
        <s v="YIB-NEFT-YESME60960068061-Shree Ganesh Plywood and Conts-HDFC0002249-Vendor-HDFC BANK"/>
        <s v="YIB-NEFT-YESME60960067391-Exen Chem-KKBK0000208-Vendor-KOTAK MAHINDRA BANK LIMITED"/>
        <s v="YIB-NEFT-YESME60960068060-Auro Chemical Industries Pvt Ltd-KKBK0000190-Vendor-KOTAK MAHINDRA BANK LIMITED"/>
        <s v="NEFT Cr-MAHB0001461-DWARKADHIS PROJECTS PRIVA-Dwarkadhis Projects Pvt L-MAHBH00647895077"/>
        <s v="YIB-NEFT-YESME60940067341-Heera Lal-SBIN0007052-contractor-STATE BANK OF INDIA"/>
        <s v="YIB-NEFT-YESME60940067340-Ravi Vats-UBIN0567370-imprest-UNION BANK OF INDIA"/>
        <s v="YIB-NEFT-YESME60940067339-Nana Bai Sahu-CNRB0006479-contractor-CANARA BANK"/>
        <s v="YIB-NEFT-YESME60940067336-Rajesh Kumar-HDFC0005460-contractor-HDFC BANK"/>
        <s v="YIB-NEFT-YESME60940067337-Rakiba BIBI-SBIN0007204-contractor-STATE BANK OF INDIA"/>
        <s v="YIB-NEFT-YESME60940068431-Ram Chand Yadav-CNRB0006479-contractor-CANARA BANK"/>
        <s v="YIB-NEFT-YESME60940068430-Nasim-SBIN0014231-contractor-STATE BANK OF INDIA"/>
        <s v="NEFT Cr-MAHB0001461-DWARKADHIS PROJECTS PRIVA-Dwarkadhis Projects Pvt L-MAHBH00447704369"/>
        <s v="B/F ..."/>
      </sharedItems>
    </cacheField>
    <cacheField name="REFERENCE" numFmtId="0">
      <sharedItems containsBlank="1">
        <m/>
        <s v=""/>
        <s v="YESME6234001095800"/>
        <s v="YESME6232005533200"/>
        <s v="YESME6232005353800"/>
        <s v="YESME6232005353500"/>
        <s v="YESME6232005532900"/>
        <s v="YESME6232005353400"/>
        <s v="YESME6232005353300"/>
        <s v="YESME6232005532700"/>
        <s v="YESME6232005352900"/>
        <s v="YESME6232005353100"/>
        <s v="YESME6232005353000"/>
        <s v="YESME6232005532600"/>
        <s v="YESME6232005352700"/>
        <s v="YESME6232005532500"/>
        <s v="YESME6232005532400"/>
        <s v="YESME6232005352500"/>
        <s v="YESME6232005352400"/>
        <s v="YESI66232008082900"/>
        <s v="YESME6232005352300"/>
        <s v="YESME6232005352100"/>
        <s v="YESME6232005532300"/>
        <s v="YESI66232008082700"/>
        <s v="YESME6232005352000"/>
        <s v="YESME6232005532200"/>
        <s v="YESME6232005104500"/>
        <s v="YESME6232004587000"/>
        <s v="YESME6226005489200"/>
        <s v="YESME6226005667000"/>
        <s v="YESME6226005489000"/>
        <s v="YESME6226005488900"/>
        <s v="YESME6226005666900"/>
        <s v="YESME6226005666100"/>
        <s v="YESME6226005665900"/>
        <s v="YESME6226005666400"/>
        <s v="YESME6226005666300"/>
        <s v="YESME6226004497800"/>
        <s v="YESME6226002272000"/>
        <s v="YESME6226002271900"/>
        <s v="YESME6226002271800"/>
        <s v="CR-045"/>
        <s v="YESME6215007281600"/>
        <s v="YESME6215007410900"/>
        <s v="YESME6215007410800"/>
        <s v="YESME621300679 9900"/>
        <s v="YESME6208002599400"/>
        <s v="YESME6208002599300"/>
        <s v="YESME6208002599200"/>
        <s v="YESME6208002753400"/>
        <s v="YESME6208002598800"/>
        <s v="YESME6208002598900"/>
        <s v="YESME6208002598700"/>
        <s v="YESME6208002753200"/>
        <s v="YESI66205008620600"/>
        <s v="YESME6205005404600"/>
        <s v="YESME6205005404500"/>
        <s v="YESME6205005404400"/>
        <s v="YESME6205004965000"/>
        <s v="YESME6203001855900"/>
        <s v="YESME6203001855800"/>
        <s v="YESME6203001855700"/>
        <s v="YESME6203001855600"/>
        <s v="YESME6203001855500"/>
        <s v="YESME6203001670200"/>
        <s v="YESME6203001670300"/>
        <s v="YESME6203001855400"/>
        <s v="YESME6203001855300"/>
        <s v="YESME6203001669900"/>
        <s v="YESME6203001670000"/>
        <s v="YESME6203001321900"/>
        <s v="YESME6201006466000"/>
        <s v="YESME6199005414200"/>
        <s v="YESME6199005023500"/>
        <s v="YESME6199005023400"/>
        <s v="YESME6199004915600"/>
        <s v="YESME6199005023300"/>
        <s v="YESME6199005023100"/>
        <s v="YESME6199004915400"/>
        <s v="YESME6199005022900"/>
        <s v="YESME6199005023000"/>
        <s v="YESME6199004915300"/>
        <s v="YESME6199005022800"/>
        <s v="YESME6199004915200"/>
        <s v="YESI66199007843200"/>
        <s v="YESME6199004915100"/>
        <s v="YESME6199004915000"/>
        <s v="YESME6199005022700"/>
        <s v="YESME6199005022500"/>
        <s v="YESME6199004914800"/>
        <s v="YESME6199005022400"/>
        <s v="YESME6199004914700"/>
        <s v="YESME6199005022300"/>
        <s v="YESME6199005022200"/>
        <s v="YESI66199007788700"/>
        <s v="YESME6199005022000"/>
        <s v="YESME6199005021900"/>
        <s v="YESME6199004914400"/>
        <s v="YESME6196004222000"/>
        <s v="YESME6194005819100"/>
        <s v="YESME6194005819200"/>
        <s v="YESME6194005722600"/>
        <s v="YESME6194005819000"/>
        <s v="YESME6194005184100"/>
        <s v="YESME6192004619900"/>
        <s v="YESME6192004619800"/>
        <s v="YESME6192004434900"/>
        <s v="YESME6192004619600"/>
        <s v="YESME6192004619400"/>
        <s v="YESME6192004619500"/>
        <s v="YESME6192004434800"/>
        <s v="YESME6192004434500"/>
        <s v="YESME6192004619200"/>
        <s v="YESME6192004434600"/>
        <s v="YESME6192004434400"/>
        <s v="YESME6192003472600"/>
        <s v="YESME6191007487200"/>
        <s v="YESME6190006243500"/>
        <s v="YESME6190006243400"/>
        <s v="YESME6190006137700"/>
        <s v="YESME6190006137600"/>
        <s v="YESME6187006244900"/>
        <s v="YESME6187006186900"/>
        <s v="YESME6185006465300"/>
        <s v="YESME6185006363000"/>
        <s v="YESME6185006465200"/>
        <s v="YESME6185006465100"/>
        <s v="YESME6185006362900"/>
        <s v="YESME6185006362800"/>
        <s v="YESME6185006465000"/>
        <s v="YESME6185005703000"/>
        <s v="YESME6185005567200"/>
        <s v="YESME6185005089000"/>
        <s v="YESME6184007025900"/>
        <s v="YESME6184006769500"/>
        <s v="YESME6182006676100"/>
        <s v="YESME6182006676000"/>
        <s v="YESME6182006049800"/>
        <s v="YESME6182005971800"/>
        <s v="YESME6180005393600"/>
        <s v="YESME6178007919400"/>
        <s v="YESME6178007919500"/>
        <s v="YESME6178007919600"/>
        <s v="YESME6178007919300"/>
        <s v="YESME6178007919200"/>
        <s v="YESME6178007919100"/>
        <s v="YESME6178007757400"/>
        <s v="YESME6178007757300"/>
        <s v="YESME6178007612800"/>
        <s v="YESME6177004104500"/>
        <s v="YESI66174007214900"/>
        <s v="YESME6174005259900"/>
        <s v="YESME6174005259800"/>
        <s v="YESME6174004653700"/>
        <s v="YESME6173006078200                      "/>
        <s v="YESME6173005598700                      "/>
        <s v="YESME6171004792700                      "/>
        <s v="YESME6171004988300                      "/>
        <s v="YESME6171004988200                      "/>
        <s v="YESME6171004988100                      "/>
        <s v="YESME6171004988000                      "/>
        <s v="YESME6171004792500                      "/>
        <s v="YESME6171004792400                      "/>
        <s v="YESME6171004792300                      "/>
        <s v="YESME6171004761500                      "/>
        <s v="YESME6171004894200                      "/>
        <s v="YESME6171004625500                      "/>
        <s v="YESME6170005727800                      "/>
        <s v="YESBR12026061800038695"/>
        <s v="YESME6164002923900                      "/>
        <s v="YESME6164002923800                      "/>
        <s v="YESME6164002923600                      "/>
        <s v="YESME6164002923500                      "/>
        <s v="YESME6164002923400                      "/>
        <s v="YESME6164002923700                      "/>
        <s v="YESME6164001158000                      "/>
        <s v="YESME6164000635800                      "/>
        <s v="YESME6163001144600"/>
        <s v="YESME6163000353600"/>
        <s v="YESME6163001144500"/>
        <s v="YESME6163001144400"/>
        <s v="YESME6163001144300"/>
        <s v="YESME6163001000500"/>
        <s v="YESME6162006425100"/>
        <s v="YESME6162005659400"/>
        <s v="YESME6162005079600"/>
        <s v="YESME6160006651900"/>
        <s v="YESME6160004986600"/>
        <s v="YESME6157005404100"/>
        <s v="YESME6157005404000"/>
        <s v="YESME6157005403900"/>
        <s v="YESME6157005403800"/>
        <s v="YESME6157005348000"/>
        <s v="YESME6157005347900"/>
        <s v="YESME6157005347800"/>
        <s v="YESME6157005347700"/>
        <s v="YESME6157005347500"/>
        <s v="YESME6157005347600"/>
        <s v="YESME6157005403700"/>
        <s v="YESME6157003910800"/>
        <s v="YES0N6141019349300"/>
        <s v="YESME6150004540700"/>
        <s v="YESME6150004540600"/>
        <s v="YESME6150004350100"/>
        <s v="YESME6150004350200"/>
        <s v="YESME6150004540500"/>
        <s v="YESME6150004220900"/>
        <s v="YESME6148003283000"/>
        <s v="YESME6146004145700"/>
        <s v="YESME6143003286800"/>
        <s v="YESME6143003201800"/>
        <s v="YESME6143003202000"/>
        <s v="YESME6143003201900"/>
        <s v="YESME6143003286700"/>
        <s v="YESME6143003201700"/>
        <s v="YESME6143003201600"/>
        <s v="YESME6143003201500"/>
        <s v="YES0N6143191448400"/>
        <s v="YESME6143002884300"/>
        <s v="YESME6141003876200"/>
        <s v="YESME6141004049200"/>
        <s v="YESME6136004724000"/>
        <s v="YESME6136004723900"/>
        <s v="YESME6136004723800"/>
        <s v="YESME6136004723700"/>
        <s v="YESME6136004827800"/>
        <s v="YESME6136004723600"/>
        <s v="YESME6136004827700"/>
        <s v="YESME6136004827600"/>
        <s v="YESME6136004827500"/>
        <s v="YESME6136004827400"/>
        <s v="YESME6136004827300"/>
        <s v="YESME6136004827200"/>
        <s v="YESME6136004723500"/>
        <s v="YESME6136004827100"/>
        <s v="YESME6136004827000"/>
        <s v="YESME6136004723200"/>
        <s v="YESME6136004826900"/>
        <s v="YESME6136004826800"/>
        <s v="YESME6136004826700"/>
        <s v="YESME6136004723100"/>
        <s v="YESME6136004826600"/>
        <s v="YESME6136004826500"/>
        <s v="YESME6136004723400"/>
        <s v="YESME6136004723300"/>
        <s v="YESME6136004722900"/>
        <s v="YESME6136004722800"/>
        <s v="YESME6136004722600"/>
        <s v="YESME6136004722400"/>
        <s v="YESME6136004722200"/>
        <s v="YESME6136004723000"/>
        <s v="YESME6136004722300"/>
        <s v="YESME6136003636800"/>
        <s v="YESME6135005440500"/>
        <s v="YESME6135005364000"/>
        <s v="YESME6133004536600"/>
        <s v="YESME6133004536500"/>
        <s v="YESME6132007609700"/>
        <s v="YESME6129003862000"/>
        <s v="YESME6129003680900"/>
        <s v="YESME6129003861900"/>
        <s v="YESME6129003680700"/>
        <s v="YESME6129003680800"/>
        <s v="YESME6127004855700"/>
        <s v="YESME6127004855600"/>
        <s v="YESME6127004855500"/>
        <s v="YESME6127004856200"/>
        <s v="YESME6127004855800"/>
        <s v="YESME6127003957500"/>
        <s v="YESI66122010484800"/>
        <s v="YESME6122006290200"/>
        <s v="YESME6122006290000"/>
        <s v="YESME6122006289900"/>
        <s v="YESME6122006290100"/>
        <s v="YESME6122005804600"/>
        <s v="YESME6119004406400"/>
        <s v="YESME6118004082300"/>
        <s v="YESME6118004222900"/>
        <s v="YESME6118004082200"/>
        <s v="YESME6118004082100"/>
        <s v="YESME6118003633400"/>
        <s v="YESME6114005908400"/>
        <s v="YESME6114005761000"/>
        <s v="YES0N6114081424100"/>
        <s v="YESME6113004936200"/>
        <s v="YESME6113004936300"/>
        <s v="YESME6113004936100"/>
        <s v="YES0N6113975614100"/>
        <s v="YESME6112006315600"/>
        <s v="YESME6112005561500"/>
        <s v="YESME6110006710200"/>
        <s v="YESME6110006488100"/>
        <s v="YESME6110006709800"/>
        <s v="YESME6110006487900"/>
        <s v="YESME6110006709700"/>
        <s v="YESME6110006710100"/>
        <s v="YESME6110006710000"/>
        <s v="YESME6110006488000"/>
        <s v="YESME6110006709900"/>
        <s v="YESME6110006487800"/>
        <s v="YES0N6110648261400"/>
        <s v="YESME6106006125100"/>
        <s v="YESME6106006125000"/>
        <s v="YES0N6106225558000"/>
        <s v="YESME6105006749900"/>
        <s v="YESME6105006906200"/>
        <s v="YESME6105006906100"/>
        <s v="YESME6105006749800"/>
        <s v="YESME6105006906000"/>
        <s v="YESME6105006749700"/>
        <s v="YESME6105006750000"/>
        <s v="YESME6105006905900"/>
        <s v="YESME6105006905600"/>
        <s v="YESME6105006749500"/>
        <s v="YESME6105006905800"/>
        <s v="YESME6105006749600"/>
        <s v="YESME6105006905700"/>
        <s v="YESME6105006905500"/>
        <s v="YESME6105006749400"/>
        <s v="YESME6105006749200"/>
        <s v="YESME6105006749100"/>
        <s v="YESME6105006905400"/>
        <s v="YESME6105006748800"/>
        <s v="YESME6105006749300"/>
        <s v="YESME6105006749000"/>
        <s v="YESME6105006748900"/>
        <s v="YESME6105006905300"/>
        <s v="YESME6105006905200"/>
        <s v="YESME6105006748600"/>
        <s v="YESME6105006905100"/>
        <s v="YESME6105006905000"/>
        <s v="YES0N6105116365100"/>
        <s v="YESME6104003911600"/>
        <s v="YES0N6104012980600"/>
        <s v="YESME6103002115600"/>
        <s v="YESME6103002115500"/>
        <s v="YESME6103002115400"/>
        <s v="YESME6103001995700"/>
        <s v="YESME6103002115300"/>
        <s v="YESME6103001995600"/>
        <s v="YESME6103002115100"/>
        <s v="YESME6103002115000"/>
        <s v="YESME6103001995400"/>
        <s v="YESME6103002114900"/>
        <s v="YES0N6101709246500"/>
        <s v="YESME6098007450300"/>
        <s v="YESME6096006739000"/>
        <s v="YESME6096006805900"/>
        <s v="YESME6096006806100"/>
        <s v="YESME6096006739100"/>
        <s v="YESME6096006806000"/>
        <s v="YES0N6096115850600"/>
        <s v="YESME6094006734100"/>
        <s v="YESME6094006734000"/>
        <s v="YESME6094006733900"/>
        <s v="YESME6094006733600"/>
        <s v="YESME6094006733700"/>
        <s v="YESME6094006843100"/>
        <s v="YESME6094006843000"/>
        <s v="YES0N6094919221900"/>
      </sharedItems>
    </cacheField>
    <cacheField name="DEBITS">
      <sharedItems containsBlank="1" containsMixedTypes="1" containsNumber="1" containsInteger="1">
        <m/>
        <n v="49500.0"/>
        <n v="30000.0"/>
        <n v="200000.0"/>
        <n v="10000.0"/>
        <n v="24750.0"/>
        <n v="19800.0"/>
        <n v="29898.0"/>
        <n v="17684.0"/>
        <n v="148500.0"/>
        <n v="29700.0"/>
        <n v="21780.0"/>
        <n v="10616.0"/>
        <n v="11290.0"/>
        <n v="29750.0"/>
        <n v="26298.0"/>
        <n v="12043.0"/>
        <n v="8273.0"/>
        <n v="9469.0"/>
        <n v="23584.0"/>
        <n v="11516.0"/>
        <n v="10201.0"/>
        <n v="38610.0"/>
        <n v="23177.0"/>
        <n v="9506.0"/>
        <n v="9154.0"/>
        <n v="25909.0"/>
        <n v="7040.0"/>
        <n v="13541.0"/>
        <n v="1407.0"/>
        <n v="1759.0"/>
        <n v="11664.0"/>
        <n v="777.0"/>
        <n v="1980.0"/>
        <n v="14850.0"/>
        <n v="9900.0"/>
        <n v="4950.0"/>
        <n v="45100.0"/>
        <n v="5651.0"/>
        <n v="17820.0"/>
        <n v="44840.0"/>
        <n v="6490.0"/>
        <n v="2970.0"/>
        <n v="18000.0"/>
        <n v="12949.0"/>
        <n v="18882.0"/>
        <n v="221400.0"/>
        <n v="49632.0"/>
        <n v="15000.0"/>
        <n v="99000.0"/>
        <n v="16834.0"/>
        <n v="7425.0"/>
        <n v="7080.0"/>
        <n v="2475.0"/>
        <n v="7434.0"/>
        <n v="9440.0"/>
        <n v="15930.0"/>
        <n v="5940.0"/>
        <n v="6930.0"/>
        <n v="100000.0"/>
        <n v="10578.0"/>
        <n v="10437.0"/>
        <n v="30382.0"/>
        <n v="7276.0"/>
        <n v="39898.0"/>
        <n v="15840.0"/>
        <n v="10538.0"/>
        <n v="7627.0"/>
        <n v="8730.0"/>
        <n v="29507.0"/>
        <n v="10498.0"/>
        <n v="10187.0"/>
        <n v="4599.0"/>
        <n v="727.0"/>
        <n v="36898.0"/>
        <n v="13751.0"/>
        <n v="26327.0"/>
        <n v="23891.0"/>
        <n v="15906.0"/>
        <n v="7275.0"/>
        <n v="9233.0"/>
        <n v="125316.0"/>
        <n v="56299.0"/>
        <n v="98997.0"/>
        <n v="14278.0"/>
        <n v="39600.0"/>
        <n v="10395.0"/>
        <n v="7920.0"/>
        <n v="25606.0"/>
        <n v="6181.0"/>
        <n v="11824.0"/>
        <n v="20709.0"/>
        <n v="297000.0"/>
        <n v="1600.0"/>
        <n v="6500.0"/>
        <n v="4135.0"/>
        <n v="103415.0"/>
        <n v="210893.0"/>
        <n v="220750.0"/>
        <n v="25167.0"/>
        <s v=""/>
        <n v="16500.0"/>
        <n v="11880.0"/>
        <n v="226721.0"/>
        <n v="7284.0"/>
        <n v="26358.0"/>
        <n v="8097.0"/>
        <n v="4274.0"/>
        <n v="11654.0"/>
        <n v="16939.0"/>
        <n v="10562.0"/>
        <n v="16760.0"/>
        <n v="9383.0"/>
        <n v="10211.0"/>
        <n v="33325.0"/>
        <n v="27905.0"/>
        <n v="7902.0"/>
        <n v="9857.0"/>
        <n v="10877.0"/>
        <n v="27966.0"/>
        <n v="17740.0"/>
        <n v="4224.0"/>
        <n v="13860.0"/>
        <n v="6435.0"/>
        <n v="18929.0"/>
        <n v="18538.0"/>
        <n v="17204.0"/>
        <n v="45836.0"/>
        <n v="64309.0"/>
        <n v="346436.0"/>
        <n v="98113.0"/>
        <n v="233700.0"/>
        <n v="102378.0"/>
        <n v="3762.0"/>
        <n v="31504.0"/>
        <n v="25000.0"/>
        <n v="150000.0"/>
        <n v="287100.0"/>
        <n v="970.0"/>
        <n v="44550.0"/>
        <n v="17500.0"/>
        <n v="54950.0"/>
        <n v="42520.0"/>
        <n v="40000.0"/>
        <n v="6125.0"/>
        <n v="2924.0"/>
        <n v="26976.0"/>
        <n v="294550.0"/>
        <n v="19305.0"/>
        <n v="9785.0"/>
        <n v="11240.0"/>
        <n v="7094.0"/>
        <n v="9634.0"/>
        <n v="12518.0"/>
        <n v="7527.0"/>
        <n v="744.0"/>
        <n v="16957.0"/>
        <n v="28900.0"/>
        <n v="9094.0"/>
        <n v="21785.0"/>
        <n v="27298.0"/>
        <n v="38566.0"/>
        <n v="28320.0"/>
        <n v="12781.0"/>
        <n v="49898.0"/>
        <n v="34436.0"/>
        <n v="7225.0"/>
        <n v="2613.0"/>
        <n v="7640.0"/>
        <n v="4600.0"/>
        <n v="10913.0"/>
        <n v="5000.0"/>
        <n v="56903.0"/>
        <n v="79486.0"/>
        <n v="13570.0"/>
        <n v="1567.0"/>
        <n v="300000.0"/>
        <n v="283578.0"/>
        <n v="80000.0"/>
        <n v="3500.0"/>
        <n v="400000.0"/>
        <n v="8732.0"/>
        <n v="32373.0"/>
        <n v="70815.0"/>
        <n v="18810.0"/>
        <n v="4753.0"/>
        <n v="20000.0"/>
        <n v="18315.0"/>
        <n v="27854.0"/>
        <n v="538435.0"/>
        <n v="10254.0"/>
        <n v="241900.0"/>
        <n v="66080.0"/>
        <n v="14662.0"/>
        <n v="12581.0"/>
        <n v="26898.0"/>
        <n v="7534.0"/>
        <n v="5269.0"/>
        <n v="24898.0"/>
        <n v="34898.0"/>
        <n v="8560.0"/>
        <n v="11177.0"/>
        <n v="7648.0"/>
        <n v="5409.0"/>
        <n v="20998.0"/>
        <n v="9588.0"/>
        <n v="6505.0"/>
        <n v="721.0"/>
        <n v="4326.0"/>
        <n v="26998.0"/>
        <n v="12579.0"/>
        <n v="16764.0"/>
        <n v="8904.0"/>
        <n v="23298.0"/>
        <n v="20680.0"/>
        <n v="64546.0"/>
        <n v="4554.0"/>
        <n v="34155.0"/>
        <n v="49770.0"/>
        <n v="8469.0"/>
        <n v="19899.0"/>
        <n v="38682.0"/>
        <n v="12803.0"/>
        <n v="14514.0"/>
        <n v="31860.0"/>
        <n v="37125.0"/>
        <n v="8910.0"/>
        <n v="16335.0"/>
        <n v="0.0"/>
      </sharedItems>
    </cacheField>
    <cacheField name="CREDITS">
      <sharedItems containsBlank="1" containsMixedTypes="1" containsNumber="1" containsInteger="1">
        <m/>
        <n v="600000.0"/>
        <n v="150000.0"/>
        <n v="300000.0"/>
        <n v="350000.0"/>
        <n v="70000.0"/>
        <n v="100000.0"/>
        <n v="550000.0"/>
        <n v="500000.0"/>
        <n v="200000.0"/>
        <n v="10000.0"/>
        <n v="20000.0"/>
        <s v=""/>
        <n v="30000.0"/>
        <n v="90000.0"/>
        <n v="400000.0"/>
        <n v="700000.0"/>
        <n v="1.0"/>
        <n v="420000.0"/>
        <n v="900000.0"/>
        <n v="120000.0"/>
        <n v="50000.0"/>
        <n v="630000.0"/>
        <n v="250000.0"/>
        <n v="110000.0"/>
        <n v="42541.0"/>
      </sharedItems>
    </cacheField>
    <cacheField name="BALANCE" numFmtId="0">
      <sharedItems containsString="0" containsBlank="1" containsNumber="1" containsInteger="1">
        <m/>
        <n v="62654.0"/>
        <n v="112154.0"/>
        <n v="142154.0"/>
        <n v="191654.0"/>
        <n v="391654.0"/>
        <n v="401654.0"/>
        <n v="426404.0"/>
        <n v="446204.0"/>
        <n v="476102.0"/>
        <n v="493786.0"/>
        <n v="642286.0"/>
        <n v="671986.0"/>
        <n v="71986.0"/>
        <n v="93766.0"/>
        <n v="104382.0"/>
        <n v="115672.0"/>
        <n v="145422.0"/>
        <n v="171720.0"/>
        <n v="183763.0"/>
        <n v="192036.0"/>
        <n v="201505.0"/>
        <n v="225089.0"/>
        <n v="236605.0"/>
        <n v="246806.0"/>
        <n v="285416.0"/>
        <n v="308593.0"/>
        <n v="318099.0"/>
        <n v="327253.0"/>
        <n v="353162.0"/>
        <n v="360202.0"/>
        <n v="373743.0"/>
        <n v="375150.0"/>
        <n v="376909.0"/>
        <n v="388573.0"/>
        <n v="389350.0"/>
        <n v="419248.0"/>
        <n v="269248.0"/>
        <n v="119248.0"/>
        <n v="121228.0"/>
        <n v="136078.0"/>
        <n v="165778.0"/>
        <n v="180628.0"/>
        <n v="190528.0"/>
        <n v="200528.0"/>
        <n v="210428.0"/>
        <n v="220328.0"/>
        <n v="225278.0"/>
        <n v="75278.0"/>
        <n v="120378.0"/>
        <n v="126029.0"/>
        <n v="143849.0"/>
        <n v="153749.0"/>
        <n v="198589.0"/>
        <n v="205079.0"/>
        <n v="234779.0"/>
        <n v="244679.0"/>
        <n v="254579.0"/>
        <n v="264479.0"/>
        <n v="274479.0"/>
        <n v="277449.0"/>
        <n v="280419.0"/>
        <n v="130419.0"/>
        <n v="148419.0"/>
        <n v="161368.0"/>
        <n v="180250.0"/>
        <n v="401650.0"/>
        <n v="101650.0"/>
        <n v="151150.0"/>
        <n v="154120.0"/>
        <n v="157090.0"/>
        <n v="206722.0"/>
        <n v="216622.0"/>
        <n v="231622.0"/>
        <n v="261322.0"/>
        <n v="291022.0"/>
        <n v="390022.0"/>
        <n v="394972.0"/>
        <n v="44972.0"/>
        <n v="61806.0"/>
        <n v="69231.0"/>
        <n v="76311.0"/>
        <n v="6311.0"/>
        <n v="16211.0"/>
        <n v="18686.0"/>
        <n v="23636.0"/>
        <n v="33536.0"/>
        <n v="43436.0"/>
        <n v="73136.0"/>
        <n v="83036.0"/>
        <n v="86006.0"/>
        <n v="93086.0"/>
        <n v="100520.0"/>
        <n v="109960.0"/>
        <n v="125890.0"/>
        <n v="25890.0"/>
        <n v="35790.0"/>
        <n v="41730.0"/>
        <n v="140730.0"/>
        <n v="145680.0"/>
        <n v="160530.0"/>
        <n v="205370.0"/>
        <n v="210320.0"/>
        <n v="259820.0"/>
        <n v="266750.0"/>
        <n v="286550.0"/>
        <n v="306350.0"/>
        <n v="156350.0"/>
        <n v="256350.0"/>
        <n v="266350.0"/>
        <n v="276928.0"/>
        <n v="287365.0"/>
        <n v="317747.0"/>
        <n v="325023.0"/>
        <n v="364921.0"/>
        <n v="380761.0"/>
        <n v="391299.0"/>
        <n v="398926.0"/>
        <n v="407656.0"/>
        <n v="437163.0"/>
        <n v="447701.0"/>
        <n v="458199.0"/>
        <n v="468386.0"/>
        <n v="472985.0"/>
        <n v="473712.0"/>
        <n v="510610.0"/>
        <n v="710610.0"/>
        <n v="724361.0"/>
        <n v="750688.0"/>
        <n v="774579.0"/>
        <n v="790485.0"/>
        <n v="797760.0"/>
        <n v="824058.0"/>
        <n v="833291.0"/>
        <n v="845334.0"/>
        <n v="295334.0"/>
        <n v="420650.0"/>
        <n v="476949.0"/>
        <n v="575946.0"/>
        <n v="590224.0"/>
        <n v="90224.0"/>
        <n v="93194.0"/>
        <n v="103094.0"/>
        <n v="142694.0"/>
        <n v="145664.0"/>
        <n v="148634.0"/>
        <n v="163484.0"/>
        <n v="173879.0"/>
        <n v="183879.0"/>
        <n v="186849.0"/>
        <n v="194769.0"/>
        <n v="202689.0"/>
        <n v="2689.0"/>
        <n v="28295.0"/>
        <n v="34476.0"/>
        <n v="46300.0"/>
        <n v="56200.0"/>
        <n v="66200.0"/>
        <n v="76595.0"/>
        <n v="97304.0"/>
        <n v="100274.0"/>
        <n v="115124.0"/>
        <n v="125024.0"/>
        <n v="129974.0"/>
        <n v="179474.0"/>
        <n v="182444.0"/>
        <n v="202244.0"/>
        <n v="402244.0"/>
        <n v="699244.0"/>
        <n v="99244.0"/>
        <n v="117244.0"/>
        <n v="17244.0"/>
        <n v="18844.0"/>
        <n v="25344.0"/>
        <n v="15344.0"/>
        <n v="5344.0"/>
        <n v="9479.0"/>
        <n v="19379.0"/>
        <n v="34229.0"/>
        <n v="44129.0"/>
        <n v="54129.0"/>
        <n v="68979.0"/>
        <n v="71949.0"/>
        <n v="111549.0"/>
        <n v="114519.0"/>
        <n v="94519.0"/>
        <n v="197934.0"/>
        <n v="200904.0"/>
        <n v="411797.0"/>
        <n v="632547.0"/>
        <n v="132547.0"/>
        <n v="157714.0"/>
        <n v="7714.0"/>
        <n v="12664.0"/>
        <n v="15634.0"/>
        <n v="23554.0"/>
        <n v="40054.0"/>
        <n v="54904.0"/>
        <n v="64904.0"/>
        <n v="76784.0"/>
        <n v="88664.0"/>
        <n v="128264.0"/>
        <n v="98264.0"/>
        <n v="8264.0"/>
        <n v="33014.0"/>
        <n v="259735.0"/>
        <n v="159735.0"/>
        <n v="359735.0"/>
        <n v="59735.0"/>
        <n v="71778.0"/>
        <n v="79062.0"/>
        <n v="105420.0"/>
        <n v="127200.0"/>
        <n v="135297.0"/>
        <n v="139571.0"/>
        <n v="151225.0"/>
        <n v="177523.0"/>
        <n v="194462.0"/>
        <n v="205024.0"/>
        <n v="244922.0"/>
        <n v="261682.0"/>
        <n v="271065.0"/>
        <n v="284816.0"/>
        <n v="314714.0"/>
        <n v="324925.0"/>
        <n v="358250.0"/>
        <n v="370293.0"/>
        <n v="398198.0"/>
        <n v="406100.0"/>
        <n v="416662.0"/>
        <n v="426519.0"/>
        <n v="437135.0"/>
        <n v="448012.0"/>
        <n v="475978.0"/>
        <n v="493718.0"/>
        <n v="505008.0"/>
        <n v="509232.0"/>
        <n v="9232.0"/>
        <n v="23092.0"/>
        <n v="37942.0"/>
        <n v="77542.0"/>
        <n v="83977.0"/>
        <n v="89917.0"/>
        <n v="95857.0"/>
        <n v="114786.0"/>
        <n v="133324.0"/>
        <n v="150528.0"/>
        <n v="196364.0"/>
        <n v="260673.0"/>
        <n v="607109.0"/>
        <n v="705222.0"/>
        <n v="205222.0"/>
        <n v="438922.0"/>
        <n v="38922.0"/>
        <n v="53922.0"/>
        <n v="98762.0"/>
        <n v="201140.0"/>
        <n v="211140.0"/>
        <n v="218565.0"/>
        <n v="222327.0"/>
        <n v="237177.0"/>
        <n v="244602.0"/>
        <n v="276106.0"/>
        <n v="301106.0"/>
        <n v="451106.0"/>
        <n v="738206.0"/>
        <n v="739176.0"/>
        <n v="742146.0"/>
        <n v="42146.0"/>
        <n v="42145.0"/>
        <n v="49570.0"/>
        <n v="56995.0"/>
        <n v="59965.0"/>
        <n v="104515.0"/>
        <n v="119365.0"/>
        <n v="19365.0"/>
        <n v="36865.0"/>
        <n v="54865.0"/>
        <n v="109815.0"/>
        <n v="152335.0"/>
        <n v="192335.0"/>
        <n v="342335.0"/>
        <n v="348460.0"/>
        <n v="351384.0"/>
        <n v="378360.0"/>
        <n v="672910.0"/>
        <n v="522910.0"/>
        <n v="102910.0"/>
        <n v="102909.0"/>
        <n v="116769.0"/>
        <n v="136074.0"/>
        <n v="145859.0"/>
        <n v="195359.0"/>
        <n v="198329.0"/>
        <n v="209569.0"/>
        <n v="231349.0"/>
        <n v="238443.0"/>
        <n v="248077.0"/>
        <n v="258693.0"/>
        <n v="283443.0"/>
        <n v="295961.0"/>
        <n v="303488.0"/>
        <n v="304232.0"/>
        <n v="321189.0"/>
        <n v="350089.0"/>
        <n v="359989.0"/>
        <n v="372032.0"/>
        <n v="381126.0"/>
        <n v="402911.0"/>
        <n v="430209.0"/>
        <n v="468775.0"/>
        <n v="482526.0"/>
        <n v="492426.0"/>
        <n v="520746.0"/>
        <n v="533527.0"/>
        <n v="583425.0"/>
        <n v="617861.0"/>
        <n v="625086.0"/>
        <n v="627699.0"/>
        <n v="635339.0"/>
        <n v="639939.0"/>
        <n v="650852.0"/>
        <n v="50852.0"/>
        <n v="55852.0"/>
        <n v="112755.0"/>
        <n v="192241.0"/>
        <n v="205811.0"/>
        <n v="5811.0"/>
        <n v="20661.0"/>
        <n v="23631.0"/>
        <n v="33531.0"/>
        <n v="73131.0"/>
        <n v="83031.0"/>
        <n v="84598.0"/>
        <n v="384598.0"/>
        <n v="668176.0"/>
        <n v="868176.0"/>
        <n v="948176.0"/>
        <n v="48176.0"/>
        <n v="51676.0"/>
        <n v="61576.0"/>
        <n v="76426.0"/>
        <n v="116026.0"/>
        <n v="118996.0"/>
        <n v="18996.0"/>
        <n v="36496.0"/>
        <n v="51346.0"/>
        <n v="61246.0"/>
        <n v="81046.0"/>
        <n v="120646.0"/>
        <n v="50646.0"/>
        <n v="450646.0"/>
        <n v="750646.0"/>
        <n v="59378.0"/>
        <n v="91751.0"/>
        <n v="162566.0"/>
        <n v="42566.0"/>
        <n v="62366.0"/>
        <n v="12366.0"/>
        <n v="31176.0"/>
        <n v="34146.0"/>
        <n v="38899.0"/>
        <n v="58899.0"/>
        <n v="68799.0"/>
        <n v="108399.0"/>
        <n v="126714.0"/>
        <n v="154568.0"/>
        <n v="693003.0"/>
        <n v="703257.0"/>
        <n v="73257.0"/>
        <n v="315157.0"/>
        <n v="381237.0"/>
        <n v="131237.0"/>
        <n v="145899.0"/>
        <n v="158480.0"/>
        <n v="185378.0"/>
        <n v="192912.0"/>
        <n v="198181.0"/>
        <n v="223079.0"/>
        <n v="257977.0"/>
        <n v="292875.0"/>
        <n v="301435.0"/>
        <n v="312612.0"/>
        <n v="321172.0"/>
        <n v="328820.0"/>
        <n v="334229.0"/>
        <n v="355227.0"/>
        <n v="364815.0"/>
        <n v="394713.0"/>
        <n v="401218.0"/>
        <n v="412872.0"/>
        <n v="413593.0"/>
        <n v="417919.0"/>
        <n v="444917.0"/>
        <n v="457496.0"/>
        <n v="474260.0"/>
        <n v="483164.0"/>
        <n v="491896.0"/>
        <n v="515194.0"/>
        <n v="535874.0"/>
        <n v="35874.0"/>
        <n v="100420.0"/>
        <n v="420.0"/>
        <n v="7845.0"/>
        <n v="12399.0"/>
        <n v="46554.0"/>
        <n v="56454.0"/>
        <n v="106224.0"/>
        <n v="109194.0"/>
        <n v="129194.0"/>
        <n v="137663.0"/>
        <n v="149543.0"/>
        <n v="169442.0"/>
        <n v="19442.0"/>
        <n v="58124.0"/>
        <n v="65204.0"/>
        <n v="90204.0"/>
        <n v="103007.0"/>
        <n v="117521.0"/>
        <n v="149381.0"/>
        <n v="49381.0"/>
        <n v="55321.0"/>
        <n v="75321.0"/>
        <n v="112446.0"/>
        <n v="121356.0"/>
        <n v="128781.0"/>
        <n v="145116.0"/>
        <n v="152541.0"/>
        <n v="42541.0"/>
      </sharedItems>
    </cacheField>
    <cacheField name="BUSINESS UNIT" numFmtId="0">
      <sharedItems containsBlank="1">
        <m/>
        <s v="Casa Romana"/>
      </sharedItems>
    </cacheField>
    <cacheField name="HEAD" numFmtId="0">
      <sharedItems containsBlank="1">
        <m/>
        <s v="Contractor"/>
        <s v="Vendor"/>
        <s v="Imprest"/>
        <s v="Salary Site"/>
        <s v="Internal"/>
      </sharedItems>
    </cacheField>
    <cacheField name="SUB HEAD" numFmtId="0">
      <sharedItems containsBlank="1">
        <m/>
        <s v=""/>
      </sharedItems>
    </cacheField>
    <cacheField name="RECO" numFmtId="0">
      <sharedItems containsBlank="1">
        <m/>
        <s v=""/>
        <s v="Entry"/>
      </sharedItems>
    </cacheField>
    <cacheField name="TYPE FOR RERA IDW" numFmtId="0">
      <sharedItems containsBlank="1">
        <m/>
        <s v="Dev- Apt"/>
        <s v="Free &amp; IDW Loan"/>
        <s v="RERA 2 IDW"/>
        <s v="Internal"/>
        <s v="Opening Balance"/>
      </sharedItems>
    </cacheField>
    <cacheField name="TCP Head" numFmtId="0">
      <sharedItems containsBlank="1">
        <m/>
        <s v="IDW Civil Works"/>
        <s v="Internal transfer"/>
      </sharedItems>
    </cacheField>
    <cacheField name="CONCERN" numFmtId="0">
      <sharedItems containsBlank="1">
        <m/>
        <s v=""/>
      </sharedItems>
    </cacheField>
    <cacheField name="CUST ID" numFmtId="0">
      <sharedItems containsBlank="1">
        <m/>
        <s v=""/>
      </sharedItems>
    </cacheField>
    <cacheField name="APT#" numFmtId="0">
      <sharedItems containsBlank="1">
        <m/>
        <s v=""/>
      </sharedItems>
    </cacheField>
    <cacheField name="ACC REMARKS" numFmtId="0">
      <sharedItems containsBlank="1">
        <m/>
        <s v=""/>
        <s v="N/A"/>
        <s v="Construction Expenses"/>
        <s v="Salary"/>
        <s v="Imprest For Site Expenses"/>
        <s v="EPF Payment"/>
        <s v="ESI Payment"/>
        <s v="Purchase of Material for Construction"/>
        <s v="Fuel Expenses"/>
        <s v="For TDS"/>
        <s v="TDS Deposit"/>
        <s v="Freight Charges Faridabad Birla Hill to Casa Romana"/>
        <s v="Electricity Bill month of April 26 &amp; May 26"/>
        <s v="Electrical Work for Tower- S"/>
        <s v="Purchase of Fuel"/>
        <s v="Imprest"/>
      </sharedItems>
    </cacheField>
    <cacheField name="CRM REMARKS" numFmtId="0">
      <sharedItems containsBlank="1">
        <m/>
        <s v=""/>
      </sharedItems>
    </cacheField>
    <cacheField name="NARRATION" numFmtId="0">
      <sharedItems containsBlank="1">
        <m/>
        <s v="Payment Disbursement (Purpose: Casa Romana) | To: MKA DECORATOR | Ref: YESME62340021125 | BU: Casa Romana | Head: Contractor"/>
        <s v="Payment Disbursement (Purpose: Casa Romana) | To: MONA POWER TRADING | Ref: YESME62340022583 | BU: Casa Romana | Head: Contractor"/>
        <s v="Payment Disbursement (Purpose: Salary) | To: RAM CHAND YADAV | Ref: YESME62340021127 | BU: Casa Romana | Head: Salary Site"/>
        <s v="Payment Disbursement (Purpose: Casa Romana) | To: CHOU DHARY ENTERPRISES | Ref: YESME62340021126 | BU: Casa Romana | Head: Vendor"/>
        <s v="Payment Disbursement (Purpose: Casa Romana) | To: RAVI VATS | Ref: YESME62340021124 | BU: Casa Romana | Head: Imprest"/>
        <s v="Payment Disbursement (Purpose: Casa Romana) | To: NAVE EN YADAV | Ref: YESME62340021121 | BU: Casa Romana | Head: Contractor"/>
        <s v="Payment Disbursement (Purpose: Casa Romana) | To: VAHI D | Ref: YESME62340021123 | BU: Casa Romana | Head: Contractor"/>
        <s v="Payment Disbursement (Purpose: Salary) | To: Party | Ref: N/A | BU: Casa Romana | Head: Salary Site"/>
        <s v="Payment Disbursement (Purpose: Salary) | To: RAKE SH KUMAR | Ref: YESME62340022581 | BU: Casa Romana | Head: Salary Site"/>
        <s v="Payment Disbursement (Purpose: Casa Romana) | To: MAN MATI YADAV | Ref: YESME62340022580 | BU: Casa Romana | Head: Contractor"/>
        <s v="Payment Disbursement (Purpose: Casa Romana) | To: NASI M | Ref: YESME62340021120 | BU: Casa Romana | Head: Contractor"/>
        <s v="Internal Fund Transfer (From x2477 to YES IDW 0490) | Ref: YESME6234001095800 | Type: Free &amp; IDW Loan | BU: Casa Romana | Head: Internal"/>
        <s v="Payment Disbursement (Purpose: Construction Expenses) | To: Ram Kishan | Ref: YESME6232005533200 | BU: Casa Romana | Head: Contractor"/>
        <s v="Payment Disbursement (Purpose: Salary) | To: Ramabati Devi | Ref: YESME6232005353800 | BU: Casa Romana | Head: Salary Site"/>
        <s v="Payment Disbursement (Purpose: Salary) | To: Santosh | Ref: YESME6232005353500 | BU: Casa Romana | Head: Salary Site"/>
        <s v="Payment Disbursement (Purpose: Salary) | To: Ravi Vats | Ref: YESME6232005532900 | BU: Casa Romana | Head: Salary Site"/>
        <s v="Payment Disbursement (Purpose: Salary) | To: Maya Choudhary | Ref: YESME6232005353400 | BU: Casa Romana | Head: Salary Site"/>
        <s v="Payment Disbursement (Purpose: Salary) | To: Amar jeet | Ref: YESME6232005353300 | BU: Casa Romana | Head: Salary Site"/>
        <s v="Payment Disbursement (Purpose: Salary) | To: Rahul Kumar | Ref: YESME6232005532700 | BU: Casa Romana | Head: Salary Site"/>
        <s v="Payment Disbursement (Purpose: Salary) | To: Jyoti | Ref: YESME6232005352900 | BU: Casa Romana | Head: Salary Site"/>
        <s v="Payment Disbursement (Purpose: Salary) | To: Sanjay Kumar | Ref: YESME6232005353100 | BU: Casa Romana | Head: Salary Site"/>
        <s v="Payment Disbursement (Purpose: Salary) | To: Ram Sharan | Ref: YESME6232005353000 | BU: Casa Romana | Head: Salary Site"/>
        <s v="Payment Disbursement (Purpose: Salary) | To: Vishwajeet | Ref: YESME6232005532600 | BU: Casa Romana | Head: Salary Site"/>
        <s v="Payment Disbursement (Purpose: Salary) | To: Sandeep Kumar | Ref: YESME6232005352700 | BU: Casa Romana | Head: Salary Site"/>
        <s v="Payment Disbursement (Purpose: Salary) | To: Mohan Singh | Ref: YESME6232005532500 | BU: Casa Romana | Head: Salary Site"/>
        <s v="Payment Disbursement (Purpose: Salary) | To: VISHAL KUMAR | Ref: YESME6232005532400 | BU: Casa Romana | Head: Salary Site"/>
        <s v="Payment Disbursement (Purpose: Salary) | To: Satish | Ref: YESME6232005352500 | BU: Casa Romana | Head: Salary Site"/>
        <s v="Payment Disbursement (Purpose: Salary) | To: Devender Kumar | Ref: YESME6232005352400 | BU: Casa Romana | Head: Salary Site"/>
        <s v="Payment Disbursement (Purpose: Salary) | To: Pooja | Ref: YESI66232008082900 | BU: Casa Romana | Head: Salary Site"/>
        <e v="#NAME?"/>
        <s v="Internal Transfer | Ref: YESME621300679 9900 | Type: RERA 2 IDW | BU: Casa Romana | Head: Internal"/>
        <s v="Payment Disbursement (Purpose: Construction Expenses) | To: Ram Chand Yadav | Ref: YESME6208002599400 | BU: Casa Romana | Head: Contractor"/>
        <s v="Payment Disbursement (Purpose: Construction Expenses) | To: Mukesh Kumar | Ref: YESME6208002599300 | BU: Casa Romana | Head: Contractor"/>
        <s v="Payment Disbursement (Purpose: Construction Expenses) | To: Lalan Yadav | Ref: YESME6208002599200 | BU: Casa Romana | Head: Contractor"/>
        <s v="Payment Disbursement (Purpose: Construction Expenses) | To: MKA Decorator | Ref: YESME6208002753400 | BU: Casa Romana | Head: Contractor"/>
        <s v="Payment Disbursement (Purpose: Construction Expenses) | To: Rakiba BIBI | Ref: YESME6208002598800 | BU: Casa Romana | Head: Contractor"/>
        <s v="Payment Disbursement (Purpose: Construction Expenses) | To: Manmati Yadav | Ref: YESME6208002598900 | BU: Casa Romana | Head: Contractor"/>
        <s v="Payment Disbursement (Purpose: Construction Expenses) | To: Nasim | Ref: YESME6208002598700 | BU: Casa Romana | Head: Contractor"/>
        <s v="Payment Disbursement (Purpose: Construction Expenses) | To: Mohammad Khalil | Ref: YESME6208002753200 | BU: Casa Romana | Head: Contractor"/>
        <s v="Payment Disbursement (Purpose: Purchase of Material for Construction) | To: Pallavi Fibre Glass | Ref: YESI66205008620600 | BU: Casa Romana | Head: Vendor"/>
        <s v="Payment Disbursement (Purpose: Construction Expenses) | To: Mukesh Kumar | Ref: YESI66174007214900 | BU: Casa Romana | Head: Contractor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V115" sheet="YES CR Free 2477"/>
  </cacheSource>
  <cacheFields>
    <cacheField name="SL#" numFmtId="0">
      <sharedItems containsString="0" containsBlank="1" containsNumber="1" containsInteger="1">
        <m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QTR" numFmtId="0">
      <sharedItems containsBlank="1">
        <m/>
        <s v="Q2"/>
        <e v="#NAME?"/>
      </sharedItems>
    </cacheField>
    <cacheField name="MONTH" numFmtId="0">
      <sharedItems containsString="0" containsBlank="1" containsNumber="1" containsInteger="1">
        <m/>
        <n v="8.0"/>
        <n v="7.0"/>
        <n v="6.0"/>
        <n v="4.0"/>
      </sharedItems>
    </cacheField>
    <cacheField name="TXN DATE">
      <sharedItems containsDate="1" containsBlank="1" containsMixedTypes="1">
        <m/>
        <d v="2026-08-22T00:00:00Z"/>
        <d v="2026-08-20T00:00:00Z"/>
        <s v="17-Aug-2026"/>
        <d v="2026-08-14T00:00:00Z"/>
        <s v="12-Aug-2026"/>
        <s v="08-Aug-2026"/>
        <s v="06-Aug-2026"/>
        <s v="05-Aug-2026"/>
        <s v="04-Aug-2026"/>
        <s v="01-Aug-2026"/>
        <d v="2026-07-30T00:00:00Z"/>
        <d v="2026-07-23T00:00:00Z"/>
        <d v="2026-07-22T00:00:00Z"/>
        <d v="2026-07-21T00:00:00Z"/>
        <d v="2026-07-20T00:00:00Z"/>
        <d v="2026-07-18T00:00:00Z"/>
        <d v="2026-07-15T00:00:00Z"/>
        <d v="2026-07-13T00:00:00Z"/>
        <d v="2026-07-11T00:00:00Z"/>
        <d v="2026-07-08T00:00:00Z"/>
        <d v="2026-07-06T00:00:00Z"/>
        <d v="2026-07-04T00:00:00Z"/>
        <d v="2026-07-03T00:00:00Z"/>
        <d v="2026-07-02T00:00:00Z"/>
        <d v="2026-07-01T00:00:00Z"/>
        <d v="2026-06-27T00:00:00Z"/>
        <d v="2026-06-23T00:00:00Z"/>
        <d v="2026-06-22T00:00:00Z"/>
        <d v="2026-06-20T00:00:00Z"/>
        <d v="2026-06-19T00:00:00Z"/>
        <d v="2026-06-18T00:00:00Z"/>
        <d v="2026-06-17T00:00:00Z"/>
        <d v="2026-06-15T00:00:00Z"/>
        <d v="2026-06-12T00:00:00Z"/>
        <d v="2026-06-11T00:00:00Z"/>
        <d v="2026-06-09T00:00:00Z"/>
        <d v="2026-06-08T00:00:00Z"/>
        <d v="2026-06-07T00:00:00Z"/>
        <d v="2026-06-06T00:00:00Z"/>
        <d v="2026-06-05T00:00:00Z"/>
        <d v="2026-04-01T00:00:00Z"/>
      </sharedItems>
    </cacheField>
    <cacheField name="VALUE DATE">
      <sharedItems containsDate="1" containsBlank="1" containsMixedTypes="1">
        <m/>
        <d v="2026-08-22T00:00:00Z"/>
        <d v="2026-08-20T00:00:00Z"/>
        <s v="17-Aug-2026"/>
        <d v="2026-08-14T00:00:00Z"/>
        <s v="12-Aug-2026"/>
        <s v="08-Aug-2026"/>
        <s v="06-Aug-2026"/>
        <s v="05-Aug-2026"/>
        <s v="04-Aug-2026"/>
        <s v="01-Aug-2026"/>
        <d v="2026-07-30T00:00:00Z"/>
        <d v="2026-07-23T00:00:00Z"/>
        <d v="2026-07-22T00:00:00Z"/>
        <d v="2026-07-21T00:00:00Z"/>
        <d v="2026-07-20T00:00:00Z"/>
        <d v="2026-07-18T00:00:00Z"/>
        <d v="2026-07-15T00:00:00Z"/>
        <d v="2026-07-13T00:00:00Z"/>
        <d v="2026-07-11T00:00:00Z"/>
        <d v="2026-07-08T00:00:00Z"/>
        <d v="2026-07-06T00:00:00Z"/>
        <d v="2026-07-04T00:00:00Z"/>
        <d v="2026-07-03T00:00:00Z"/>
        <d v="2026-07-02T00:00:00Z"/>
        <d v="2026-07-01T00:00:00Z"/>
        <d v="2026-06-27T00:00:00Z"/>
        <d v="2026-06-23T00:00:00Z"/>
        <d v="2026-06-22T00:00:00Z"/>
        <d v="2026-06-20T00:00:00Z"/>
        <d v="2026-06-19T00:00:00Z"/>
        <d v="2026-06-18T00:00:00Z"/>
        <d v="2026-06-17T00:00:00Z"/>
        <d v="2026-06-15T00:00:00Z"/>
        <d v="2026-06-12T00:00:00Z"/>
        <d v="2026-06-11T00:00:00Z"/>
        <d v="2026-06-09T00:00:00Z"/>
        <d v="2026-06-08T00:00:00Z"/>
        <d v="2026-06-07T00:00:00Z"/>
        <d v="2026-06-06T00:00:00Z"/>
        <d v="2026-06-05T00:00:00Z"/>
        <d v="2026-04-01T00:00:00Z"/>
      </sharedItems>
    </cacheField>
    <cacheField name="TYPE" numFmtId="0">
      <sharedItems containsBlank="1">
        <m/>
        <s v=""/>
      </sharedItems>
    </cacheField>
    <cacheField name="DESCRIPTION" numFmtId="0">
      <sharedItems containsBlank="1">
        <m/>
        <s v="YIB-NEFT-YESME62340010959-Credit Card-HDFC0000128-HDFC Card 4279-HDFC BANK"/>
        <s v="YIB-TPT-DWARKADHIS PROJECTS PRIVATE LIMITED IN CIRP CR IDW-Internal-045563200000490"/>
        <s v="RTGS Cr-AUBL0002011-Sulekh Jain-DWARKADHIS PROJECTS PVT L-AUBLR62026082227133147"/>
        <s v="YIB-NEFT-YESME62320051046-Dwarkadhis Projects Pvt Ltd-MAHB0001461-For GST Payment-BANK OF MAHARASHTRA"/>
        <s v="YIB-NEFT-YESME62320045554-Rahul Singla-HDFC0000302-Salary-HDFC BANK"/>
        <s v="YIB-NEFT-YESME62320045553-GAMUT INFOSYSTEMS LIMITED-IDIB000M567-Vendor-INDIAN BANK"/>
        <s v="YIB-NEFT-YESME62320047472-Sahil Yadav-BARB0PATAUD-Professional-BANK OF BARODA"/>
        <s v="YIB-NEFT-YESME62320045550-Diksha Sharma-SBIN0050104-Salary-STATE BANK OF INDIA"/>
        <s v="YIB-NEFT-YESME62320047473-Arati Sharma-SBIN0050104-Salary-STATE BANK OF INDIA"/>
        <s v="YIB-NEFT-YESME62320047470-Nikhil Manocha and Co-SBIN0011600-Professional-STATE BANK OF INDIA"/>
        <s v="YIB-NEFT-YESME62320047469-YOGESH SINGH-SBIN0007604-Salary-STATE BANK OF INDIA"/>
        <s v="YIB-NEFT-YESME62320045549-Mukesh Kumar Ray-MAHB0001461-Salary-BANK OF MAHARASHTRA"/>
        <s v="RTGS Cr-UTIB0004193-ARAVALI MAINTENANCE SERVI-DWARKADHIS PROJECTS PVT L-UTIBR62026082002348983"/>
        <s v="YIB-TPT-DWARKADHIS PROJECTS PRIVATE LIMITED IN CIRP-0455632 00000264"/>
        <s v="YIB-NEFT-YESME62260054990-Rahul Singla-HDFC0000302-Imprest-HDFC BANK"/>
        <s v="YIB-NEFT-YESME62260054991-Mukesh Kumar Ray-MAHB0001461-Imprest-BANK OF MAHARASHTRA"/>
        <s v="YIB-NEFT-YESME62260056779-Mukesh Bajetha-FDRL0007777-Salary-FEDERAL BANK"/>
        <s v="YIB-NEFT-YESME62260023290-Guru Nanak Stationery-SBIN0016474-Vendor-STATE BANK OF INDIA"/>
        <s v="YIB-NEFT-YESME62260021321-Dwarkadhis Projects Pvt Ltd-MAHB0001461-for EPF Payment-BANK OF MAHARASHTRAx9675"/>
        <s v="YIB-NEFT-YESME62260023289-Dwarkadhis Projects Pvt Ltd-MAHB0001461-For ESI Payment-BANK OF MAHARASHTRAx9675"/>
        <s v="NEFT Cr-MAHB0001461-DWARKADHIS PROJECTS PRIVA-Dwarkadhis Projects Pvt L-MAHBH00461866783x9675"/>
        <s v="YIB-TPT-DWARKADHIS PROJECTS PVT LTD IN CIRP ARAVALI HEIGHTS IDW-INTERNAL-045563400002457"/>
        <s v="YIB-NEFT-YESME62180056615-DWAR KADHIS PROJECTS PVT LTD-MAHB00014 61-FOR TDS PAY-BANK OF MAHARAS HTRAx9675"/>
        <s v="NEFT CR-MAHB0001461-DWARKA DHIS PROJECTS PRIVA-DWARKADHI S PROJECTS PVT L-MAHBH00660921711x9675"/>
        <s v="YIB-NEFT-YESME62170063440-SHIVA M SINGHAL-SBIN0013420-PROFESSIONAL- STATE BANK OF INDIA"/>
        <s v="YIB-NEFT-YESME62170041087-INDIA PRIDE COM-CNRB0001565-VENDOR- CANARA BANK"/>
        <s v="YIB-TPT-DWARKADHIS PROJECTS PRIVATE LIMITED IN CIRP-045563200000264"/>
        <s v="YIB-NEFT-YESME62040058115-Credit Card-HDFC0000128-imprest-HDFC BANK"/>
        <s v="YIB-NEFT-YESME62030052832-Dwarkadhis Projects Pvt Ltd-MAHB0001461-for tds-BANK OF MAHARASHTRA9675"/>
        <s v="YIB-TPT-DWARKADHIS PROJECTS PVT LTD IN CIRP ARAVALI HEIGHTS-internal-045563400002314"/>
        <s v="YIB-TPT-DWARKADHIS PROJECTS PRIVATE LIMITED IN CIRP CR IDW-045563200000490"/>
        <s v="YIB-NEFT-YESME62010049480-Dwarkadhis Projects Pvt Ltd-MAHB0001461-for gst payment-BANK OF MAHARASHTRA9675"/>
        <s v="YIB-NEFT-YESME61990049787-Rahul Singla-HDFC0000302-Salary-HDFC BANK"/>
        <s v="YIB-NEFT-YESME61990049788-YOGESH SINGH-SBIN0007604-Salary-STATE BANK OF INDIA"/>
        <s v="YIB-NEFT-YESME61990050829-Mukesh Kumar Ray-MAHB0001461-Salary-BANK OF MAHARASHTRA"/>
        <s v="YIB-NEFT-YESME61990050830-Nikhil Manocha and Co-SBIN0011600-Professional-STATE BANK OF INDIA"/>
        <s v="YIB-NEFT-YESME61990049786-Arati Sharma-SBIN0050104-Salary-STATE BANK OF INDIA"/>
        <s v="YIB-NEFT-YESME61990050828-Mukesh Bajetha-FDRL0007777-Salary-FEDERAL BANK"/>
        <s v="YIB-NEFT-YESME61990050825-Ashish Gaur-SBIN0007052-Salary-STATE BANK OF INDIA"/>
        <s v="YIB-NEFT-YESME61990050826-Diksha Sharma-SBIN0050104-Salary-STATE BANK OF INDIA"/>
        <s v="YIB-NEFT-YESME61990050823-Babu Ram Thapa-PUNB0123710-salary-PUNJAB NATIONAL BANK"/>
        <s v="YIB-NEFT-YESME61990050824-Sahil Yadav-BARB0PATAUD-Professional-BANK OF BARODA"/>
        <s v="NEFT Cr-MAHB0001461-DWARKADHIS PROJECTS PRIVA-Dwarkadhis Projects Pvt L-MAHBH005589213069675"/>
        <s v="YIB-NEFT-YESME61940062186-Dwarkadhis Projects Pvt Ltd-MAHB0001461-epf esi payment-BANK OF MAHARASHTRA9675"/>
        <s v="YIB-NEFT-YESME61890064769-Lekh Raj Bajaj-UBIN0932329-Professional-UNION BANK OF INDIA"/>
        <s v="YIB-NEFT-YESME61890035694-Sumesh Dhawan-ICIC0000332-Professional-ICICI BANK LIMITED"/>
        <s v="YIB-NEFT-YESME61870055022-Dwarkadhis Projects Pvt Ltd-MAHB0001461-for tds-BANK OF MAHARASHTRABOM9675"/>
        <s v="IMPS/NA/XXXX0441/RRN:618748611007/PC4070866130330234/UNION BANK OF I/Naresh K Jain and Co/Certificate"/>
        <s v="YIB-TPT-DWARKADHIS PROJECTS PRIVATE LIMITED IN CIRP CR IDW-tfr-045563200000490"/>
        <s v="YIB-NEFT-YESME61740045616-Diksha Sharma-SBIN0050104-imprest-STATE BANK OF INDIA"/>
        <s v="YIB-TPT-DWARKADHIS PROJECTS PVT LTD IN CIRP ARAVALI HEIGHT-045563400002457"/>
        <s v="YIB-NEFT-YESME61730059291-India PRIDE COM-CNRB0001565-tfr-CANARA BANK"/>
        <s v="YIB-NEFT-YESME61730060528-Yashvir Singh Balhara-KKBK0000259-Professional-KOTAK MAHINDRA BANK LIMITED"/>
        <s v="YIB-NEFT-YESME61730031104-Credit Card-HDFC0000128-card 4279-HDFC BANK"/>
        <s v="YIB-NEFT-YESME61710048944-YOGESH SINGH-SBIN0007604-imprest-STATE BANK OF INDIA"/>
        <s v="YIB-NEFT-YESME61710048943-Dwarkadhis Projects Pvt Ltd-MAHB0001461-tfr-BANK OF MAHARASHTRABOM9675"/>
        <s v="YIB-TPT-DWARKADHIS PROJECTS PVT LTD IN CIRP ARAVALI HEIGHTS-045563400002457"/>
        <s v="YIB-NEFT-YESME61660073249-Rohit Kumar-IDFB0020151-Professional-IDFC FIRST BANK LTD"/>
        <s v="YIB-NEFT-YESME61660061890-Sahil Yadav-BARB0PATAUD-Professional-BANK OF BARODA"/>
        <s v="YIB-NEFT-YESME61660067994-Rahul Singla-HDFC0000302-Salary-HDFC BANK"/>
        <s v="YIB-NEFT-YESME61660061887-Mukesh Kumar Ray-MAHB0001461-Salary-BANK OF MAHARASHTRA"/>
        <s v="YIB-NEFT-YESME61660067991-Mukesh Bajetha-FDRL0007777-Salary-FEDERAL BANK"/>
        <s v="YIB-NEFT-YESME61660067993-Arati Sharma-SBIN0050104-Salary-STATE BANK OF INDIA"/>
        <s v="YIB-NEFT-YESME61660067989-Nikhil Manocha and Co-SBIN0011600-Professional-STATE BANK OF INDIA"/>
        <s v="YIB-NEFT-YESME61660061885-Diksha Sharma-SBIN0050104-Salary-STATE BANK OF INDIA"/>
        <s v="YIB-NEFT-YESME61660067988-Ashish Gaur-SBIN0007052-Salary-STATE BANK OF INDIA"/>
        <s v="YIB-NEFT-YESME61660067987-Yogesh Singh-SBIN0007604-Salary-STATE BANK OF INDIA"/>
        <s v="YIB-TPT-DWARKADHIS PROJECTS PVT LTD IN CIRP ARAVALI HEIGHTS-045563400002314"/>
        <s v="YIB-NEFT-YESME61630003670-Dwarkadhis Projects Pvt Ltd-MAHB0001461-for esi epf-BANK OF MAHARASHTRA"/>
        <s v="IMPS/NA/XXXX6622/RRN:616294174358/PC3863380272601926/STATE BANK OF I/Yogesh Singh/Yogesh Singh Imprest"/>
        <s v="YIB-NEFT-YESME61620056436-Jaskaran Singh Bhatia-HDFC0000011-professional-HDFC BANK"/>
        <s v="YIB-NEFT-YESME61590064987-Value Plus Insolvency Resolution Professionals Pvt Ltd-PUNB0025120-Professional-PUNJAB NATIONAL BANK"/>
        <s v="YIB-NEFT-YESME61580006972-Dwarkadhis Projects Pvt Ltd-MAHB0001461-for tds pay-BANK OF MAHARASHTRA"/>
        <s v="NEFT Cr-MAHB0001461-DWARKADHIS PROJECTS PRIVA-Dwarkadhis Projects Pvt L-MAHBH00654782285"/>
        <s v="NEFT Cr-MAHB0001461-DWARKADHIS PROJECTS PRIVA-Dwarkadhis Projects Pvt L-MAHBH00554694381"/>
        <s v="B/F ..."/>
      </sharedItems>
    </cacheField>
    <cacheField name="REFERENCE" numFmtId="0">
      <sharedItems containsBlank="1">
        <m/>
        <s v="YESME6234001095900"/>
        <s v="YESME6234001095800"/>
        <s v="YES0R6234083472900"/>
        <s v="YESME6232005104500"/>
        <s v="YESME6232005104600"/>
        <s v="YESME6232004555400"/>
        <s v="YESME6232004555300"/>
        <s v="YESME6232004747200"/>
        <s v="YESME6232004555000"/>
        <s v="YESME6232004747300"/>
        <s v="YESME6232004747000"/>
        <s v="YESME6232004746900"/>
        <s v="YESME6232004554900"/>
        <s v="YES0R6232077926500"/>
        <s v=""/>
        <s v="YESME6226005499000"/>
        <s v="YESME6226005499100"/>
        <s v="YESME6226005677900"/>
        <s v="YESME6226002329000"/>
        <s v="YESME6226002132100"/>
        <s v="YESME6226002328900"/>
        <s v="YES0N6226476645100"/>
        <s v="YESME6216001852600"/>
        <s v="YESME6213006789000"/>
        <s v="YESME6211004463500"/>
        <s v="YESME6204005811500"/>
        <s v="YESME6204005383700"/>
        <s v="YESME6203005283200"/>
        <s v="YESME6203005190700"/>
        <s v="YESME6202002016600"/>
        <s v="YESME6201006466000"/>
        <s v="YESME6201004948000"/>
        <s v="YESME6199005117700"/>
        <s v="YESME6199004978700"/>
        <s v="YESME6199004978800"/>
        <s v="YESME6199005082900"/>
        <s v="YESME6199005083000"/>
        <s v="YESME6199004978600"/>
        <s v="YESME6199005082800"/>
        <s v="YESME6199005082500"/>
        <s v="YESME6199005082600"/>
        <s v="YESME6199005082300"/>
        <s v="YESME6199005082400"/>
        <s v="YESME6199004914800"/>
        <s v="YES0N6196357705900"/>
        <s v="YESME6196003934400"/>
        <s v="YESME6194006218600"/>
        <s v="YESME6194005638000"/>
        <s v="YESME6192004439900"/>
        <s v="YESME6189006476900"/>
        <s v="YESME6189005399100"/>
        <s v="YESME6189003569400"/>
        <s v="YESME6187006949700"/>
        <s v="YESME6187005502200"/>
        <s v="YESI66187006037100"/>
        <s v="YESME6185005485200"/>
        <s v="YESME6184006254900"/>
        <s v="YESME6184004910600"/>
        <s v="YESME6183012280200"/>
        <s v="YESME6182006049800"/>
        <s v="YESME6182005971800"/>
        <s v="YESME6178007612800"/>
        <s v="YESME6174004653700"/>
        <s v="YESME6174004561600"/>
        <s v="YESME6174004107300"/>
        <s v="YESME61730059291"/>
        <s v="YESME61730060528"/>
        <s v="YESME61730031104"/>
        <s v="YESME6171004894400                      "/>
        <s v="YESME6171004894300                      "/>
        <s v="YESME6171004894200                      "/>
        <s v="YESME6171003990900                      "/>
        <s v="YESME6170005567200                      "/>
        <s v="YESME6163000367000"/>
        <s v="YESME6163000858700"/>
        <s v="YESI66162010029000"/>
        <s v="YESME6162005643600"/>
        <s v="YESME6160001433900"/>
        <s v="YESME6159006498700"/>
        <s v="YESME6158000697200"/>
        <s v="YESME6157003886400"/>
        <s v="YES0N6157719970100"/>
        <s v="YES0N6156606722100"/>
        <s v="YESME6156006847800"/>
      </sharedItems>
    </cacheField>
    <cacheField name="DEBITS">
      <sharedItems containsBlank="1" containsMixedTypes="1" containsNumber="1" containsInteger="1">
        <m/>
        <n v="18865.0"/>
        <n v="600000.0"/>
        <n v="150000.0"/>
        <n v="24601.0"/>
        <n v="39898.0"/>
        <n v="49000.0"/>
        <n v="22500.0"/>
        <n v="36298.0"/>
        <n v="24898.0"/>
        <n v="72500.0"/>
        <n v="15343.0"/>
        <n v="6700.0"/>
        <n v="26334.0"/>
        <n v="30229.0"/>
        <n v="6713.0"/>
        <n v="11300.0"/>
        <n v="620.0"/>
        <n v="50000.0"/>
        <n v="75000.0"/>
        <n v="97500.0"/>
        <n v="4885.0"/>
        <n v="17076.0"/>
        <n v="2731.0"/>
        <n v="47810.0"/>
        <n v="31298.0"/>
        <n v="8454.0"/>
        <n v="29898.0"/>
        <n v="13496.0"/>
        <n v="217224.0"/>
        <n v="405000.0"/>
        <n v="25000.0"/>
        <n v="10000.0"/>
        <n v="20000.0"/>
        <n v="500000.0"/>
        <n v="4163.0"/>
        <n v="45000.0"/>
        <n v="4557.0"/>
        <n v="3000.0"/>
        <n v="30000.0"/>
        <s v=""/>
        <n v="100000.0"/>
        <n v="300000.0"/>
        <n v="34584.0"/>
        <n v="30763.0"/>
        <n v="32500.0"/>
        <n v="16024.0"/>
        <n v="15520.0"/>
        <n v="100660.0"/>
        <n v="390000.0"/>
        <n v="106361.0"/>
      </sharedItems>
    </cacheField>
    <cacheField name="CREDITS">
      <sharedItems containsBlank="1" containsMixedTypes="1" containsNumber="1" containsInteger="1">
        <m/>
        <n v="600000.0"/>
        <n v="300000.0"/>
        <n v="49426.0"/>
        <n v="1.0"/>
        <n v="45000.0"/>
        <n v="85127.0"/>
        <n v="99576.0"/>
        <n v="68240.0"/>
        <n v="103199.0"/>
        <n v="20479.0"/>
        <n v="30000.0"/>
        <n v="14700.0"/>
        <n v="27435.0"/>
        <n v="100000.0"/>
        <n v="7500.0"/>
        <n v="200000.0"/>
        <n v="102789.0"/>
        <n v="54510.0"/>
        <n v="82500.0"/>
        <n v="106092.0"/>
        <n v="200117.0"/>
        <n v="182799.0"/>
        <n v="118510.0"/>
        <n v="16133.0"/>
        <n v="500000.0"/>
        <n v="67500.0"/>
        <s v=""/>
        <n v="60000.0"/>
        <n v="15000.0"/>
        <n v="700000.0"/>
        <n v="246927.0"/>
        <n v="210000.0"/>
        <n v="219511.0"/>
        <n v="0.0"/>
      </sharedItems>
    </cacheField>
    <cacheField name="BALANCE" numFmtId="0">
      <sharedItems containsString="0" containsBlank="1" containsNumber="1">
        <m/>
        <n v="39503.19999999995"/>
        <n v="58368.19999999995"/>
        <n v="658368.2"/>
        <n v="208368.19999999995"/>
        <n v="232969.19999999995"/>
        <n v="272867.19999999995"/>
        <n v="321867.19999999995"/>
        <n v="344367.19999999995"/>
        <n v="380665.19999999995"/>
        <n v="405563.19999999995"/>
        <n v="478063.19999999995"/>
        <n v="493406.19999999995"/>
        <n v="529704.2"/>
        <n v="229704.2"/>
        <n v="180278.2"/>
        <n v="186978.2"/>
        <n v="213312.2"/>
        <n v="243541.2"/>
        <n v="250254.2"/>
        <n v="261554.2"/>
        <n v="262174.2"/>
        <n v="262173.2"/>
        <n v="217173.2"/>
        <n v="267173.2"/>
        <n v="342173.2"/>
        <n v="257046.2"/>
        <n v="257045.0"/>
        <n v="354545.0"/>
        <n v="254969.0"/>
        <n v="259854.0"/>
        <n v="191614.0"/>
        <n v="88415.0"/>
        <n v="67936.0"/>
        <n v="37936.0"/>
        <n v="55012.0"/>
        <n v="40312.0"/>
        <n v="43043.0"/>
        <n v="15608.0"/>
        <n v="165608.0"/>
        <n v="65608.0"/>
        <n v="113418.0"/>
        <n v="105918.0"/>
        <n v="145816.0"/>
        <n v="161159.0"/>
        <n v="197457.0"/>
        <n v="269957.0"/>
        <n v="294855.0"/>
        <n v="326153.0"/>
        <n v="334607.0"/>
        <n v="370905.0"/>
        <n v="400803.0"/>
        <n v="423303.0"/>
        <n v="223303.0"/>
        <n v="223302.0"/>
        <n v="120513.0"/>
        <n v="134009.0"/>
        <n v="104009.0"/>
        <n v="49499.0"/>
        <n v="266723.0"/>
        <n v="184223.0"/>
        <n v="589223.0"/>
        <n v="483131.0"/>
        <n v="508131.0"/>
        <n v="518131.0"/>
        <n v="318014.0"/>
        <n v="135215.0"/>
        <n v="16705.0"/>
        <n v="572.0"/>
        <n v="10572.0"/>
        <n v="20572.0"/>
        <n v="40572.0"/>
        <n v="540572.0"/>
        <n v="550572.0"/>
        <n v="50572.0"/>
        <n v="54735.0"/>
        <n v="99735.0"/>
        <n v="32235.0"/>
        <n v="36792.0"/>
        <n v="39792.0"/>
        <n v="69792.0"/>
        <n v="99792.0"/>
        <n v="24792.0"/>
        <n v="124792.0"/>
        <n v="324792.0"/>
        <n v="59376.0"/>
        <n v="81876.0"/>
        <n v="121774.0"/>
        <n v="158072.0"/>
        <n v="658072.0"/>
        <n v="688835.0"/>
        <n v="713733.0"/>
        <n v="746233.0"/>
        <n v="782531.0"/>
        <n v="798555.0"/>
        <n v="813898.0"/>
        <n v="113898.0"/>
        <n v="129418.0"/>
        <n v="99418.0"/>
        <n v="109418.0"/>
        <n v="210078.0"/>
        <n v="180078.0"/>
        <n v="570078.0"/>
        <n v="676439.0"/>
        <n v="429512.0"/>
        <n v="429511.0"/>
        <n v="219511.0"/>
        <n v="0.0"/>
      </sharedItems>
    </cacheField>
    <cacheField name="BUSINESS UNIT" numFmtId="0">
      <sharedItems containsBlank="1">
        <m/>
        <s v="HO"/>
        <s v="Casa Romana"/>
        <s v="Aravali Heights"/>
      </sharedItems>
    </cacheField>
    <cacheField name="HEAD" numFmtId="0">
      <sharedItems containsBlank="1">
        <m/>
        <s v="Credit Card"/>
        <s v="Internal"/>
        <s v="Loan"/>
        <s v="Salary HO"/>
        <s v="Vendor"/>
        <s v="Professional"/>
        <s v="Imprest"/>
      </sharedItems>
    </cacheField>
    <cacheField name="SUB HEAD" numFmtId="0">
      <sharedItems containsBlank="1">
        <m/>
        <s v=""/>
      </sharedItems>
    </cacheField>
    <cacheField name="RECO" numFmtId="0">
      <sharedItems containsBlank="1">
        <m/>
        <s v=""/>
        <s v="Reco"/>
        <s v="Entry"/>
      </sharedItems>
    </cacheField>
    <cacheField name="TYPE FOR RERA IDW" numFmtId="0">
      <sharedItems containsBlank="1">
        <m/>
        <s v="HO - Admin"/>
        <s v="Free &amp; IDW Loan"/>
        <s v="Credit- no effect"/>
        <s v="Internal"/>
        <s v="Master to Free"/>
        <s v="AH - CR"/>
        <s v="Master 2 RERA"/>
      </sharedItems>
    </cacheField>
    <cacheField name="TCP Head" numFmtId="0">
      <sharedItems containsBlank="1">
        <m/>
        <s v="Other- Administrative Expenses"/>
        <s v="Internal transfer"/>
        <s v="Credit- no effect"/>
      </sharedItems>
    </cacheField>
    <cacheField name="CONCERN" numFmtId="0">
      <sharedItems containsBlank="1">
        <m/>
        <s v=""/>
      </sharedItems>
    </cacheField>
    <cacheField name="CUST ID" numFmtId="0">
      <sharedItems containsBlank="1">
        <m/>
        <s v=""/>
      </sharedItems>
    </cacheField>
    <cacheField name="APT#" numFmtId="0">
      <sharedItems containsBlank="1">
        <m/>
        <s v=""/>
      </sharedItems>
    </cacheField>
    <cacheField name="ACC REMARKS" numFmtId="0">
      <sharedItems containsBlank="1">
        <m/>
        <s v="Credit Card Repayment 4279"/>
        <s v="N/A"/>
        <s v="Loan"/>
        <s v="GST Payment month of July 2026"/>
        <s v="Salary"/>
        <s v="Software Expenses"/>
        <s v="Professional Fee"/>
        <s v="Imprest"/>
        <s v="Purchase of Stationery"/>
        <s v="EPF Payment"/>
        <s v="ESI Payment"/>
        <s v="TDS Payment"/>
        <s v="Professional Fee For Valuation of Property"/>
        <s v="Software and Website Charges"/>
        <s v="Credit Card Repayment x4279"/>
        <s v="Professional Fees"/>
        <s v="Imprest For Expenses"/>
        <s v="Professional Fees for Legal Cases"/>
        <s v="Imprest For  Expenses"/>
      </sharedItems>
    </cacheField>
    <cacheField name="CRM REMARKS" numFmtId="0">
      <sharedItems containsBlank="1">
        <m/>
        <s v="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W66" sheet="BOM 905"/>
  </cacheSource>
  <cacheFields>
    <cacheField name="SL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</sharedItems>
    </cacheField>
    <cacheField name="QTR" numFmtId="0">
      <sharedItems containsBlank="1">
        <m/>
        <e v="#NAME?"/>
      </sharedItems>
    </cacheField>
    <cacheField name="MONTH" numFmtId="0">
      <sharedItems containsSemiMixedTypes="0" containsString="0" containsNumber="1" containsInteger="1">
        <n v="4.0"/>
        <n v="5.0"/>
      </sharedItems>
    </cacheField>
    <cacheField name="TXN DATE" numFmtId="164">
      <sharedItems containsSemiMixedTypes="0" containsDate="1" containsString="0">
        <d v="2026-04-01T00:00:00Z"/>
        <d v="2026-04-04T00:00:00Z"/>
        <d v="2026-04-06T00:00:00Z"/>
        <d v="2026-04-08T00:00:00Z"/>
        <d v="2026-04-11T00:00:00Z"/>
        <d v="2026-04-13T00:00:00Z"/>
        <d v="2026-04-14T00:00:00Z"/>
        <d v="2026-04-15T00:00:00Z"/>
        <d v="2026-04-16T00:00:00Z"/>
        <d v="2026-04-18T00:00:00Z"/>
        <d v="2026-04-20T00:00:00Z"/>
        <d v="2026-04-21T00:00:00Z"/>
        <d v="2026-04-22T00:00:00Z"/>
        <d v="2026-04-23T00:00:00Z"/>
        <d v="2026-04-24T00:00:00Z"/>
        <d v="2026-04-27T00:00:00Z"/>
        <d v="2026-04-29T00:00:00Z"/>
        <d v="2026-04-30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5T00:00:00Z"/>
        <d v="2026-05-30T00:00:00Z"/>
      </sharedItems>
    </cacheField>
    <cacheField name="VALUE DATE" numFmtId="164">
      <sharedItems containsSemiMixedTypes="0" containsDate="1" containsString="0">
        <d v="2026-04-01T00:00:00Z"/>
        <d v="2026-04-04T00:00:00Z"/>
        <d v="2026-04-06T00:00:00Z"/>
        <d v="2026-04-08T00:00:00Z"/>
        <d v="2026-04-11T00:00:00Z"/>
        <d v="2026-04-13T00:00:00Z"/>
        <d v="2026-04-14T00:00:00Z"/>
        <d v="2026-04-15T00:00:00Z"/>
        <d v="2026-04-16T00:00:00Z"/>
        <d v="2026-04-18T00:00:00Z"/>
        <d v="2026-04-20T00:00:00Z"/>
        <d v="2026-04-21T00:00:00Z"/>
        <d v="2026-04-22T00:00:00Z"/>
        <d v="2026-04-23T00:00:00Z"/>
        <d v="2026-04-24T00:00:00Z"/>
        <d v="2026-04-27T00:00:00Z"/>
        <d v="2026-04-29T00:00:00Z"/>
        <d v="2026-04-30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5T00:00:00Z"/>
        <d v="2026-05-30T00:00:00Z"/>
      </sharedItems>
    </cacheField>
    <cacheField name="TYPE" numFmtId="0">
      <sharedItems containsBlank="1">
        <m/>
        <s v="IMPS"/>
        <s v="Charges"/>
        <s v="Cheque"/>
      </sharedItems>
    </cacheField>
    <cacheField name="DESCRIPTION" numFmtId="0">
      <sharedItems>
        <s v="B/F ..."/>
        <s v="IMPS/48/609499021382/**9335/DWARKADHIS PROJECTS PV"/>
        <s v="NEFT MAHBN12026040447704369 Dwarkadhis Projects Pv&#10; &#10; YESB0000455"/>
        <s v="NEFT YESBN12026040605648488 DWARKADHIS PROJECTS PV&#10; &#10; YESB0000001"/>
        <s v="NEFT MAHBN12026040647895077 Dwarkadhis Projects Pv&#10; &#10; YESB0000455"/>
        <s v="LF CHG CA AC"/>
        <s v="GST"/>
        <s v="NEFT YESBN12026041105829300 DWARKADHIS PROJECTS PV&#10; &#10; YESB0000001"/>
        <s v="NEFT MAHBN12026041148686286 Dwarkadhis Projects Pv&#10; &#10; YESB0000455"/>
        <s v="NEFT YESBN12026041305407636 DWARKADHIS PROJECTS PR&#10; &#10; YESB0000001"/>
        <s v="EPFO PAYMENT, TRRN :2604101219314&#10; &#10; TO 60417258123&#10; &#10; TRANSFER TO 60417258123&#10; &#10; TO EMPLOYEES PROVIDENT FUND ORGANISATION"/>
        <s v="ONLINE esi CBOMLUA1HDHPA7&#10; &#10; TO 60037971586&#10; &#10; TRANSFER TO 60037971586&#10; &#10; TO BILLDESK"/>
        <s v="ONLINE esi CBOMJZE1HDI7YN&#10; &#10; TO 60037971586&#10; &#10; TRANSFER TO 60037971586&#10; &#10; TO BILLDESK"/>
        <s v="NEFT YESBN12026041405921376 DWARKADHIS PROJECTS PV&#10; &#10; YESB0000001"/>
        <s v="NEFT MAHBN12026041448982127 Dwarkadhis Projects Pv&#10; &#10; YESB0000455"/>
        <s v="RTGS YESBR12026041500036274 DWARKADHIS PROJECTS PV&#10; &#10; YESB0000001"/>
        <s v="NEFT MAHBN12026041549066330 Dwarkadhis Projects Pv&#10; &#10; YESB0000455"/>
        <s v="NEFT MAHBN12026041549112005 Diksha Sharma&#10;SBIN0050104"/>
        <s v="NEFT MAHBN12026041549117390 Rahul Singla&#10; &#10; HDFC0000302"/>
        <s v="NEFT MAHBN12026041549119763 Nikhil Manocha and CO&#10; &#10; SBIN0011600"/>
        <s v="salary&#10; &#10; TO 68011054006&#10; &#10; TRANSFER TO 68011054006&#10; &#10; TO Mr. MUKESH KUMAR RAY"/>
        <s v="RTGS YESBR12026041600032429 DWARKADHIS PROJECTS PV&#10; &#10; YESB0000001"/>
        <s v="NEFT MAHBN12026041649196694 Dwarkadhis Projects Pv&#10; &#10; YESB0000455"/>
        <s v="NEFT YESBN12026041808609500 DWARKADHIS PROJECTS PV&#10; &#10; YESB0000001"/>
        <s v="RTGS YESBR12026042000041867 DWARKADHIS PROJECTS PV&#10; &#10; YESB0000001"/>
        <s v="NEFT MAHBN12026042049627060 Dwarkadhis Projects Pv&#10; &#10; YESB0000455"/>
        <s v="GS-200420265GSTTAX 26040600214109&#10; &#10; TO 60285510225&#10; &#10; TRANSFER TO 60285510225&#10; &#10; TO BANK OF MAHARASHTRA GST POOL ACCOUNT"/>
        <s v="NEFT YESBN12026042005753582 DWARKADHIS PROJECTS PR&#10; &#10; YESB0000001"/>
        <s v="ONLINE DHBVN CBOMAAF1I00813&#10; &#10; TO 60037971586&#10; &#10; TRANSFER TO 60037971586&#10; &#10; TO BILLDESK"/>
        <s v="NEFT YESBN12026042205358338 DWARKADHIS PROJECTS PR&#10; &#10; YESB0000001"/>
        <s v="NEFT MAHBN12026042249915404 Falcon Advertisers&#10; &#10; SBIN0009371"/>
        <s v="RTGS YESBR12026042300036988 DWARKADHIS PROJECTS PV&#10; &#10; YESB0000001"/>
        <s v="NEFT YESBN12026042305663243 DWARKADHIS PROJECTS PV&#10; &#10; YESB0000001"/>
        <s v="NEFT MAHBN12026042350004677 Dwarkadhis Projects Pv&#10; &#10; YESB0000455"/>
        <s v="NEFT YESBN12026042305775618 DWARKADHIS PROJECTS PR&#10; &#10; YESB0000001"/>
        <s v="TI-230420265TINTAX 26042300160281&#10; &#10; TO 60425114191&#10; &#10; TRANSFER TO 60425114191&#10; &#10; TO Central Govt Taxes"/>
        <s v="TI-230420265TINTAX 26042300161277&#10; &#10; TO 60425114191&#10; &#10; TRANSFER TO 60425114191&#10; &#10; TO Central Govt Taxes"/>
        <s v="TI-230420265TINTAX 26042300162440&#10; &#10; TO 60425114191&#10; &#10; TRANSFER TO 60425114191&#10; &#10; TO Central Govt Taxes"/>
        <s v="NEFT KVBLN52026042460066550 AMBITIONCOLONISERSPRIV&#10; &#10; KVBL0002101"/>
        <s v="NEFT MAHBN12026042450119372 Dwarkadhis Projects Pv&#10; &#10; YESB0000455"/>
        <s v="NEFT MAHBN12026042450119716 Shivam Sorewala&#10; &#10; KKBK0004606"/>
        <s v="NEFT YESBN12026042705775638 DWARKADHIS PROJECTS PR&#10; &#10; YESB0000001"/>
        <s v="MONTHLY SMS CHA"/>
        <s v="NEFT YESBN12026043005653366 DWARKADHIS PROJECTS PR&#10; &#10; YESB0000001"/>
        <s v="NEFT YESBN12026043005655256 DWARKADHIS PROJECTS PR&#10; &#10; YESB0000001"/>
        <s v="NEFT YESBN12026050105323360 DWARKADHIS PROJECTS PR&#10; &#10; YESB0000001"/>
        <s v="NEFT YESBN12026050405311351 DWARKADHIS PROJECTS PR&#10; &#10; YESB0000001"/>
        <s v="NEFT YESBN12026050405798579 DWARKADHIS PROJECTS PR&#10; &#10; YESB0000001"/>
        <s v="NEFT YESBN12026050405798580 DWARKADHIS PROJECTS PR&#10; &#10; YESB0000001"/>
        <s v="NEFT YESBN12026050505572815 DWARKADHIS PROJECTS PR&#10; &#10; YESB0000001"/>
        <s v="NEFT YESBN12026050605644958 DWARKADHIS PROJECTS PR&#10; &#10; YESB0000001"/>
        <s v="NEFT YESBN12026050705654555 DWARKADHIS PROJECTS PR&#10; &#10; YESB0000001"/>
        <s v="NEFT YESBN12026050705840579 DWARKADHIS PROJECTS PR&#10; &#10; YESB0000001"/>
        <s v="NEFT MAHBN12026050851800267 Lekh Raj Bajaj&#10; &#10; UBIN0932329"/>
        <s v="NEFT YESBN12026050905888411 DWARKADHIS PROJECTS PR&#10; &#10; YESB0000001"/>
        <s v="NEFT YESBN12026050905889996 DWARKADHIS PROJECTS PR&#10; &#10; YESB0000001"/>
        <s v="for tds&#10; &#10; TO 68011054006&#10; &#10; TRANSFER TO 68011054006&#10; &#10; TO Mr. MUKESH KUMAR RAY"/>
        <s v="LEKH RAJ BAJAJ"/>
        <s v="NEFT YESBN12026051105989504 DWARKADHIS PROJECTS PR&#10; &#10; YESB0000001"/>
        <s v="NEFT YESBN12026051505666575 DWARKADHIS PROJECTS PR&#10; &#10; YESB0000001"/>
        <s v="NEFT YESBN12026051505666943 DWARKADHIS PROJECTS PR&#10; &#10; YESB0000001"/>
      </sharedItems>
    </cacheField>
    <cacheField name="REFERENCE" numFmtId="0">
      <sharedItems containsString="0" containsBlank="1" containsNumber="1" containsInteger="1">
        <m/>
        <n v="6.09499021382E11"/>
        <n v="155665.0"/>
      </sharedItems>
    </cacheField>
    <cacheField name="DEBITS" numFmtId="0">
      <sharedItems containsString="0" containsBlank="1" containsNumber="1">
        <m/>
        <n v="110000.0"/>
        <n v="100000.0"/>
        <n v="150.0"/>
        <n v="27.0"/>
        <n v="150000.0"/>
        <n v="52194.0"/>
        <n v="140.0"/>
        <n v="5144.0"/>
        <n v="500000.0"/>
        <n v="36298.0"/>
        <n v="39898.0"/>
        <n v="72500.0"/>
        <n v="250000.0"/>
        <n v="630000.0"/>
        <n v="266484.0"/>
        <n v="538435.0"/>
        <n v="11088.0"/>
        <n v="120000.0"/>
        <n v="50000.0"/>
        <n v="32373.0"/>
        <n v="169261.0"/>
        <n v="700000.0"/>
        <n v="9300.0"/>
        <n v="12.3"/>
        <n v="2.21"/>
        <n v="223880.0"/>
        <n v="9067.0"/>
        <n v="223800.0"/>
        <n v="5.7"/>
        <n v="1.02"/>
      </sharedItems>
    </cacheField>
    <cacheField name="CREDITS" numFmtId="165">
      <sharedItems containsString="0" containsBlank="1" containsNumber="1">
        <n v="47445.01"/>
        <n v="120000.0"/>
        <m/>
        <n v="110000.0"/>
        <n v="150000.0"/>
        <n v="49770.0"/>
        <n v="100000.0"/>
        <n v="700000.0"/>
        <n v="200000.0"/>
        <n v="800000.0"/>
        <n v="538435.0"/>
        <n v="17082.0"/>
        <n v="300000.0"/>
        <n v="50000.0"/>
        <n v="32373.0"/>
        <n v="30000.0"/>
        <n v="15000.0"/>
        <n v="49146.2"/>
        <n v="20479.0"/>
        <n v="339059.4"/>
        <n v="17781.6"/>
        <n v="163591.5"/>
        <n v="76048.5"/>
        <n v="1567.0"/>
        <n v="3180.0"/>
        <n v="95626.8"/>
        <n v="54638.7"/>
        <n v="56903.0"/>
        <n v="74511.6"/>
      </sharedItems>
    </cacheField>
    <cacheField name="BALANCE" numFmtId="165">
      <sharedItems containsSemiMixedTypes="0" containsString="0" containsNumber="1">
        <n v="47445.01"/>
        <n v="167445.01"/>
        <n v="57445.01000000001"/>
        <n v="67445.01000000001"/>
        <n v="67295.01000000001"/>
        <n v="67268.01000000001"/>
        <n v="217268.01"/>
        <n v="117038.01000000001"/>
        <n v="64844.01000000001"/>
        <n v="64704.01000000001"/>
        <n v="59560.01000000001"/>
        <n v="159560.01"/>
        <n v="759560.01"/>
        <n v="259560.01"/>
        <n v="223262.01"/>
        <n v="183364.01"/>
        <n v="110864.01000000001"/>
        <n v="74566.01000000001"/>
        <n v="274566.01"/>
        <n v="24566.01000000001"/>
        <n v="124566.01000000001"/>
        <n v="924566.01"/>
        <n v="294566.01"/>
        <n v="28082.01000000001"/>
        <n v="566517.01"/>
        <n v="45164.01000000001"/>
        <n v="34076.01000000001"/>
        <n v="334076.01"/>
        <n v="384076.01"/>
        <n v="264076.01"/>
        <n v="296449.01"/>
        <n v="246449.01"/>
        <n v="214076.01"/>
        <n v="44815.01000000001"/>
        <n v="744815.01"/>
        <n v="35515.01000000001"/>
        <n v="65515.01000000001"/>
        <n v="65502.71000000001"/>
        <n v="65500.50000000001"/>
        <n v="80500.5"/>
        <n v="129646.7"/>
        <n v="150125.7"/>
        <n v="489185.10000000003"/>
        <n v="506966.7"/>
        <n v="521966.7"/>
        <n v="685558.2"/>
        <n v="761606.7"/>
        <n v="763173.7"/>
        <n v="766353.7"/>
        <n v="542473.7"/>
        <n v="638100.5"/>
        <n v="692739.2"/>
        <n v="683672.2"/>
        <n v="459872.19999999995"/>
        <n v="489872.19999999995"/>
        <n v="546775.2"/>
        <n v="621286.7999999999"/>
        <n v="621281.1"/>
        <n v="621280.08"/>
      </sharedItems>
    </cacheField>
    <cacheField name="BUSINESS UNIT" numFmtId="0">
      <sharedItems>
        <s v="HO"/>
        <s v="Aravali Heights"/>
        <s v="Casa Romana"/>
      </sharedItems>
    </cacheField>
    <cacheField name="HEAD" numFmtId="0">
      <sharedItems containsBlank="1">
        <m/>
        <s v="Internal"/>
        <s v="Bank Charges"/>
        <s v="EPF/ESI"/>
        <s v="Salary HO"/>
        <s v="Professional"/>
        <s v="Tax"/>
        <s v="Electricity"/>
        <s v="Vendor"/>
      </sharedItems>
    </cacheField>
    <cacheField name="SUB HEAD" numFmtId="0">
      <sharedItems containsString="0" containsBlank="1">
        <m/>
      </sharedItems>
    </cacheField>
    <cacheField name="RECO" numFmtId="0">
      <sharedItems containsBlank="1">
        <m/>
        <s v="Entry"/>
      </sharedItems>
    </cacheField>
    <cacheField name="TYPE FOR RERA IDW" numFmtId="0">
      <sharedItems>
        <s v="Opening Balance"/>
        <s v="AH - CR"/>
        <s v="Free &amp; IDW Loan"/>
        <s v="HO - Admin"/>
        <s v="Internal"/>
        <s v="Dev- Apt"/>
        <s v="Master to Free"/>
        <s v="TDS - Cons"/>
        <s v="Credit- no effect"/>
      </sharedItems>
    </cacheField>
    <cacheField name="TCP Head" numFmtId="0">
      <sharedItems containsBlank="1">
        <m/>
        <s v="Internal transfer"/>
        <s v="Other- Others"/>
        <s v="Other- Administrative Expenses"/>
        <s v="IDW Civil Works"/>
      </sharedItems>
    </cacheField>
    <cacheField name="CONCERN" numFmtId="0">
      <sharedItems containsString="0" containsBlank="1">
        <m/>
      </sharedItems>
    </cacheField>
    <cacheField name="CUST ID" numFmtId="0">
      <sharedItems containsString="0" containsBlank="1">
        <m/>
      </sharedItems>
    </cacheField>
    <cacheField name="APT#" numFmtId="0">
      <sharedItems containsString="0" containsBlank="1">
        <m/>
      </sharedItems>
    </cacheField>
    <cacheField name="ACC REMARKS" numFmtId="0">
      <sharedItems containsBlank="1">
        <m/>
        <s v="N/A"/>
        <s v="Bank Charges"/>
        <s v="GST On Bank Charges"/>
        <s v="EPF"/>
        <s v="Professional Fee"/>
        <s v="Tax"/>
        <s v="Electricity Charges - DHBVN"/>
        <s v="Advertising Expenses"/>
        <s v="TDS "/>
        <s v="Professional Fees"/>
        <s v="TDS"/>
        <s v="Bank Debit"/>
      </sharedItems>
    </cacheField>
    <cacheField name="CRM REMARKS" numFmtId="0">
      <sharedItems containsString="0" containsBlank="1">
        <m/>
      </sharedItems>
    </cacheField>
    <cacheField name="NARRATION" numFmtId="0">
      <sharedItems containsBlank="1">
        <m/>
        <s v="Internal Fund Transfer (From BOM 905 to xHTRA) | Ref: 609499021382 | Type: AH - CR | BU: Aravali Heights | Head: Internal"/>
        <s v="Internal Fund Transfer (From xHTRA to BOM 905) | Ref: N/A | Type: Free &amp; IDW Loan | BU: Casa Romana | Head: Internal"/>
        <s v="Internal Fund Transfer (From BOM 905 to xHTRA) | Ref: N/A | Type: AH - CR | BU: Aravali Heights | Head: Internal"/>
        <s v="Payment Disbursement (Purpose: Bank Charges) | To: LF CHG CA AC | Ref: N/A | BU: HO | Head: Bank Charges"/>
        <s v="Payment Disbursement (Purpose: GST On Bank Charges) | To: GST | Ref: N/A | BU: HO | Head: Bank Charges"/>
        <s v="Internal Fund Transfer (From BOM 905 to xHTRA) | Ref: N/A | Type: Internal | BU: Casa Romana | Head: Internal"/>
        <s v="Payment Disbursement (Purpose: EPF) | To: EMPLOYEES PROVIDENT FUND ORGANISATION | Ref: N/A | BU: Casa Romana | Head: EPF/ESI"/>
        <s v="Payment Disbursement (Purpose: EPF) | To: BILLDESK | Ref: N/A | BU: Casa Romana | Head: EPF/ESI"/>
        <s v="Payment Disbursement (Purpose: Salary) | To: Diksha Sharma | Ref: N/A | BU: HO | Head: Salary HO"/>
        <s v="Payment Disbursement (Purpose: Salary) | To: Rahul Singla | Ref: N/A | BU: HO | Head: Salary HO"/>
        <s v="Payment Disbursement (Purpose: Professional Fee) | To: Nikhil Manocha and CO | Ref: N/A | BU: HO | Head: Professional"/>
        <s v="Payment Disbursement (Purpose: Salary) | To: Mr. MUKESH KUMAR RAY | Ref: N/A | BU: HO | Head: Salary HO"/>
        <s v="Payment Disbursement (Purpose: Tax) | To: BANK OF MAHARASHTRA GST POOL ACCOUNT | Ref: N/A | BU: HO | Head: Tax"/>
        <s v="Internal Fund Transfer (From BOM 905 to xHTRA) | Ref: N/A | Type: Free &amp; IDW Loan | BU: Casa Romana | Head: Internal"/>
        <s v="Payment Disbursement (Purpose: Electricity Charges - DHBVN) | To: BILLDESK | Ref: N/A | BU: Casa Romana | Head: Electricity"/>
        <s v="Internal Fund Transfer (From BOM 905 to xHTRA) | Ref: N/A | Type: Master to Free | BU: Casa Romana | Head: Internal"/>
        <s v="Payment Disbursement (Purpose: Advertising Expenses) | To: Falcon Advertisers | Ref: N/A | BU: HO | Head: Vendor"/>
        <s v="Payment Disbursement (Purpose: TDS ) | To: Central Govt Taxes | Ref: N/A | BU: Aravali Heights | Head: Tax"/>
        <s v="Payment Disbursement (Purpose: TDS ) | To: Central Govt Taxes | Ref: N/A | BU: Casa Romana | Head: Tax"/>
        <s v="Internal Transfer | Ref: N/A | Type: Credit- no effect | BU: Casa Romana | Head: Internal"/>
        <s v="Payment Disbursement (Purpose: N/A) | To: Shivam Sorewala | Ref: N/A | BU: Casa Romana | Head:"/>
        <s v="Payment Disbursement (Purpose: Bank Charges) | To: MONTHLY SMS CHA | Ref: N/A | BU: Casa Romana | Head: Bank Charges"/>
        <s v="Payment Disbursement (Purpose: GST On Bank Charges) | To: GST | Ref: N/A | BU: Casa Romana | Head: Bank Charges"/>
        <s v="Payment Disbursement (Purpose: Professional Fees) | To: Lekh Raj Bajaj | Ref: N/A | BU: HO | Head: Professional"/>
        <s v="Payment Disbursement (Purpose: TDS) | To: Mr. MUKESH KUMAR RAY | Ref: N/A | BU: Casa Romana | Head: Tax"/>
        <s v="Payment Disbursement (Purpose: Professional Fees) | To: LEKH RAJ BAJAJ | Ref: 155665 | BU: HO | Head: Professional"/>
        <s v="Payment Disbursement (Purpose: Bank Debit) | To: MONTHLY SMS CHA | Ref: N/A | BU: HO | Head: Bank Charges"/>
        <s v="Payment Disbursement (Purpose: Bank Debit) | To: GST | Ref: N/A | BU: HO | Head: Bank Charges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W37" sheet="BOM 675"/>
  </cacheSource>
  <cacheFields>
    <cacheField name="SL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</sharedItems>
    </cacheField>
    <cacheField name="QTR" numFmtId="0">
      <sharedItems containsBlank="1">
        <m/>
        <e v="#NAME?"/>
      </sharedItems>
    </cacheField>
    <cacheField name="MONTH" numFmtId="0">
      <sharedItems containsSemiMixedTypes="0" containsString="0" containsNumber="1" containsInteger="1">
        <n v="4.0"/>
        <n v="5.0"/>
        <n v="6.0"/>
      </sharedItems>
    </cacheField>
    <cacheField name="TXN DATE" numFmtId="166">
      <sharedItems containsSemiMixedTypes="0" containsDate="1" containsString="0">
        <d v="2025-04-01T00:00:00Z"/>
        <d v="2026-05-21T00:00:00Z"/>
        <d v="2026-05-22T00:00:00Z"/>
        <d v="2026-05-23T00:00:00Z"/>
        <d v="2026-05-25T00:00:00Z"/>
        <d v="2026-05-27T00:00:00Z"/>
        <d v="2026-05-29T00:00:00Z"/>
        <d v="2026-05-30T00:00:00Z"/>
        <d v="2026-06-01T00:00:00Z"/>
        <d v="2026-06-02T00:00:00Z"/>
        <d v="2026-06-04T00:00:00Z"/>
        <d v="2026-06-05T00:00:00Z"/>
        <d v="2026-06-06T00:00:00Z"/>
        <d v="2026-06-07T00:00:00Z"/>
        <d v="2026-06-12T00:00:00Z"/>
        <d v="2026-06-15T00:00:00Z"/>
        <d v="2026-06-18T00:00:00Z"/>
        <d v="2026-06-20T00:00:00Z"/>
      </sharedItems>
    </cacheField>
    <cacheField name="VALUE DATE" numFmtId="166">
      <sharedItems containsSemiMixedTypes="0" containsDate="1" containsString="0">
        <d v="2025-04-01T00:00:00Z"/>
        <d v="2026-05-21T00:00:00Z"/>
        <d v="2026-05-22T00:00:00Z"/>
        <d v="2026-05-23T00:00:00Z"/>
        <d v="2026-05-25T00:00:00Z"/>
        <d v="2026-05-27T00:00:00Z"/>
        <d v="2026-05-29T00:00:00Z"/>
        <d v="2026-05-30T00:00:00Z"/>
        <d v="2026-06-01T00:00:00Z"/>
        <d v="2026-06-02T00:00:00Z"/>
        <d v="2026-06-04T00:00:00Z"/>
        <d v="2026-06-05T00:00:00Z"/>
        <d v="2026-06-06T00:00:00Z"/>
        <d v="2026-06-07T00:00:00Z"/>
        <d v="2026-06-12T00:00:00Z"/>
        <d v="2026-06-15T00:00:00Z"/>
        <d v="2026-06-18T00:00:00Z"/>
        <d v="2026-06-20T00:00:00Z"/>
      </sharedItems>
    </cacheField>
    <cacheField name="TYPE" numFmtId="0">
      <sharedItems>
        <s v="OP"/>
        <s v="Charges"/>
      </sharedItems>
    </cacheField>
    <cacheField name="DESCRIPTION" numFmtId="0">
      <sharedItems>
        <s v="b/f"/>
        <s v="NEFT MAHBN12026052153213157 Dwarkadhis Projects Pv YESB0000455"/>
        <s v="NEFT YESBN12026052205879579 DWARKADHIS PROJECTS PV YESB0000001"/>
        <s v="NEFT MAHBN12026052253318628 Sahil Yadav BARB0PATAUD"/>
        <s v="NEFT MAHBN12026052253319210 Diksha Sharma SBIN0050104"/>
        <s v="NEFT MAHBN12026052253319440 Rahul Singla HDFC0000302"/>
        <s v="NEFT MAHBN12026052253319938 Nikhil Manocha and CO SBIN0011600"/>
        <s v="tfr TO 68011054006 TRANSFER TO 68011054006 TO Mr. MUKESH KUMAR RAY"/>
        <s v="ONLINE esi DBOMCXW1KSID49 TO 60037971586 TRANSFER TO 60037971586 TO BILLDESK"/>
        <s v="EPFO PAYMENT, TRRN :2605101252686 TO 60417258123 TRANSFER TO 60417258123 TO EMPLOYEES PROVIDENT FUND ORGANISATION"/>
        <s v="NEFT MAHBN12026052253321845 India Pride Com CNRB0001565"/>
        <s v="NEFT YESBN12026052303507017 DWARKADHIS PROJECTS PV YESB0000001"/>
        <s v="NEFT MAHBN12026052353358488 Dwarkadhis Projects Pv YESB0000455"/>
        <s v="NEFT YESBN12026052505677800 DWARKADHIS PROJECTS PR YESB0000001"/>
        <s v="NEFT YESBN12026052705673390 DWARKADHIS PROJECTS PR YESB0000001"/>
        <s v="NEFT YESBN12026052905279134 DWARKADHIS PROJECTS PR YESB0000001"/>
        <s v="NEFT MAHBN12026053053964408 Claim Bridge Technolog ICIC0001070"/>
        <s v="NEFT MAHBN12026060154053152 Dwarkadhis Projects Pv YESB0000455"/>
        <s v="NEFT YESBN12026060205472626 DWARKADHIS PROJECTS PR&#10; &#10; YESB0000001"/>
        <s v="NEFT YESBN12026060405589388 DWARKADHIS PROJECTS PR&#10; &#10; YESB0000001"/>
        <s v="NEFT MAHBN12026060554693445 Naresh k Jain&#10; &#10; UBIN0825492"/>
        <s v="NEFT MAHBN12026060554694381 Dwarkadhis Projects Pv&#10; &#10; YESB0000455"/>
        <s v="NEFT MAHBN12026060654782285 Dwarkadhis Projects Pv&#10; &#10; YESB0000455"/>
        <s v="NEFT YESBN12026060606662118 DWARKADHIS PROJECTS PR&#10; &#10; YESB0000001"/>
        <s v="NEFT YESBN12026060705320854 DWARKADHIS PROJECTS PV&#10; &#10; YESB0000001"/>
        <s v="TI-070620265TINTAX 26060700189628&#10; &#10;  TO 60425114191&#10; &#10; TRANSFER TO 60425114191&#10; &#10; TO Central Govt Taxes"/>
        <s v="NEFT YESBN12026061205194650 DWARKADHIS PROJECTS PR&#10;YESB0000001                                       "/>
        <s v="NEFT YESBN12026061205196948 DWARKADHIS PROJECTS PV&#10;YESB0000001                                       "/>
        <s v="EPFO PAYMENT, TRRN :2606101283941&#10; TO 60417258123&#10;TRANSFER TO 60417258123&#10;TO EMPLOYEES PROVIDENT FUND ORGANISATION          "/>
        <s v="ONLINE esi DBOMSJ01MPNULH&#10; TO 60037971586&#10;TRANSFER TO 60037971586&#10;TO  BILLDESK                                      "/>
        <s v="ONLINE esi DBOMBAB1MYT03Y&#10; TO 60037971586&#10;TRANSFER TO 60037971586&#10;TO  BILLDESK                                      "/>
        <s v="RTGS YESBR12026061800038695 DWARKADHIS PROJECTS PR&#10;YESB0000001                                       "/>
        <s v="ONLINE elect DBOMC0T1N9RTL2&#10; TO 60037971586&#10;TRANSFER TO 60037971586&#10;TO  BILLDESK                                      "/>
        <s v="NEFT YESBN12026062005527829 DWARKADHIS PROJECTS PV&#10; &#10; YESB0000001"/>
        <s v="GS-200620265GSTTAX 26060600213942&#10; &#10;  TO 60285510225&#10; &#10; TRANSFER TO 60285510225&#10; &#10; TO BANK OF MAHARASHTRA GST POOL ACCOUNT"/>
      </sharedItems>
    </cacheField>
    <cacheField name="REFERENCE">
      <sharedItems containsBlank="1" containsMixedTypes="1" containsNumber="1" containsInteger="1">
        <m/>
        <n v="2.606101283941E12"/>
        <s v="ONLINE"/>
        <n v="2.6060600213942E13"/>
      </sharedItems>
    </cacheField>
    <cacheField name="DEBITS" numFmtId="0">
      <sharedItems containsString="0" containsBlank="1" containsNumber="1" containsInteger="1">
        <m/>
        <n v="1.0"/>
        <n v="9124.0"/>
        <n v="36298.0"/>
        <n v="39898.0"/>
        <n v="72500.0"/>
        <n v="5979.0"/>
        <n v="55732.0"/>
        <n v="4885.0"/>
        <n v="150000.0"/>
        <n v="6500.0"/>
        <n v="2500.0"/>
        <n v="210000.0"/>
        <n v="137865.0"/>
        <n v="72852.0"/>
        <n v="289.0"/>
        <n v="6148.0"/>
        <n v="226721.0"/>
        <n v="31860.0"/>
      </sharedItems>
    </cacheField>
    <cacheField name="CREDITS" numFmtId="165">
      <sharedItems containsString="0" containsBlank="1" containsNumber="1">
        <n v="16046.72"/>
        <m/>
        <n v="260000.0"/>
        <n v="150000.0"/>
        <n v="47664.0"/>
        <n v="15612.0"/>
        <n v="93996.3"/>
        <n v="39623.1"/>
        <n v="31504.0"/>
        <n v="106361.0"/>
        <n v="64309.0"/>
        <n v="15520.0"/>
        <n v="226721.0"/>
        <n v="30000.0"/>
      </sharedItems>
    </cacheField>
    <cacheField name="BALANCE" numFmtId="165">
      <sharedItems containsSemiMixedTypes="0" containsString="0" containsNumber="1">
        <n v="16046.72"/>
        <n v="16045.72"/>
        <n v="276045.72"/>
        <n v="266921.72"/>
        <n v="230623.71999999997"/>
        <n v="190725.71999999997"/>
        <n v="118225.71999999997"/>
        <n v="81927.71999999997"/>
        <n v="75948.71999999997"/>
        <n v="20216.719999999972"/>
        <n v="15331.719999999972"/>
        <n v="165331.71999999997"/>
        <n v="62995.71999999997"/>
        <n v="78607.71999999997"/>
        <n v="94219.71999999997"/>
        <n v="87719.71999999997"/>
        <n v="87718.71999999997"/>
        <n v="181715.01999999996"/>
        <n v="221338.11999999997"/>
        <n v="218838.11999999997"/>
        <n v="8838.119999999966"/>
        <n v="8837.119999999966"/>
        <n v="40341.119999999966"/>
        <n v="146702.11999999997"/>
        <n v="73146.11999999997"/>
        <n v="88666.11999999997"/>
        <n v="15814.119999999966"/>
        <n v="15525.119999999966"/>
        <n v="9377.119999999966"/>
        <n v="236098.11999999997"/>
        <n v="39377.119999999966"/>
        <n v="7517.119999999966"/>
      </sharedItems>
    </cacheField>
    <cacheField name="BUSINESS UNIT" numFmtId="0">
      <sharedItems containsBlank="1">
        <m/>
        <s v="HO"/>
        <s v="Aravali Heights"/>
        <s v="Casa Romana"/>
      </sharedItems>
    </cacheField>
    <cacheField name="HEAD" numFmtId="0">
      <sharedItems containsBlank="1">
        <m/>
        <s v="Internal"/>
        <s v="Salary HO"/>
        <s v="Professional"/>
        <s v="EPF/ESI"/>
        <s v="Vendor"/>
        <s v="Tax"/>
        <s v="Electricity"/>
      </sharedItems>
    </cacheField>
    <cacheField name="SUB HEAD" numFmtId="0">
      <sharedItems containsString="0" containsBlank="1">
        <m/>
      </sharedItems>
    </cacheField>
    <cacheField name="RECO" numFmtId="0">
      <sharedItems containsBlank="1">
        <m/>
        <s v="Entry"/>
      </sharedItems>
    </cacheField>
    <cacheField name="TYPE FOR RERA IDW" numFmtId="0">
      <sharedItems containsBlank="1">
        <m/>
        <s v="Internal"/>
        <s v="AH - CR"/>
        <s v="HO - Admin"/>
        <s v="Free &amp; IDW Loan"/>
        <s v="Master to Free"/>
        <s v="Dev- Apt"/>
      </sharedItems>
    </cacheField>
    <cacheField name="TCP Head" numFmtId="0">
      <sharedItems containsBlank="1">
        <m/>
        <s v="Internal transfer"/>
        <s v="Credit- no effect"/>
        <s v="Other- Administrative Expenses"/>
        <s v="IDW Civil Works"/>
      </sharedItems>
    </cacheField>
    <cacheField name="CONCERN" numFmtId="0">
      <sharedItems containsString="0" containsBlank="1">
        <m/>
      </sharedItems>
    </cacheField>
    <cacheField name="CUST ID" numFmtId="0">
      <sharedItems containsString="0" containsBlank="1">
        <m/>
      </sharedItems>
    </cacheField>
    <cacheField name="APT#" numFmtId="0">
      <sharedItems containsString="0" containsBlank="1">
        <m/>
      </sharedItems>
    </cacheField>
    <cacheField name="ACC REMARKS" numFmtId="0">
      <sharedItems containsBlank="1">
        <m/>
        <s v="N/A"/>
        <s v="Professional Fee"/>
        <s v="EPF"/>
        <s v="Website &amp; Software Charges"/>
        <s v="Business Promotion E Voting Event Held"/>
        <s v="Certification Charge , Certificate Regarding Inflow And Outflow Of Funds "/>
        <s v="TDS"/>
        <s v="ESI"/>
        <s v="GST Month of May 26"/>
      </sharedItems>
    </cacheField>
    <cacheField name="CRM REMARKS" numFmtId="0">
      <sharedItems containsString="0" containsBlank="1">
        <m/>
      </sharedItems>
    </cacheField>
    <cacheField name="NARRATION" numFmtId="0">
      <sharedItems containsBlank="1">
        <m/>
        <s v="Internal Fund Transfer | To: x3157 | Ref: N/A | Type: Internal | BU: HO | Head: Internal"/>
        <s v="Internal Fund Transfer | To: BOM 675 | Ref: N/A | Type: AH - CR | BU: Aravali Heights | Head: Internal"/>
        <s v="Payment Disbursement (Purpose: Salary) | To: Sahil Yadav | Ref: N/A | BU: HO | Head: Salary HO"/>
        <s v="Payment Disbursement (Purpose: Salary) | To: Diksha Sharma | Ref: N/A | BU: HO | Head: Salary HO"/>
        <s v="Payment Disbursement (Purpose: Salary) | To: Rahul Singla | Ref: N/A | BU: HO | Head: Salary HO"/>
        <s v="Payment Disbursement (Purpose: Professional Fee) | To: Nikhil Manocha and CO | Ref: N/A | BU: HO | Head: Professional"/>
        <s v="Payment Disbursement (Purpose: Salary) | To: Mr. MUKESH KUMAR RAY | Ref: N/A | BU: HO | Head: Salary HO"/>
        <s v="Payment Disbursement (Purpose: EPF) | To: BILLDESK | Ref: N/A | BU: HO | Head: EPF/ESI"/>
        <s v="Payment Disbursement (Purpose: EPF) | To: EMPLOYEES PROVIDENT FUND ORGANISATION | Ref: N/A | BU: HO | Head: EPF/ESI"/>
        <s v="Payment Disbursement (Purpose: Website &amp; Software Charges) | To: India Pride Com | Ref: N/A | BU: HO | Head: Vendor"/>
        <s v="Internal Fund Transfer | To: x8488 | Ref: N/A | Type: Free &amp; IDW Loan | BU: Casa Romana | Head: Internal"/>
        <s v="Internal Fund Transfer | To: BOM 675 | Ref: N/A | Type: Master to Free | BU: Casa Romana | Head: Internal"/>
        <s v="Payment Disbursement (Purpose: Business Promotion E Voting Event Held) | To: Claim Bridge Technolog | Ref: N/A | BU: Casa Romana | Head: Vendor"/>
        <s v="Internal Fund Transfer | To: x3152 | Ref: N/A | Type: Internal | BU: Casa Romana | Head: Internal"/>
        <s v="Payment Disbursement (Purpose: Certification Charge , Certificate Regarding Inflow And Outflow Of Funds ) | To: Naresh k Jain | Ref: N/A | BU: Casa Romana | Head: Professional"/>
        <s v="Internal Fund Transfer | To: x4381 | Ref: N/A | Type: Internal | BU: Casa Romana | Head: Internal"/>
        <s v="Internal Fund Transfer | To: x2285 | Ref: N/A | Type: Internal | BU: Casa Romana | Head: Internal"/>
        <s v="Internal Fund Transfer | To: BOM 675 | Ref: N/A | Type: Internal | BU: Casa Romana | Head: Internal"/>
        <s v="Payment Disbursement (Purpose: TDS) | To: Central Govt Taxes | Ref: N/A | BU: Casa Romana | Head: Tax"/>
        <s v="Payment Disbursement (Purpose: EPF) | To: EMPLOYEES PROVIDENT FUND ORGANISATION | Ref: 2606101283941 | BU: Casa Romana | Head: EPF/ESI"/>
        <s v="Payment Disbursement (Purpose: ESI) | To: BILLDESK | Ref: ONLINE | BU: Casa Romana | Head: EPF/ESI"/>
        <s v="Payment Disbursement (Purpose: EPF) | To: BILLDESK | Ref: ONLINE | BU: Casa Romana | Head: EPF/ESI"/>
        <s v="Internal Fund Transfer | To: BOM 675 | Ref: N/A | Type: Free &amp; IDW Loan | BU: Casa Romana | Head: Internal"/>
        <s v="Payment Disbursement (Purpose: N/A) | To: BILLDESK | Ref: N/A | BU: Casa Romana | Head: Electricity"/>
        <s v="Internal Fund Transfer | To: BOM 675 | Ref: N/A | Type: Internal | BU: HO | Head: Internal"/>
        <s v="Payment Disbursement (Purpose: GST Month of May 26) | To: BANK OF MAHARASHTRA GST POOL ACCOUNT | Ref: 26060600213942 | BU: HO | Head: Tax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V34" sheet="YES AH IDW 2457"/>
  </cacheSource>
  <cacheFields>
    <cacheField name="SL#" numFmtId="0">
      <sharedItems containsString="0" containsBlank="1" containsNumber="1" containsInteger="1">
        <m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QTR" numFmtId="0">
      <sharedItems containsBlank="1">
        <m/>
        <e v="#NAME?"/>
      </sharedItems>
    </cacheField>
    <cacheField name="MONTH" numFmtId="0">
      <sharedItems containsString="0" containsBlank="1" containsNumber="1" containsInteger="1">
        <m/>
        <n v="8.0"/>
        <n v="7.0"/>
        <n v="6.0"/>
        <n v="5.0"/>
        <n v="4.0"/>
      </sharedItems>
    </cacheField>
    <cacheField name="TXN DATE" numFmtId="0">
      <sharedItems containsDate="1" containsString="0" containsBlank="1">
        <m/>
        <d v="2026-08-20T00:00:00Z"/>
        <d v="2026-08-14T00:00:00Z"/>
        <d v="2026-08-08T00:00:00Z"/>
        <d v="2026-07-28T00:00:00Z"/>
        <d v="2026-07-21T00:00:00Z"/>
        <d v="2026-07-06T00:00:00Z"/>
        <d v="2026-07-01T00:00:00Z"/>
        <d v="2026-06-23T00:00:00Z"/>
        <d v="2026-06-22T00:00:00Z"/>
        <d v="2026-06-20T00:00:00Z"/>
        <d v="2026-06-18T00:00:00Z"/>
        <d v="2026-06-17T00:00:00Z"/>
        <d v="2026-06-11T00:00:00Z"/>
        <d v="2026-06-07T00:00:00Z"/>
        <d v="2026-05-25T00:00:00Z"/>
        <d v="2026-04-01T00:00:00Z"/>
      </sharedItems>
    </cacheField>
    <cacheField name="VALUE DATE">
      <sharedItems containsDate="1" containsBlank="1" containsMixedTypes="1">
        <m/>
        <d v="2026-08-20T00:00:00Z"/>
        <s v="14/08/2026"/>
        <d v="2026-08-08T00:00:00Z"/>
        <d v="2026-07-28T00:00:00Z"/>
        <d v="2026-07-21T00:00:00Z"/>
        <d v="2026-07-06T00:00:00Z"/>
        <d v="2026-07-01T00:00:00Z"/>
        <d v="2026-06-23T00:00:00Z"/>
        <d v="2026-06-22T00:00:00Z"/>
        <d v="2026-06-20T00:00:00Z"/>
        <d v="2026-06-18T00:00:00Z"/>
        <d v="2026-06-17T00:00:00Z"/>
        <d v="2026-06-11T00:00:00Z"/>
        <d v="2026-06-09T00:00:00Z"/>
        <d v="2026-06-07T00:00:00Z"/>
        <d v="2026-05-25T00:00:00Z"/>
        <d v="2026-04-01T00:00:00Z"/>
      </sharedItems>
    </cacheField>
    <cacheField name="TYPE" numFmtId="0">
      <sharedItems containsString="0" containsBlank="1">
        <m/>
      </sharedItems>
    </cacheField>
    <cacheField name="DESCRIPTION" numFmtId="0">
      <sharedItems containsBlank="1">
        <m/>
        <s v="IMPS/NA/XXXX8159/RRN:623289391977/PC453184720725065/STATE BANK OF I/Sapna/For Electricity Meter D2 25"/>
        <s v="YIB-NEFT-YESME62320044350-Aravali Height Resident Walfare Association-ICIC0001629-For Electricty Metre A2 102-ICICI BANK"/>
        <s v="YIB-TPT-DWARKADHIS PROJECTS PVT LTD IN CIRP ARAVALI HEIGHT-045563400002314"/>
        <s v="IMPS/NA/XXXX0527/RRN:622685346843/PC447946368941012/STATE BANK OF I/Diksha Sharma/Imprest"/>
        <s v="YIB-NEFT-YESME62200027012-Goel Electricals-HDFC0005460-Vendor-HDFC BANK"/>
        <s v="YIB-TPT-DWARKADHIS PROJECTS PVT LTD IN CIRP CASA ROMANA FR-045563400002477"/>
        <s v="YIB-TPT-DWARKADHIS PROJECTS PVT LTD IN CIRP ARAVALI HEIGHTS-internal-045563400002314"/>
        <s v="IMPS/ARAVALI MAINTENANCE SERVICES PRIVATE LIMITED/XXX1000/RRN:620912348711/AXIS BANK"/>
        <s v="IMPS/NA/XXXX9675/RRN:618748887784/PC408545856194489/BANK OF MAHARAS/Dwarkadhis Projects Pvt Ltd/For TDSBOM9675"/>
        <s v="YIB-NEFT-YESME61820074606-S S Paints-HDFC0001977-Vendor-HDFC BANK"/>
        <s v="YIB-TPT-DWARKADHIS PROJECTS PVT LTD IN CIRP CASA ROMANA FREE-tfr-045563400002477"/>
        <s v="YIB-NEFT-YESME61740041072-S S Paints-HDFC0001977-Vendor-HDFC BANK"/>
        <s v="YIB-NEFT-YESME61730059650-Goel Electricals-HDFC0005460-Vendor-HDFC BANK"/>
        <s v="YIB-NEFT-YESME61730060812-Prayag Polymers Limited-KKBK0000214-Vendor-KOTAK MAHINDRA BANK LIMITED"/>
        <s v="YIB-NEFT-YESME61690043785-SN Ltd-BARB0MAYVIH-Vendor-BANK OF BARODA"/>
        <s v="YIB-NEFT-YESME61690029449-Aravali Height Resident Walfare Association-ICIC0001629-electricity metre B5 001-ICICI BANK LI"/>
        <s v="YIB-NEFT-YESME61620064305-Ravi Vats-UBIN0567370-Imprest-UNION BANK OF INDIA"/>
        <s v="YIB-NEFT-YESME61600066654-DK Plywood Pvt Ltd-PUNB0399300-Vendor-PUNJAB NATIONAL BANK"/>
        <s v="YIB-NEFT-YESME61580007065-Rajesh Kumar-HDFC0005460-Contractor-HDFC BANK"/>
        <s v="B/F ..."/>
      </sharedItems>
    </cacheField>
    <cacheField name="REFERENCE" numFmtId="0">
      <sharedItems containsBlank="1">
        <m/>
        <s v="YESI66232006882600"/>
        <s v="YESME6232004435000"/>
        <s v="YESME6232003605500"/>
        <s v="YESI66226008971200"/>
        <s v="YESME6226004933600"/>
        <s v="YESME6220002701200"/>
        <s v="YESME6220001807900"/>
        <s v="YESME6218005815500"/>
        <s v="YESME6209001673100"/>
        <s v="YBP6209631362044"/>
        <s v="YESME6202001955300"/>
        <s v="YESI66187010622500"/>
        <s v="YESME6182007460600"/>
        <s v="YESME6174004107300"/>
        <s v="YESME6174004107200"/>
        <s v="YESME6174004040900"/>
        <s v="YESME6173005965000                      "/>
        <s v="YESME6173006081200                      "/>
        <s v="YESME6173005891200                      "/>
        <s v="YESME6171003990900                      "/>
        <s v="YESME6171003575700                      "/>
        <s v="YESME6169004378500"/>
        <s v="YESME6169002944900"/>
        <s v="YESME6169003112100"/>
        <s v="YESME6168002968500"/>
        <s v="YESME6162006430500"/>
        <s v="YESME6160006665400"/>
        <s v="YESME6158000706500"/>
        <s v="YESME6145006593800"/>
      </sharedItems>
    </cacheField>
    <cacheField name="DEBITS">
      <sharedItems containsBlank="1" containsMixedTypes="1" containsNumber="1" containsInteger="1">
        <m/>
        <n v="7080.0"/>
        <n v="10000.0"/>
        <n v="44155.0"/>
        <n v="100000.0"/>
        <n v="1000.0"/>
        <n v="1083.0"/>
        <n v="500000.0"/>
        <n v="7000.0"/>
        <n v="28962.0"/>
        <n v="55423.0"/>
        <s v=""/>
        <n v="60000.0"/>
        <n v="16615.0"/>
        <n v="300000.0"/>
        <n v="33074.0"/>
        <n v="7920.0"/>
      </sharedItems>
    </cacheField>
    <cacheField name="CREDITS">
      <sharedItems containsBlank="1" containsMixedTypes="1" containsNumber="1" containsInteger="1">
        <m/>
        <n v="15000.0"/>
        <n v="50000.0"/>
        <n v="100000.0"/>
        <n v="500000.0"/>
        <s v=""/>
        <n v="200000.0"/>
        <n v="40000.0"/>
        <n v="0.0"/>
      </sharedItems>
    </cacheField>
    <cacheField name="BALANCE" numFmtId="0">
      <sharedItems containsString="0" containsBlank="1" containsNumber="1" containsInteger="1">
        <m/>
        <n v="13528.0"/>
        <n v="20608.0"/>
        <n v="27688.0"/>
        <n v="12688.0"/>
        <n v="22688.0"/>
        <n v="7688.0"/>
        <n v="51843.0"/>
        <n v="1843.0"/>
        <n v="11843.0"/>
        <n v="111843.0"/>
        <n v="112843.0"/>
        <n v="113926.0"/>
        <n v="613926.0"/>
        <n v="620926.0"/>
        <n v="120926.0"/>
        <n v="149888.0"/>
        <n v="205311.0"/>
        <n v="5311.0"/>
        <n v="65311.0"/>
        <n v="25311.0"/>
        <n v="41926.0"/>
        <n v="49006.0"/>
        <n v="149006.0"/>
        <n v="449006.0"/>
        <n v="459006.0"/>
        <n v="492080.0"/>
        <n v="500000.0"/>
        <n v="0.0"/>
      </sharedItems>
    </cacheField>
    <cacheField name="BUSINESS UNIT" numFmtId="0">
      <sharedItems containsBlank="1">
        <m/>
        <s v="Aravali Heights"/>
        <s v="Casa Romana"/>
      </sharedItems>
    </cacheField>
    <cacheField name="HEAD" numFmtId="0">
      <sharedItems containsBlank="1">
        <m/>
        <s v="Vendor"/>
        <s v="Internal"/>
        <s v="Imprest"/>
        <s v="Loan"/>
        <s v="Contractor"/>
      </sharedItems>
    </cacheField>
    <cacheField name="SUB HEAD" numFmtId="0">
      <sharedItems containsString="0" containsBlank="1">
        <m/>
      </sharedItems>
    </cacheField>
    <cacheField name="RECO" numFmtId="0">
      <sharedItems containsBlank="1">
        <m/>
        <s v="Reco"/>
        <s v="Entry"/>
      </sharedItems>
    </cacheField>
    <cacheField name="TYPE FOR RERA IDW" numFmtId="0">
      <sharedItems containsBlank="1">
        <m/>
        <s v="Dev- Apt"/>
        <s v="Internal"/>
        <s v="AH - CR"/>
      </sharedItems>
    </cacheField>
    <cacheField name="TCP Head" numFmtId="0">
      <sharedItems containsBlank="1">
        <m/>
        <s v="IDW Civil Works"/>
        <s v="Internal transfer"/>
      </sharedItems>
    </cacheField>
    <cacheField name="CONCERN" numFmtId="0">
      <sharedItems containsString="0" containsBlank="1">
        <m/>
      </sharedItems>
    </cacheField>
    <cacheField name="CUST ID" numFmtId="0">
      <sharedItems containsString="0" containsBlank="1">
        <m/>
      </sharedItems>
    </cacheField>
    <cacheField name="APT#" numFmtId="0">
      <sharedItems containsBlank="1">
        <m/>
        <s v="D2-025"/>
        <s v="A2-102"/>
        <s v="B5-001"/>
      </sharedItems>
    </cacheField>
    <cacheField name="ACC REMARKS" numFmtId="0">
      <sharedItems containsBlank="1">
        <m/>
        <s v="Meter Charges"/>
        <s v="N/A"/>
        <s v="Imprest For Expenses"/>
        <s v="Purchase of Material for Construction"/>
        <s v="Loan"/>
        <s v="Imprest For Site Expenses"/>
        <s v="Construction Expenses"/>
      </sharedItems>
    </cacheField>
    <cacheField name="CRM REMARKS" numFmtId="0">
      <sharedItems containsString="0" containsBlank="1"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V86" sheet="YES AH 2314"/>
  </cacheSource>
  <cacheFields>
    <cacheField name="SL#" numFmtId="0">
      <sharedItems containsString="0" containsBlank="1" containsNumber="1" containsInteger="1">
        <m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QTR" numFmtId="0">
      <sharedItems containsBlank="1">
        <m/>
        <e v="#NAME?"/>
      </sharedItems>
    </cacheField>
    <cacheField name="MONTH" numFmtId="0">
      <sharedItems containsString="0" containsBlank="1" containsNumber="1" containsInteger="1">
        <m/>
        <n v="8.0"/>
        <n v="7.0"/>
        <n v="6.0"/>
        <n v="5.0"/>
        <n v="4.0"/>
      </sharedItems>
    </cacheField>
    <cacheField name="TXN DATE" numFmtId="0">
      <sharedItems containsDate="1" containsString="0" containsBlank="1">
        <m/>
        <d v="2026-08-20T00:00:00Z"/>
        <d v="2026-08-14T00:00:00Z"/>
        <d v="2026-08-06T00:00:00Z"/>
        <d v="2026-07-30T00:00:00Z"/>
        <d v="2026-07-28T00:00:00Z"/>
        <d v="2026-07-23T00:00:00Z"/>
        <d v="2026-07-21T00:00:00Z"/>
        <d v="2026-07-18T00:00:00Z"/>
        <d v="2026-07-11T00:00:00Z"/>
        <d v="2026-07-09T00:00:00Z"/>
        <d v="2026-06-25T00:00:00Z"/>
        <d v="2026-06-23T00:00:00Z"/>
        <d v="2026-06-22T00:00:00Z"/>
        <d v="2026-06-20T00:00:00Z"/>
        <d v="2026-06-15T00:00:00Z"/>
        <d v="2026-06-13T00:00:00Z"/>
        <d v="2026-06-05T00:00:00Z"/>
        <d v="2026-06-03T00:00:00Z"/>
        <d v="2026-05-25T00:00:00Z"/>
        <d v="2026-05-23T00:00:00Z"/>
        <d v="2026-05-22T00:00:00Z"/>
        <d v="2026-05-21T00:00:00Z"/>
        <d v="2026-05-15T00:00:00Z"/>
        <d v="2026-05-13T00:00:00Z"/>
        <d v="2026-05-12T00:00:00Z"/>
        <d v="2026-05-10T00:00:00Z"/>
        <d v="2026-05-08T00:00:00Z"/>
        <d v="2026-05-07T00:00:00Z"/>
        <d v="2026-05-06T00:00:00Z"/>
        <d v="2026-05-05T00:00:00Z"/>
        <d v="2026-04-30T00:00:00Z"/>
        <d v="2026-04-29T00:00:00Z"/>
        <d v="2026-04-28T00:00:00Z"/>
        <d v="2026-04-27T00:00:00Z"/>
        <d v="2026-04-25T00:00:00Z"/>
        <d v="2026-04-23T00:00:00Z"/>
        <d v="2026-04-20T00:00:00Z"/>
        <d v="2026-04-18T00:00:00Z"/>
        <d v="2026-04-16T00:00:00Z"/>
        <d v="2026-04-15T00:00:00Z"/>
        <d v="2026-04-14T00:00:00Z"/>
        <d v="2026-04-11T00:00:00Z"/>
        <d v="2026-04-10T00:00:00Z"/>
        <d v="2026-04-07T00:00:00Z"/>
        <d v="2026-04-06T00:00:00Z"/>
        <d v="2026-04-04T00:00:00Z"/>
        <d v="2026-04-03T00:00:00Z"/>
        <d v="2026-04-01T00:00:00Z"/>
      </sharedItems>
    </cacheField>
    <cacheField name="VALUE DATE" numFmtId="0">
      <sharedItems containsDate="1" containsString="0" containsBlank="1">
        <m/>
        <d v="2026-08-20T00:00:00Z"/>
        <d v="2026-08-14T00:00:00Z"/>
        <d v="2026-08-06T00:00:00Z"/>
        <d v="2026-07-30T00:00:00Z"/>
        <d v="2026-07-28T00:00:00Z"/>
        <d v="2026-07-23T00:00:00Z"/>
        <d v="2026-07-21T00:00:00Z"/>
        <d v="2026-07-18T00:00:00Z"/>
        <d v="2026-07-11T00:00:00Z"/>
        <d v="2026-07-09T00:00:00Z"/>
        <d v="2026-06-25T00:00:00Z"/>
        <d v="2026-06-23T00:00:00Z"/>
        <d v="2026-06-22T00:00:00Z"/>
        <d v="2026-06-20T00:00:00Z"/>
        <d v="2026-06-15T00:00:00Z"/>
        <d v="2026-06-13T00:00:00Z"/>
        <d v="2026-06-05T00:00:00Z"/>
        <d v="2026-06-03T00:00:00Z"/>
        <d v="2026-05-25T00:00:00Z"/>
        <d v="2026-05-23T00:00:00Z"/>
        <d v="2026-05-22T00:00:00Z"/>
        <d v="2026-05-21T00:00:00Z"/>
        <d v="2026-05-15T00:00:00Z"/>
        <d v="2026-05-13T00:00:00Z"/>
        <d v="2026-05-12T00:00:00Z"/>
        <d v="2026-05-10T00:00:00Z"/>
        <d v="2026-05-08T00:00:00Z"/>
        <d v="2026-05-07T00:00:00Z"/>
        <d v="2026-05-06T00:00:00Z"/>
        <d v="2026-05-05T00:00:00Z"/>
        <d v="2026-04-30T00:00:00Z"/>
        <d v="2026-04-29T00:00:00Z"/>
        <d v="2026-04-28T00:00:00Z"/>
        <d v="2026-04-27T00:00:00Z"/>
        <d v="2026-04-25T00:00:00Z"/>
        <d v="2026-04-23T00:00:00Z"/>
        <d v="2026-04-20T00:00:00Z"/>
        <d v="2026-04-18T00:00:00Z"/>
        <d v="2026-04-16T00:00:00Z"/>
        <d v="2026-04-15T00:00:00Z"/>
        <d v="2026-04-14T00:00:00Z"/>
        <d v="2026-04-11T00:00:00Z"/>
        <d v="2026-04-10T00:00:00Z"/>
        <d v="2026-04-07T00:00:00Z"/>
        <d v="2026-04-06T00:00:00Z"/>
        <d v="2026-04-04T00:00:00Z"/>
        <d v="2026-04-03T00:00:00Z"/>
        <d v="2026-04-01T00:00:00Z"/>
      </sharedItems>
    </cacheField>
    <cacheField name="TYPE" numFmtId="0">
      <sharedItems containsString="0" containsBlank="1">
        <m/>
      </sharedItems>
    </cacheField>
    <cacheField name="DESCRIPTION" numFmtId="0">
      <sharedItems containsBlank="1">
        <m/>
        <s v="YIB-TPT-DWARKADHIS PROJECTS PVT LTD IN CIRP ARAVALI HEIGHTS IDW-Internal-045563400002457"/>
        <s v="UPI/621877840538/From:rishi13.3.71@okicici/To:045563400002314@yesb0000455.ifsc.npci/UPI"/>
        <s v="YIB-NEFT-YESME62180057386-DWARKADHIS PROJECTS PVT LTD-MAHB0001461-for TDS Pay-BANK OF MAHARASHTRA"/>
        <s v="YIB-TPT-DWARKADHIS PROJECTS PVT LTD IN CIRP ARAVALI HEIGHT-045563400002457"/>
        <s v="YIB-RTGS-YESBR12026073000038000-Pradeep Kumar Dagar-BARB0TRDUJW-Cancellation D5 135-BANK OF BARODA"/>
        <s v="RTGS Cr-HDFC0003648-POOJA JAIN-DWARKADHIS PROJECTS PVT L-HDFCR52026073089824655"/>
        <s v="YIB-RTGS-YESBR12026072800026644-Vinod Malik-SBIN0017891-Cancellation D2 025-STATE BANK OF INDIA"/>
        <s v="CHQ DEP PNB 23-JUL-26 SOHNA ROAD"/>
        <s v="YIB-NEFT-YESME62020022059-Sarika Dua-HDFC0000250-Customer-HDFC BANK"/>
        <s v="YIB-TPT-DWARKADHIS PROJECTS PVT LTD IN CIRP CASA ROMANA FR-045563400002477"/>
        <s v="YIB-NEFT-YESME61990053132-Kavita-PUNB0112100-Customer D6 126-PUNJAB NATIONAL BANK"/>
        <s v="YIB-NEFT-YESME61990046841-Investors Clinic Infratech Pvt Ltd-UTIB0006298-Cancellation D6 126-AXIS BANK"/>
        <s v="YIB-NEFT-YESME61920030515-Rakesh Kumar-SBIN0005699-Settlement Amount-STATE BANK OF INDIA"/>
        <s v="CHQ DEP PNB 09-JUL-26 SOHNA ROAD"/>
        <s v="RTGS Cr-ICIC0001629-ANIL KUMAR-DWARKADHIS PROJECTS PVT L-ICICR12026062511392469"/>
        <s v="YIB-TPT-DWARKADHIS PROJECTS PVT LTD IN CIRP ARAVALI HEIGHTS IDW-tfr-045563400002457"/>
        <s v="RTGS Cr-HDFC0003871-SARIKA DUA-DWARKADHIS PROJECTS PVT L-HDFCR52026062273724735"/>
        <s v="YIB-NEFT-YESME61710035756-Yashvir Singh Balhara-KKBK0000259-Professional-KOTAK MAHINDRA BANK LIMITED"/>
        <s v="YIB-NEFT-YESME61660061288-Investors Clinic Infratech Pvt Ltd-UTIB000 6298-Cancellation D6 126-AXIS BANK"/>
        <s v="YIB-NEFT-YESME61660064170-Vinod Malik-SBIN0017891-Cancellation D2 025-STATE BANK OF INDIA"/>
        <s v="YIB-RTGS-YESBR12026061500049637-Vinod Malik-SBIN0017891-Cancellation D2 025-STATE BANK OF INDIA"/>
        <s v="YIB-TPT-DWARKADHIS PROJECTS PVT LTD IN CIRP CASA ROMANA FREE-tfr-045563400002477"/>
        <s v="YIB-NEFT-YESME61640024703-Vivek Saini-ICIC0000029-Cancellation B3 033-ICICI BANK LIMITED"/>
        <s v="UPI/246706528903/From:mandeep.dhaka1234@ybl/To:045563400002314@YESB0000455.ifsc.npci/Payment from PhonePe"/>
        <s v="UPI/638541808707/From:mandeep.dhaka1234@ybl/To:045563400002314@YESB0000455.ifsc.npci/Payment from PhonePe"/>
        <s v="UPI/615600270055/From:anil.mind2367-1@okicici/To:045563400002314@yesb0000455.ifsc.npci/UPI"/>
        <s v="RTGS Cr-ICIC0001629-ANIL KUMAR-DWARKADHIS PROJECTS PVT L-ICICR12026060511071643"/>
        <s v="UPI/652066622923/From:anil.mind2367-1@okicici/To:045563400002314@yesb0000455.ifsc.npci/UPI"/>
        <s v="UPI/652050619570/From:anil.mind2367-1@okicici/To:045563400002314@yesb0000455.ifsc.npci/UPI"/>
        <s v="YIB-NEFT-YESME61430025185-DWARKADHIS PROJECTS PVT LTD-MAHB0001461-tfr-BANK OF MAHARASHTRA"/>
        <s v="YIB-NEFT-YESME61420064555-DWARKADHIS PROJECTS PVT LTD-MAHB0001461-tfr-BANK OF MAHARASHTRA"/>
        <s v="YIB-NEFT-YESME61420063364-HDFC Bank Ltd-HDFC0000128-imprest-HDFC BANK"/>
        <s v="CHQ DEP ICI 21-MAY-26 DHARUHERA"/>
        <s v="YIB-NEFT-YESME61400030234-Rajesh Sharma-HDFC0000422-Kotak Bank court fees-HDFC BANK"/>
        <s v="YIB-NEFT-YESME61350058811-Aravali Height Resident Walfare-ICIC0001629-electricity metre B5 123 D2 91-ICICI BANK LIMITED"/>
        <s v="IMPS/NA/XXXX9498/RRN:613364558395/PC360062514078961/HDFC BANK/S S Paints/SS PAINTS Vendor"/>
        <s v="YIB-NEFT-YESME61330067645-Aravali Height Resident Walfare-ICIC0001629-B5 123-ICICI BANK LIMITED"/>
        <s v="NEFT Cr-ICIC0SF0002-PANKAJ SINGH SISHODIA-DWARKADHIS PROJECTS PVT L-IN12613337481354"/>
        <s v="NEFT Cr-ICIC0SF0002-PANKAJ SINGH SISHODIA-DWARKADHIS PROJECTS PVT L-IN12613237379226"/>
        <s v="IMPS/NA/XXXX7347/RRN:613061368268/PC3568558198815736/UNION BANK OF INDIA/Ravi Vats/Ravi Imprest"/>
        <s v="YIB-NEFT-YESME61300003790-Puneet Interior-BARB0PATAUD-vendor-BANK OF BARODA"/>
        <s v="IMPS/NA/XXXX2463/RRN:612860021202/PC3560117103185421/AU SMALL FINANCE BANK LIMITED/Smart Industrial Solution/Smart Indus"/>
        <s v="RTGS Cr-PUNB0333300-RAJESH KUMAR S O SH JEET -DWARKADHIS PROJECTS PVT L-PUNBR52026050816958796"/>
        <s v="YIB-NEFT-YESME61270066605-Sajjan Kumar-HDFC0001720-Cancellation C4 105-HDFC BANK"/>
        <s v="YIB-NEFT-YESME61270066604-Puneet Interior-BARB0PATAUD-vendor-BANK OF BARODA"/>
        <s v="YIB-TPT-Archna Bhargava-Cancellation D2 091-006699300000730"/>
        <s v="YIB-RTGS-YESBR12026050500031950-Pankaj Garg-HDFC0002549-Cancellation-HDFC BANK"/>
        <s v="YIB-NEFT-YESME61240042484-Sharad Sinha-SBIN0001690-Cancellation C2 76-STATE BANK OF INDIA"/>
        <s v="IMPS/NA/XXXX8134/RRN:612052502214/PC3486441193943772/BANK OF BARODA/Sanjay Kumar/vendor"/>
        <s v="CHQ DEP PNB 30-APR-26 SOHNA ROAD"/>
        <s v="YIB-NEFT-YESME61190044167-Chunna Kumar-UBIN0824780-Vendor-UNION BANK OF INDIA"/>
        <s v="YIB-NEFT-YESME61180036247-Darmodarapatrini praveen-SBIN0070623-refund TDS Amount B5 123-STATE BANK OF INDIA"/>
        <s v="RTGS Cr-PUNB0333300-RAJESH KUMAR S O SH JEET -DWARKADHIS PROJECTS PVT L-PUNBR52026042716413710"/>
        <s v="YIB-RTGS-YESBR12026042300036988-DWARKADHIS PROJECTS PRIVATE LIMITED -MAHB0001347-tfr-BANK OF MAHARASHTRA"/>
        <s v="YIB-NEFT-YESME61130036570-DWARKADHIS PROJECTS PRIVATE LIMITED -MAHB0001347-for tds payment-BANK OF MAHARASHTRA"/>
        <s v="YIB-NEFT-YESME61100039424-Diksha Sharma-SBIN0050104-imprest-STATE BANK OF INDIA"/>
        <s v="YIB-RTGS-YESBR12026042000041867-DWARKADHIS PROJECTS PRIVATE LIMITED -MAHB0001347-tfr-BANK OF MAHARASHTRA"/>
        <s v="YIB-NEFT-YESME61100037360-Aravali Height Resident Walfare-ICIC0001629-Maintenence D3 125-ICICI BANK LIMITED"/>
        <s v="YIB-NEFT-YESME61080020827-DWARKADHIS PROJECTS PRIVATE LIMITED -MAHB0001347-tfr-BANK OF MAHARASHTRA"/>
        <s v="YIB-NEFT-YESME61080020826-Anila Bhatia Cheema-UTIB0003537-Cancellation D3 125-AXIS BANK"/>
        <s v="YIB-RTGS-YESBR12026041600032429-DWARKADHIS PROJECTS PRIVATE LIMITED -MAHB0001347-tfr-BANK OF MAHARASHTRA"/>
        <s v="YIB-RTGS-YESBR12026041500036274-DWARKADHIS PROJECTS PRIVATE LIMITED -MAHB0001347-tfr-BANK OF MAHARASHTRA"/>
        <s v="YIB-NEFT-YESME61040031391-Aravali Height Resident Walfare-ICIC0001629-vendor-ICICI BANK LIMITED"/>
        <s v="YIB-NEFT-YESME61040031390-DWARKADHIS PROJECTS PRIVATE LIMITED -MAHB0001347-int-BANK OF MAHARASHTRA"/>
        <s v="YIB-NEFT-YESME61010028078-DWARKADHIS PROJECTS PRIVATE LIMITED -MAHB0001347-tfr-BANK OF MAHARASHTRA"/>
        <s v="YIB-NEFT-YESME61000055987-Alvia Ahmed-HDFC0000503-prof-HDFC BANK"/>
        <s v="NEFT Cr-SBIN0016019-Mr ILLA RAMESH BABU-Dwarakadhis projects pvt -SBIN426097851085"/>
        <s v="YIB-NEFT-YESME60960055269-DWARKADHIS PROJECTS PRIVATE LIMITED -MAHB0001347-int-BANK OF MAHARASHTRA"/>
        <s v="RTGS Cr-SBIN0016019-Mr ILLA RAMESH BABU-Dwarakadhis projects pvt -SBINR12026040623175053"/>
        <s v="NEFT Cr-SBIN0070623-DAMODARA PATRUNI PRAVEEN-Dwarkadhis Project Pvt Lt-SBIN326096421515"/>
        <s v="IMPS/NA/XXXX6905/RRN:609499021382/PC3254552235968449/BANK OF MAHARASHTRA/DWARKADHIS PROJECTS PRIVATE LIMITED/tfr"/>
        <s v="NEFT Cr-SBIN0016019-Mr ILLA RAMESH BABU-Dwarakadhis projects pvt -SBIN126093175037"/>
        <s v="B/F ..."/>
      </sharedItems>
    </cacheField>
    <cacheField name="REFERENCE">
      <sharedItems containsBlank="1" containsMixedTypes="1" containsNumber="1" containsInteger="1">
        <m/>
        <s v="YESME6232003605500"/>
        <s v="YESME6226004933600"/>
        <s v="YBS6218198040882"/>
        <s v="YESME6218005738600"/>
        <s v="YESME6218005815500"/>
        <s v="YESME6211004590600"/>
        <s v="YES0R6211026900200"/>
        <s v="YESME6209001720100"/>
        <s v="YESME6209001673100"/>
        <n v="302926.0"/>
        <s v="YESME6202002205900"/>
        <s v="YESME6202002016600"/>
        <s v="YESME6202001955300"/>
        <s v="YESME6199005313200"/>
        <s v="YESME6199004684100"/>
        <s v="YESME6192003051500"/>
        <n v="302902.0"/>
        <s v="YES0R6176939035600                      "/>
        <s v="YESME6174004040900                      "/>
        <s v="YESME6173005891200                      "/>
        <s v="YES0R6173930732200                      "/>
        <s v="YESME6171003575700                      "/>
        <s v="YESME6171003575600                      "/>
        <s v="YESME61660061288"/>
        <s v="YESME61660064170"/>
        <s v="YESBR12026061500049637"/>
        <s v="YESME6164002470300"/>
        <s v="YBS6156637482112"/>
        <s v="YBS6156637395790"/>
        <s v="YBS6156637363532"/>
        <s v="YES0R6156892328200"/>
        <s v="YBS6154618035605"/>
        <s v="UPI/652050619570"/>
        <s v="YESME6143002518500"/>
        <s v="YESME6142006455500"/>
        <s v="YESME6142006336400"/>
        <n v="134729.0"/>
        <s v="YESME6140003023400"/>
        <s v="YESME6135005881100"/>
        <s v="YESI66133011305800"/>
        <s v="YESME6133006764500"/>
        <s v="YES0N6133146467500"/>
        <s v="YES0N6132045412200"/>
        <s v="YESI66130000958000"/>
        <s v="YESME6130000379000"/>
        <s v="YESI66128008931000"/>
        <s v="YES0R6128823113200"/>
        <s v="YESME6127006660500"/>
        <s v="YESME6127006660400"/>
        <s v="YESME6126002385400"/>
        <s v="YESME6125003360800"/>
        <s v="YESME6124004248400"/>
        <s v="YESI66120010409600"/>
        <n v="157283.0"/>
        <n v="157284.0"/>
        <s v="YESME6119004416700"/>
        <s v="YESME6118003624700"/>
        <s v="YES0R6117793632800"/>
        <s v="YESME6115003157900"/>
        <s v="YESME6113003657100"/>
        <s v="YESME6113003657000"/>
        <s v="YESME6110003942400"/>
        <s v="YESME6110003942300"/>
        <s v="YESME6110003736000"/>
        <s v="YESME6108002082700"/>
        <s v="YESME6108002082600"/>
        <s v="YESME6106002475200"/>
        <s v="YESME6105003365600"/>
        <s v="YESME6104003139100"/>
        <s v="YESME6104003139000"/>
        <s v="YESME6101002807800"/>
        <s v="YESME6100005598700"/>
        <s v="YES0N6097196206900"/>
        <s v="YESME6096005526900"/>
        <s v="YES0R6096743377500"/>
        <s v="YES0N6096087710100"/>
        <s v="YESI66094009112600"/>
        <s v="YES0N6093798734100"/>
      </sharedItems>
    </cacheField>
    <cacheField name="DEBITS">
      <sharedItems containsBlank="1" containsMixedTypes="1" containsNumber="1" containsInteger="1">
        <m/>
        <n v="15000.0"/>
        <n v="58897.0"/>
        <n v="1830000.0"/>
        <n v="2467992.0"/>
        <n v="2000000.0"/>
        <n v="100000.0"/>
        <n v="2250000.0"/>
        <n v="50000.0"/>
        <s v=""/>
        <n v="500000.0"/>
        <n v="200000.0"/>
        <n v="40000.0"/>
        <n v="9000.0"/>
        <n v="250000.0"/>
        <n v="700000.0"/>
        <n v="150000.0"/>
        <n v="260000.0"/>
        <n v="9907.0"/>
        <n v="30000.0"/>
        <n v="14160.0"/>
        <n v="9950.0"/>
        <n v="651123.0"/>
        <n v="10000.0"/>
        <n v="16576.0"/>
        <n v="5299.0"/>
        <n v="2041103.0"/>
        <n v="5000.0"/>
        <n v="1305343.0"/>
        <n v="1080000.0"/>
        <n v="267500.0"/>
        <n v="3500.0"/>
        <n v="12400.0"/>
        <n v="55000.0"/>
        <n v="350000.0"/>
        <n v="300000.0"/>
        <n v="14579.0"/>
        <n v="800000.0"/>
        <n v="484146.0"/>
        <n v="21240.0"/>
        <n v="90000.0"/>
        <n v="110000.0"/>
        <n v="120000.0"/>
        <n v="0.0"/>
      </sharedItems>
    </cacheField>
    <cacheField name="CREDITS">
      <sharedItems containsBlank="1" containsMixedTypes="1" containsNumber="1" containsInteger="1">
        <m/>
        <n v="50000.0"/>
        <n v="10000.0"/>
        <n v="1850000.0"/>
        <n v="100000.0"/>
        <n v="2400000.0"/>
        <n v="150000.0"/>
        <n v="2100000.0"/>
        <n v="250000.0"/>
        <s v=""/>
        <n v="2500000.0"/>
        <n v="99000.0"/>
        <n v="1000.0"/>
        <n v="200000.0"/>
        <n v="49000.0"/>
        <n v="500000.0"/>
        <n v="2000000.0"/>
        <n v="4000000.0"/>
        <n v="400000.0"/>
        <n v="550000.0"/>
        <n v="960000.0"/>
        <n v="1100000.0"/>
        <n v="580000.0"/>
        <n v="1500000.0"/>
        <n v="1831033.0"/>
      </sharedItems>
    </cacheField>
    <cacheField name="BALANCE" numFmtId="0">
      <sharedItems containsString="0" containsBlank="1" containsNumber="1" containsInteger="1">
        <m/>
        <n v="28318.0"/>
        <n v="43318.0"/>
        <n v="58318.0"/>
        <n v="8318.0"/>
        <n v="67215.0"/>
        <n v="57215.0"/>
        <n v="1887215.0"/>
        <n v="37215.0"/>
        <n v="2505207.0"/>
        <n v="2405207.0"/>
        <n v="5207.0"/>
        <n v="2005207.0"/>
        <n v="1855207.0"/>
        <n v="1755207.0"/>
        <n v="4105207.0"/>
        <n v="4155207.0"/>
        <n v="2055207.0"/>
        <n v="1805207.0"/>
        <n v="2305207.0"/>
        <n v="45207.0"/>
        <n v="54207.0"/>
        <n v="304207.0"/>
        <n v="504207.0"/>
        <n v="604207.0"/>
        <n v="804207.0"/>
        <n v="1504207.0"/>
        <n v="1704207.0"/>
        <n v="1605207.0"/>
        <n v="1604207.0"/>
        <n v="1304207.0"/>
        <n v="1255207.0"/>
        <n v="1254207.0"/>
        <n v="1754207.0"/>
        <n v="1904207.0"/>
        <n v="2164207.0"/>
        <n v="2174114.0"/>
        <n v="1674114.0"/>
        <n v="1704114.0"/>
        <n v="1718274.0"/>
        <n v="1728224.0"/>
        <n v="2379347.0"/>
        <n v="2329347.0"/>
        <n v="2279347.0"/>
        <n v="2289347.0"/>
        <n v="2305923.0"/>
        <n v="2311222.0"/>
        <n v="311222.0"/>
        <n v="2352325.0"/>
        <n v="2357325.0"/>
        <n v="3662668.0"/>
        <n v="4742668.0"/>
        <n v="5010168.0"/>
        <n v="5013668.0"/>
        <n v="1013668.0"/>
        <n v="613668.0"/>
        <n v="626068.0"/>
        <n v="681068.0"/>
        <n v="131068.0"/>
        <n v="481068.0"/>
        <n v="781068.0"/>
        <n v="831068.0"/>
        <n v="845647.0"/>
        <n v="1645647.0"/>
        <n v="2129793.0"/>
        <n v="2229793.0"/>
        <n v="4479793.0"/>
        <n v="4679793.0"/>
        <n v="5379793.0"/>
        <n v="5401033.0"/>
        <n v="5501033.0"/>
        <n v="5651033.0"/>
        <n v="5741033.0"/>
        <n v="4781033.0"/>
        <n v="4891033.0"/>
        <n v="3791033.0"/>
        <n v="3211033.0"/>
        <n v="3331033.0"/>
        <n v="1831033.0"/>
      </sharedItems>
    </cacheField>
    <cacheField name="BUSINESS UNIT" numFmtId="0">
      <sharedItems containsBlank="1">
        <m/>
        <s v="Aravali Heights"/>
        <s v="Casa Romana"/>
      </sharedItems>
    </cacheField>
    <cacheField name="HEAD" numFmtId="0">
      <sharedItems containsBlank="1">
        <m/>
        <s v="Internal"/>
        <s v="Collection"/>
        <s v="Cancellation"/>
        <s v="Refund"/>
        <s v="Professional"/>
        <s v="Credit Card"/>
        <s v="Vendor"/>
        <s v="Imprest"/>
      </sharedItems>
    </cacheField>
    <cacheField name="SUB HEAD" numFmtId="0">
      <sharedItems containsString="0" containsBlank="1" containsNumber="1" containsInteger="1">
        <m/>
        <n v="3687.0"/>
      </sharedItems>
    </cacheField>
    <cacheField name="RECO" numFmtId="0">
      <sharedItems containsBlank="1">
        <m/>
        <s v="Entry"/>
      </sharedItems>
    </cacheField>
    <cacheField name="TYPE FOR RERA IDW" numFmtId="0">
      <sharedItems containsBlank="1">
        <m/>
        <s v="Internal"/>
        <s v="Customer Collection"/>
        <s v="Cust Cancellation"/>
        <s v="HO - Admin"/>
        <s v="AH - CR"/>
        <s v="Dev- Apt"/>
      </sharedItems>
    </cacheField>
    <cacheField name="TCP Head" numFmtId="0">
      <sharedItems containsBlank="1">
        <m/>
        <s v="Internal transfer"/>
        <s v="Credit- no effect"/>
        <s v="?"/>
        <s v="Other- Administrative Expenses"/>
        <s v="IDW Civil Works"/>
      </sharedItems>
    </cacheField>
    <cacheField name="CONCERN" numFmtId="0">
      <sharedItems containsString="0" containsBlank="1">
        <m/>
      </sharedItems>
    </cacheField>
    <cacheField name="CUST ID" numFmtId="0">
      <sharedItems containsString="0" containsBlank="1" containsNumber="1" containsInteger="1">
        <m/>
        <n v="178.0"/>
        <n v="282.0"/>
        <n v="2355.0"/>
        <n v="88.0"/>
        <n v="1959.0"/>
        <n v="3293.0"/>
      </sharedItems>
    </cacheField>
    <cacheField name="APT#" numFmtId="0">
      <sharedItems containsBlank="1">
        <m/>
        <s v="D2-025"/>
        <s v="D6-126"/>
        <s v="B5-123,C2-076,C4-105,D2-091,D3-125       10K / Unit Brokerage Settlement Amount"/>
        <s v="B3-033"/>
        <s v="B5-123 &amp; D2-91"/>
        <s v="B5-123"/>
        <s v="D2-091"/>
        <s v="C4-105"/>
        <s v="C2-076"/>
        <s v="D3-125"/>
        <s v="A1-43 &amp; A1-44 &amp; D3-125"/>
      </sharedItems>
    </cacheField>
    <cacheField name="ACC REMARKS" numFmtId="0">
      <sharedItems containsBlank="1">
        <m/>
        <s v="N/A"/>
        <s v="TDS Payment"/>
        <s v="Refund Against Excess Collection"/>
        <s v="Professional Fee"/>
        <s v="Cancellation"/>
        <s v="Credit Card Repaymnt"/>
        <s v="Court Fees"/>
        <s v="Meter Charges"/>
        <s v="Purchase of Material for Construction"/>
        <s v="Imprest for Site Expenses"/>
        <s v="Construction Expenses"/>
        <s v="Meter Charges 3 Flat No: "/>
      </sharedItems>
    </cacheField>
    <cacheField name="CRM REMARK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Rera Pivot Table Q1" cacheId="0" dataCaption="" compact="0" compactData="0">
  <location ref="E4:G10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QTR" compact="0" outline="0" multipleItemSelectionAllowed="1" showAll="0">
      <items>
        <item x="0"/>
        <item x="1"/>
        <item x="2"/>
        <item x="3"/>
        <item t="default"/>
      </items>
    </pivotField>
    <pivotField name="MONTH" axis="axisPage" compact="0" outline="0" multipleItemSelectionAllowed="1" showAll="0">
      <items>
        <item h="1" x="0"/>
        <item h="1" x="1"/>
        <item h="1" x="2"/>
        <item x="3"/>
        <item x="4"/>
        <item x="5"/>
        <item t="default"/>
      </items>
    </pivotField>
    <pivotField name="TX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VAL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RED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HEAD" compact="0" outline="0" multipleItemSelectionAllowed="1" showAll="0">
      <items>
        <item x="0"/>
        <item x="1"/>
        <item x="2"/>
        <item x="3"/>
        <item t="default"/>
      </items>
    </pivotField>
    <pivotField name="SUB HEAD" compact="0" outline="0" multipleItemSelectionAllowed="1" showAll="0">
      <items>
        <item x="0"/>
        <item x="1"/>
        <item t="default"/>
      </items>
    </pivotField>
    <pivotField name="RECO" compact="0" outline="0" multipleItemSelectionAllowed="1" showAll="0">
      <items>
        <item x="0"/>
        <item x="1"/>
        <item x="2"/>
        <item t="default"/>
      </items>
    </pivotField>
    <pivotField name="TYPE FOR RERA IDW" axis="axisRow" compact="0" outline="0" multipleItemSelectionAllowed="1" showAll="0" sortType="ascending">
      <items>
        <item x="0"/>
        <item x="3"/>
        <item x="4"/>
        <item x="2"/>
        <item x="1"/>
        <item x="5"/>
        <item t="default"/>
      </items>
    </pivotField>
    <pivotField name="TCP Head" compact="0" outline="0" multipleItemSelectionAllowed="1" showAll="0">
      <items>
        <item x="0"/>
        <item x="1"/>
        <item x="2"/>
        <item x="3"/>
        <item t="default"/>
      </items>
    </pivotField>
    <pivotField name="CONCERN" compact="0" outline="0" multipleItemSelectionAllowed="1" showAll="0">
      <items>
        <item x="0"/>
        <item x="1"/>
        <item t="default"/>
      </items>
    </pivotField>
    <pivotField name="CUST ID" compact="0" outline="0" multipleItemSelectionAllowed="1" showAll="0">
      <items>
        <item x="0"/>
        <item x="1"/>
        <item t="default"/>
      </items>
    </pivotField>
    <pivotField name="APT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RM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2.xml><?xml version="1.0" encoding="utf-8"?>
<pivotTableDefinition xmlns="http://schemas.openxmlformats.org/spreadsheetml/2006/main" name="Rera Pivot Table Q1 2" cacheId="1" dataCaption="" compact="0" compactData="0">
  <location ref="I4:K8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QTR" compact="0" outline="0" multipleItemSelectionAllowed="1" showAll="0">
      <items>
        <item x="0"/>
        <item x="1"/>
        <item x="2"/>
        <item t="default"/>
      </items>
    </pivotField>
    <pivotField name="MONTH" axis="axisPage" compact="0" outline="0" multipleItemSelectionAllowed="1" showAll="0">
      <items>
        <item h="1" x="0"/>
        <item h="1" x="1"/>
        <item h="1" x="2"/>
        <item x="3"/>
        <item x="4"/>
        <item x="5"/>
        <item t="default"/>
      </items>
    </pivotField>
    <pivotField name="TX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AL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RED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BUSINESS UNIT" compact="0" outline="0" multipleItemSelectionAllowed="1" showAll="0">
      <items>
        <item x="0"/>
        <item x="1"/>
        <item t="default"/>
      </items>
    </pivotField>
    <pivotField name="HEAD" compact="0" outline="0" multipleItemSelectionAllowed="1" showAll="0">
      <items>
        <item x="0"/>
        <item x="1"/>
        <item t="default"/>
      </items>
    </pivotField>
    <pivotField name="SUB HEAD" compact="0" outline="0" multipleItemSelectionAllowed="1" showAll="0">
      <items>
        <item x="0"/>
        <item x="1"/>
        <item t="default"/>
      </items>
    </pivotField>
    <pivotField name="RECO" compact="0" outline="0" multipleItemSelectionAllowed="1" showAll="0">
      <items>
        <item x="0"/>
        <item x="1"/>
        <item x="2"/>
        <item t="default"/>
      </items>
    </pivotField>
    <pivotField name="TYPE FOR RERA IDW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TCP Head" compact="0" outline="0" multipleItemSelectionAllowed="1" showAll="0">
      <items>
        <item x="0"/>
        <item x="1"/>
        <item x="2"/>
        <item t="default"/>
      </items>
    </pivotField>
    <pivotField name="CONCERN" compact="0" outline="0" multipleItemSelectionAllowed="1" showAll="0">
      <items>
        <item x="0"/>
        <item x="1"/>
        <item t="default"/>
      </items>
    </pivotField>
    <pivotField name="CUST ID" compact="0" outline="0" multipleItemSelectionAllowed="1" showAll="0">
      <items>
        <item x="0"/>
        <item x="1"/>
        <item t="default"/>
      </items>
    </pivotField>
    <pivotField name="APT#" compact="0" outline="0" multipleItemSelectionAllowed="1" showAll="0">
      <items>
        <item x="0"/>
        <item x="1"/>
        <item t="default"/>
      </items>
    </pivotField>
    <pivotField name="ACC REMARKS" compact="0" outline="0" multipleItemSelectionAllowed="1" showAll="0">
      <items>
        <item x="0"/>
        <item x="1"/>
        <item t="default"/>
      </items>
    </pivotField>
    <pivotField name="CRM REMARKS" compact="0" outline="0" multipleItemSelectionAllowed="1" showAll="0">
      <items>
        <item x="0"/>
        <item x="1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3.xml><?xml version="1.0" encoding="utf-8"?>
<pivotTableDefinition xmlns="http://schemas.openxmlformats.org/spreadsheetml/2006/main" name="Rera Pivot Table Q1 3" cacheId="2" dataCaption="" compact="0" compactData="0">
  <location ref="M4:O10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t="default"/>
      </items>
    </pivotField>
    <pivotField name="QTR" compact="0" outline="0" multipleItemSelectionAllowed="1" showAll="0">
      <items>
        <item x="0"/>
        <item x="1"/>
        <item x="2"/>
        <item x="3"/>
        <item t="default"/>
      </items>
    </pivotField>
    <pivotField name="MONTH" axis="axisPage" compact="0" outline="0" multipleItemSelectionAllowed="1" showAll="0">
      <items>
        <item h="1" x="0"/>
        <item h="1" x="1"/>
        <item h="1" x="2"/>
        <item x="3"/>
        <item x="4"/>
        <item x="5"/>
        <item t="default"/>
      </items>
    </pivotField>
    <pivotField name="TX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VAL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CRED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BUSINESS UNIT" compact="0" outline="0" multipleItemSelectionAllowed="1" showAll="0">
      <items>
        <item x="0"/>
        <item x="1"/>
        <item t="default"/>
      </items>
    </pivotField>
    <pivotField name="HE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B HEAD" compact="0" outline="0" multipleItemSelectionAllowed="1" showAll="0">
      <items>
        <item x="0"/>
        <item x="1"/>
        <item t="default"/>
      </items>
    </pivotField>
    <pivotField name="RECO" compact="0" outline="0" multipleItemSelectionAllowed="1" showAll="0">
      <items>
        <item x="0"/>
        <item x="1"/>
        <item x="2"/>
        <item t="default"/>
      </items>
    </pivotField>
    <pivotField name="TYPE FOR RERA IDW" axis="axisRow" compact="0" outline="0" multipleItemSelectionAllowed="1" showAll="0" sortType="ascending">
      <items>
        <item x="0"/>
        <item x="1"/>
        <item x="2"/>
        <item x="4"/>
        <item x="5"/>
        <item x="3"/>
        <item t="default"/>
      </items>
    </pivotField>
    <pivotField name="TCP Head" compact="0" outline="0" multipleItemSelectionAllowed="1" showAll="0">
      <items>
        <item x="0"/>
        <item x="1"/>
        <item x="2"/>
        <item t="default"/>
      </items>
    </pivotField>
    <pivotField name="CONCERN" compact="0" outline="0" multipleItemSelectionAllowed="1" showAll="0">
      <items>
        <item x="0"/>
        <item x="1"/>
        <item t="default"/>
      </items>
    </pivotField>
    <pivotField name="CUST ID" compact="0" outline="0" multipleItemSelectionAllowed="1" showAll="0">
      <items>
        <item x="0"/>
        <item x="1"/>
        <item t="default"/>
      </items>
    </pivotField>
    <pivotField name="APT#" compact="0" outline="0" multipleItemSelectionAllowed="1" showAll="0">
      <items>
        <item x="0"/>
        <item x="1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RM REMARKS" compact="0" outline="0" multipleItemSelectionAllowed="1" showAll="0">
      <items>
        <item x="0"/>
        <item x="1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4.xml><?xml version="1.0" encoding="utf-8"?>
<pivotTableDefinition xmlns="http://schemas.openxmlformats.org/spreadsheetml/2006/main" name="Rera Pivot Table Q1 4" cacheId="3" dataCaption="" compact="0" compactData="0">
  <location ref="Q4:S11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QTR" compact="0" outline="0" multipleItemSelectionAllowed="1" showAll="0">
      <items>
        <item x="0"/>
        <item x="1"/>
        <item x="2"/>
        <item t="default"/>
      </items>
    </pivotField>
    <pivotField name="MONTH" axis="axisPage" compact="0" outline="0" multipleItemSelectionAllowed="1" showAll="0">
      <items>
        <item x="0"/>
        <item h="1" x="1"/>
        <item h="1" x="2"/>
        <item x="3"/>
        <item x="4"/>
        <item t="default"/>
      </items>
    </pivotField>
    <pivotField name="TX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VAL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RED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USINESS UNIT" compact="0" outline="0" multipleItemSelectionAllowed="1" showAll="0">
      <items>
        <item x="0"/>
        <item x="1"/>
        <item x="2"/>
        <item x="3"/>
        <item t="default"/>
      </items>
    </pivotField>
    <pivotField name="HEA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 HEAD" compact="0" outline="0" multipleItemSelectionAllowed="1" showAll="0">
      <items>
        <item x="0"/>
        <item x="1"/>
        <item t="default"/>
      </items>
    </pivotField>
    <pivotField name="RECO" compact="0" outline="0" multipleItemSelectionAllowed="1" showAll="0">
      <items>
        <item x="0"/>
        <item x="1"/>
        <item x="2"/>
        <item x="3"/>
        <item t="default"/>
      </items>
    </pivotField>
    <pivotField name="TYPE FOR RERA IDW" axis="axisRow" compact="0" outline="0" multipleItemSelectionAllowed="1" showAll="0" sortType="ascending">
      <items>
        <item x="0"/>
        <item x="6"/>
        <item x="3"/>
        <item x="2"/>
        <item x="1"/>
        <item x="4"/>
        <item x="7"/>
        <item x="5"/>
        <item t="default"/>
      </items>
    </pivotField>
    <pivotField name="TCP Head" compact="0" outline="0" multipleItemSelectionAllowed="1" showAll="0">
      <items>
        <item x="0"/>
        <item x="1"/>
        <item x="2"/>
        <item x="3"/>
        <item t="default"/>
      </items>
    </pivotField>
    <pivotField name="CONCERN" compact="0" outline="0" multipleItemSelectionAllowed="1" showAll="0">
      <items>
        <item x="0"/>
        <item x="1"/>
        <item t="default"/>
      </items>
    </pivotField>
    <pivotField name="CUST ID" compact="0" outline="0" multipleItemSelectionAllowed="1" showAll="0">
      <items>
        <item x="0"/>
        <item x="1"/>
        <item t="default"/>
      </items>
    </pivotField>
    <pivotField name="APT#" compact="0" outline="0" multipleItemSelectionAllowed="1" showAll="0">
      <items>
        <item x="0"/>
        <item x="1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RM REMARKS" compact="0" outline="0" multipleItemSelectionAllowed="1" showAll="0">
      <items>
        <item x="0"/>
        <item x="1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5.xml><?xml version="1.0" encoding="utf-8"?>
<pivotTableDefinition xmlns="http://schemas.openxmlformats.org/spreadsheetml/2006/main" name="Rera Pivot Table Q1 5" cacheId="4" dataCaption="" compact="0" compactData="0">
  <location ref="U4:W14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QTR" compact="0" outline="0" multipleItemSelectionAllowed="1" showAll="0">
      <items>
        <item x="0"/>
        <item x="1"/>
        <item t="default"/>
      </items>
    </pivotField>
    <pivotField name="MONTH" axis="axisPage" compact="0" outline="0" multipleItemSelectionAllowed="1" showAll="0">
      <items>
        <item x="0"/>
        <item x="1"/>
        <item t="default"/>
      </items>
    </pivotField>
    <pivotField name="TX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VALU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EFERENCE" compact="0" outline="0" multipleItemSelectionAllowed="1" showAll="0">
      <items>
        <item x="0"/>
        <item x="1"/>
        <item x="2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REDIT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H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B HEAD" compact="0" outline="0" multipleItemSelectionAllowed="1" showAll="0">
      <items>
        <item x="0"/>
        <item t="default"/>
      </items>
    </pivotField>
    <pivotField name="RECO" compact="0" outline="0" multipleItemSelectionAllowed="1" showAll="0">
      <items>
        <item x="0"/>
        <item x="1"/>
        <item t="default"/>
      </items>
    </pivotField>
    <pivotField name="TYPE FOR RERA IDW" axis="axisRow" compact="0" outline="0" multipleItemSelectionAllowed="1" showAll="0" sortType="ascending">
      <items>
        <item x="1"/>
        <item x="8"/>
        <item x="5"/>
        <item x="2"/>
        <item x="3"/>
        <item x="4"/>
        <item x="6"/>
        <item x="0"/>
        <item x="7"/>
        <item t="default"/>
      </items>
    </pivotField>
    <pivotField name="TCP He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CERN" compact="0" outline="0" multipleItemSelectionAllowed="1" showAll="0">
      <items>
        <item x="0"/>
        <item t="default"/>
      </items>
    </pivotField>
    <pivotField name="CUST ID" compact="0" outline="0" multipleItemSelectionAllowed="1" showAll="0">
      <items>
        <item x="0"/>
        <item t="default"/>
      </items>
    </pivotField>
    <pivotField name="APT#" compact="0" outline="0" multipleItemSelectionAllowed="1" showAll="0">
      <items>
        <item x="0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RM REMARKS" compact="0" outline="0" multipleItemSelectionAllowed="1" showAll="0">
      <items>
        <item x="0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6.xml><?xml version="1.0" encoding="utf-8"?>
<pivotTableDefinition xmlns="http://schemas.openxmlformats.org/spreadsheetml/2006/main" name="Rera Pivot Table Q1 6" cacheId="5" dataCaption="" compact="0" compactData="0">
  <location ref="Y4:AA12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QTR" compact="0" outline="0" multipleItemSelectionAllowed="1" showAll="0">
      <items>
        <item x="0"/>
        <item x="1"/>
        <item t="default"/>
      </items>
    </pivotField>
    <pivotField name="MONTH" axis="axisPage" compact="0" outline="0" multipleItemSelectionAllowed="1" showAll="0">
      <items>
        <item x="0"/>
        <item x="1"/>
        <item x="2"/>
        <item t="default"/>
      </items>
    </pivotField>
    <pivotField name="TXN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LUE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REDIT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USINESS UNIT" compact="0" outline="0" multipleItemSelectionAllowed="1" showAll="0">
      <items>
        <item x="0"/>
        <item x="1"/>
        <item x="2"/>
        <item x="3"/>
        <item t="default"/>
      </items>
    </pivotField>
    <pivotField name="HEA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 HEAD" compact="0" outline="0" multipleItemSelectionAllowed="1" showAll="0">
      <items>
        <item x="0"/>
        <item t="default"/>
      </items>
    </pivotField>
    <pivotField name="RECO" compact="0" outline="0" multipleItemSelectionAllowed="1" showAll="0">
      <items>
        <item x="0"/>
        <item x="1"/>
        <item t="default"/>
      </items>
    </pivotField>
    <pivotField name="TYPE FOR RERA IDW" axis="axisRow" compact="0" outline="0" multipleItemSelectionAllowed="1" showAll="0" sortType="ascending">
      <items>
        <item x="0"/>
        <item x="2"/>
        <item x="6"/>
        <item x="4"/>
        <item x="3"/>
        <item x="1"/>
        <item x="5"/>
        <item t="default"/>
      </items>
    </pivotField>
    <pivotField name="TCP He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CERN" compact="0" outline="0" multipleItemSelectionAllowed="1" showAll="0">
      <items>
        <item x="0"/>
        <item t="default"/>
      </items>
    </pivotField>
    <pivotField name="CUST ID" compact="0" outline="0" multipleItemSelectionAllowed="1" showAll="0">
      <items>
        <item x="0"/>
        <item t="default"/>
      </items>
    </pivotField>
    <pivotField name="APT#" compact="0" outline="0" multipleItemSelectionAllowed="1" showAll="0">
      <items>
        <item x="0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M REMARKS" compact="0" outline="0" multipleItemSelectionAllowed="1" showAll="0">
      <items>
        <item x="0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7.xml><?xml version="1.0" encoding="utf-8"?>
<pivotTableDefinition xmlns="http://schemas.openxmlformats.org/spreadsheetml/2006/main" name="Rera Pivot Table Q1 7" cacheId="6" dataCaption="" compact="0" compactData="0">
  <location ref="AC4:AE9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QTR" compact="0" outline="0" multipleItemSelectionAllowed="1" showAll="0">
      <items>
        <item x="0"/>
        <item x="1"/>
        <item t="default"/>
      </items>
    </pivotField>
    <pivotField name="MONTH" axis="axisPage" compact="0" outline="0" multipleItemSelectionAllowed="1" showAll="0">
      <items>
        <item h="1" x="0"/>
        <item h="1" x="1"/>
        <item h="1" x="2"/>
        <item x="3"/>
        <item x="4"/>
        <item x="5"/>
        <item t="default"/>
      </items>
    </pivotField>
    <pivotField name="TX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RED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HE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B HEAD" compact="0" outline="0" multipleItemSelectionAllowed="1" showAll="0">
      <items>
        <item x="0"/>
        <item t="default"/>
      </items>
    </pivotField>
    <pivotField name="RECO" compact="0" outline="0" multipleItemSelectionAllowed="1" showAll="0">
      <items>
        <item x="0"/>
        <item x="1"/>
        <item x="2"/>
        <item t="default"/>
      </items>
    </pivotField>
    <pivotField name="TYPE FOR RERA IDW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TCP Head" compact="0" outline="0" multipleItemSelectionAllowed="1" showAll="0">
      <items>
        <item x="0"/>
        <item x="1"/>
        <item x="2"/>
        <item t="default"/>
      </items>
    </pivotField>
    <pivotField name="CONCERN" compact="0" outline="0" multipleItemSelectionAllowed="1" showAll="0">
      <items>
        <item x="0"/>
        <item t="default"/>
      </items>
    </pivotField>
    <pivotField name="CUST ID" compact="0" outline="0" multipleItemSelectionAllowed="1" showAll="0">
      <items>
        <item x="0"/>
        <item t="default"/>
      </items>
    </pivotField>
    <pivotField name="APT#" compact="0" outline="0" multipleItemSelectionAllowed="1" showAll="0">
      <items>
        <item x="0"/>
        <item x="1"/>
        <item x="2"/>
        <item x="3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M REMARKS" compact="0" outline="0" multipleItemSelectionAllowed="1" showAll="0">
      <items>
        <item x="0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pivotTables/pivotTable8.xml><?xml version="1.0" encoding="utf-8"?>
<pivotTableDefinition xmlns="http://schemas.openxmlformats.org/spreadsheetml/2006/main" name="Rera Pivot Table Q1 8" cacheId="7" dataCaption="" compact="0" compactData="0">
  <location ref="AG4:AI12" firstHeaderRow="0" firstDataRow="2" firstDataCol="0" rowPageCount="1" colPageCount="1"/>
  <pivotFields>
    <pivotField name="SL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QTR" compact="0" outline="0" multipleItemSelectionAllowed="1" showAll="0">
      <items>
        <item x="0"/>
        <item x="1"/>
        <item t="default"/>
      </items>
    </pivotField>
    <pivotField name="MONTH" axis="axisPage" compact="0" outline="0" multipleItemSelectionAllowed="1" showAll="0">
      <items>
        <item h="1" x="0"/>
        <item h="1" x="1"/>
        <item h="1" x="2"/>
        <item x="3"/>
        <item x="4"/>
        <item x="5"/>
        <item t="default"/>
      </items>
    </pivotField>
    <pivotField name="TX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EB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RED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H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B HEAD" compact="0" outline="0" multipleItemSelectionAllowed="1" showAll="0">
      <items>
        <item x="0"/>
        <item x="1"/>
        <item t="default"/>
      </items>
    </pivotField>
    <pivotField name="RECO" compact="0" outline="0" multipleItemSelectionAllowed="1" showAll="0">
      <items>
        <item x="0"/>
        <item x="1"/>
        <item t="default"/>
      </items>
    </pivotField>
    <pivotField name="TYPE FOR RERA IDW" axis="axisRow" compact="0" outline="0" multipleItemSelectionAllowed="1" showAll="0" sortType="ascending">
      <items>
        <item x="0"/>
        <item x="5"/>
        <item x="3"/>
        <item x="2"/>
        <item x="6"/>
        <item x="4"/>
        <item x="1"/>
        <item t="default"/>
      </items>
    </pivotField>
    <pivotField name="TCP He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CERN" compact="0" outline="0" multipleItemSelectionAllowed="1" showAll="0">
      <items>
        <item x="0"/>
        <item t="default"/>
      </items>
    </pivotField>
    <pivotField name="CUST 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PT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CC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RM REMARKS" compact="0" outline="0" multipleItemSelectionAllowed="1" showAll="0">
      <items>
        <item x="0"/>
        <item t="default"/>
      </items>
    </pivotField>
  </pivotFields>
  <rowFields>
    <field x="15"/>
  </rowFields>
  <colFields>
    <field x="-2"/>
  </colFields>
  <pageFields>
    <pageField fld="2"/>
  </pageFields>
  <dataFields>
    <dataField name="SUM of DEBITS" fld="8" baseField="0"/>
    <dataField name="SUM of CREDIT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 outlineLevelCol="1"/>
  <cols>
    <col customWidth="1" min="1" max="1" width="7.13"/>
    <col customWidth="1" min="2" max="2" width="6.0"/>
    <col customWidth="1" min="3" max="3" width="6.63"/>
    <col customWidth="1" min="4" max="4" width="12.0"/>
    <col customWidth="1" min="5" max="5" width="10.63"/>
    <col customWidth="1" min="6" max="6" width="8.13"/>
    <col customWidth="1" min="7" max="7" width="31.13"/>
    <col customWidth="1" min="8" max="8" width="9.13"/>
    <col customWidth="1" min="9" max="10" width="12.13"/>
    <col customWidth="1" min="11" max="11" width="11.63"/>
    <col customWidth="1" min="12" max="13" width="18.75"/>
    <col customWidth="1" hidden="1" min="14" max="14" width="18.75"/>
    <col customWidth="1" min="15" max="15" width="7.63"/>
    <col customWidth="1" min="16" max="16" width="11.88"/>
    <col customWidth="1" min="17" max="17" width="11.38"/>
    <col customWidth="1" min="18" max="18" width="10.13"/>
    <col customWidth="1" min="19" max="19" width="13.5"/>
    <col customWidth="1" min="21" max="21" width="13.5"/>
    <col customWidth="1" min="22" max="22" width="15.88"/>
    <col customWidth="1" min="23" max="23" width="38.13"/>
    <col customWidth="1" min="24" max="24" width="11.5"/>
    <col customWidth="1" min="25" max="25" width="11.38"/>
    <col customWidth="1" min="26" max="29" width="8.5"/>
  </cols>
  <sheetData>
    <row r="1" ht="15.75" customHeight="1">
      <c r="A1" s="1" t="s">
        <v>0</v>
      </c>
      <c r="B1" s="1" t="s">
        <v>1</v>
      </c>
      <c r="D1" s="1" t="s">
        <v>2</v>
      </c>
      <c r="E1" s="1">
        <v>3.3167514E7</v>
      </c>
      <c r="F1" s="2"/>
      <c r="G1" s="2"/>
      <c r="H1" s="4">
        <v>46258.0</v>
      </c>
      <c r="I1" s="8">
        <f t="shared" ref="I1:J1" si="1">SUBTOTAL(9,I9:I236)</f>
        <v>0</v>
      </c>
      <c r="J1" s="8">
        <f t="shared" si="1"/>
        <v>10724949</v>
      </c>
      <c r="K1" s="8">
        <f>J1-I1</f>
        <v>10724949</v>
      </c>
      <c r="P1" s="2"/>
      <c r="Q1" s="2"/>
      <c r="W1" s="2"/>
      <c r="Y1" s="10"/>
    </row>
    <row r="2" ht="38.25" customHeight="1">
      <c r="A2" s="11" t="s">
        <v>4</v>
      </c>
      <c r="B2" s="12" t="s">
        <v>5</v>
      </c>
      <c r="C2" s="11" t="s">
        <v>6</v>
      </c>
      <c r="D2" s="14" t="s">
        <v>7</v>
      </c>
      <c r="E2" s="15" t="s">
        <v>8</v>
      </c>
      <c r="F2" s="14" t="s">
        <v>9</v>
      </c>
      <c r="G2" s="14" t="s">
        <v>10</v>
      </c>
      <c r="H2" s="14" t="s">
        <v>11</v>
      </c>
      <c r="I2" s="16" t="s">
        <v>12</v>
      </c>
      <c r="J2" s="16" t="s">
        <v>13</v>
      </c>
      <c r="K2" s="16" t="s">
        <v>14</v>
      </c>
      <c r="L2" s="17" t="s">
        <v>15</v>
      </c>
      <c r="M2" s="18" t="s">
        <v>16</v>
      </c>
      <c r="N2" s="20" t="s">
        <v>17</v>
      </c>
      <c r="O2" s="21" t="s">
        <v>18</v>
      </c>
      <c r="P2" s="20" t="s">
        <v>19</v>
      </c>
      <c r="Q2" s="20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3" t="s">
        <v>26</v>
      </c>
      <c r="X2" s="23" t="s">
        <v>27</v>
      </c>
      <c r="Y2" s="25" t="s">
        <v>28</v>
      </c>
      <c r="Z2" s="26" t="s">
        <v>29</v>
      </c>
      <c r="AA2" s="26" t="s">
        <v>30</v>
      </c>
      <c r="AB2" s="26" t="s">
        <v>31</v>
      </c>
      <c r="AC2" s="26" t="s">
        <v>32</v>
      </c>
    </row>
    <row r="3" ht="15.75" hidden="1" customHeight="1">
      <c r="A3" s="29"/>
      <c r="B3" s="30"/>
      <c r="C3" s="29"/>
      <c r="D3" s="31"/>
      <c r="E3" s="31"/>
      <c r="F3" s="30"/>
      <c r="G3" s="30"/>
      <c r="H3" s="30"/>
      <c r="I3" s="32"/>
      <c r="J3" s="32"/>
      <c r="K3" s="32"/>
      <c r="L3" s="33"/>
      <c r="M3" s="33"/>
      <c r="N3" s="36"/>
      <c r="O3" s="36"/>
      <c r="P3" s="33"/>
      <c r="Q3" s="33"/>
      <c r="R3" s="36"/>
      <c r="S3" s="36"/>
      <c r="T3" s="36"/>
      <c r="U3" s="36"/>
      <c r="V3" s="36"/>
      <c r="W3" s="33"/>
      <c r="X3" s="41"/>
      <c r="Y3" s="43"/>
      <c r="Z3" s="32"/>
      <c r="AA3" s="2"/>
      <c r="AB3" s="2"/>
      <c r="AC3" s="2"/>
    </row>
    <row r="4" ht="15.75" hidden="1" customHeight="1">
      <c r="A4" s="29"/>
      <c r="B4" s="30"/>
      <c r="C4" s="29"/>
      <c r="D4" s="31"/>
      <c r="E4" s="31"/>
      <c r="F4" s="30"/>
      <c r="G4" s="30"/>
      <c r="H4" s="30"/>
      <c r="I4" s="32"/>
      <c r="J4" s="32"/>
      <c r="K4" s="32"/>
      <c r="L4" s="33"/>
      <c r="M4" s="33"/>
      <c r="N4" s="36"/>
      <c r="O4" s="36"/>
      <c r="P4" s="33"/>
      <c r="Q4" s="33"/>
      <c r="R4" s="36"/>
      <c r="S4" s="36"/>
      <c r="T4" s="36"/>
      <c r="U4" s="36"/>
      <c r="V4" s="36"/>
      <c r="W4" s="33"/>
      <c r="X4" s="41"/>
      <c r="Y4" s="43"/>
      <c r="Z4" s="32"/>
      <c r="AA4" s="2"/>
      <c r="AB4" s="2"/>
      <c r="AC4" s="2"/>
    </row>
    <row r="5" ht="15.75" hidden="1" customHeight="1">
      <c r="A5" s="29">
        <f t="shared" ref="A5:A7" si="2">ROW()-1</f>
        <v>4</v>
      </c>
      <c r="B5" s="30" t="str">
        <f t="shared" ref="B5:B10" si="3">IFERROR("Q"&amp;(INT(MOD(C5-4,12)/3)+1),"")</f>
        <v>Q2</v>
      </c>
      <c r="C5" s="29">
        <f t="shared" ref="C5:C37" si="4">IFERROR(MONTH(DATEVALUE(D5)),"")</f>
        <v>8</v>
      </c>
      <c r="D5" s="52" t="s">
        <v>36</v>
      </c>
      <c r="E5" s="52" t="s">
        <v>36</v>
      </c>
      <c r="F5" s="30" t="s">
        <v>37</v>
      </c>
      <c r="G5" s="30" t="s">
        <v>39</v>
      </c>
      <c r="H5" s="30" t="s">
        <v>37</v>
      </c>
      <c r="I5" s="44">
        <v>49426.0</v>
      </c>
      <c r="J5" s="44"/>
      <c r="K5" s="32">
        <f t="shared" ref="K5:K6" si="5">IFERROR(K6+J5-I5,"")</f>
        <v>29079.78</v>
      </c>
      <c r="L5" s="30" t="s">
        <v>45</v>
      </c>
      <c r="M5" s="30" t="s">
        <v>47</v>
      </c>
      <c r="N5" s="36" t="s">
        <v>37</v>
      </c>
      <c r="O5" s="36" t="s">
        <v>48</v>
      </c>
      <c r="P5" s="30" t="s">
        <v>51</v>
      </c>
      <c r="Q5" s="30" t="s">
        <v>50</v>
      </c>
      <c r="R5" s="36" t="s">
        <v>37</v>
      </c>
      <c r="S5" s="36" t="s">
        <v>37</v>
      </c>
      <c r="T5" s="36" t="s">
        <v>37</v>
      </c>
      <c r="U5" s="36" t="s">
        <v>37</v>
      </c>
      <c r="V5" s="36" t="s">
        <v>37</v>
      </c>
      <c r="W5" s="30" t="str">
        <f t="shared" ref="W5:W94" si="6">TRIM(IF(M5="Internal", IF(ISBLANK(G5), IF(LEN(G5)-LEN(SUBSTITUTE(G5,"-",""))&gt;=3, "Fund Transfer: From x" &amp; RIGHT(MID(G5, FIND("|", SUBSTITUTE(G5, "-", "|", 3)) + 1, LEN(G5)), 4) &amp; " to YES MASTER 0264 (Ref: " &amp; H5 &amp; ") (Type: " &amp; P5 &amp; ") (BU: " &amp; L5 &amp; ") (Head: " &amp; M5 &amp; ")", "Fund Transfer: To YES MASTER 0264 (Ref: " &amp; H5 &amp; ") (Type: " &amp; P5 &amp; ") (BU: " &amp; L5 &amp; ") (Head: " &amp; M5 &amp; ")"), IF(LEN(G5)-LEN(SUBSTITUTE(G5,"-",""))&gt;=3, "Fund Transfer: From YES MASTER 0264 to x" &amp; RIGHT(MID(G5, FIND("|", SUBSTITUTE(G5, "-", "|", 3)) + 1, LEN(G5)), 4) &amp; " (Ref: " &amp; H5 &amp; ") (Type: " &amp; P5 &amp; ") (BU: " &amp; L5 &amp; ") (Head: " &amp; M5 &amp; ")", "Fund Transfer: From YES MASTER 0264 (Ref: " &amp; H5 &amp; ") (Type: " &amp; P5 &amp; ") (BU: " &amp; L5 &amp; ") (Head: " &amp; M5 &amp; ")")), IF(NOT(ISBLANK(J5)), IF(P5="Customer Collection", "Receipt: For " &amp; IF(ISBLANK(T5), "", "(Apt#: " &amp; T5 &amp; ") ") &amp; "(Ref: " &amp; H5 &amp; ") (" &amp; IF(ISNUMBER(SEARCH("NEFT",G5)), "NEFT:", IF(ISNUMBER(SEARCH("RTGS",G5)), "RTGS:", IF(ISNUMBER(SEARCH("IMPS",G5)), "IMPS:", ""))) &amp; " " &amp; IF(ISNUMBER(SEARCH("SOHNA ROAD", G5)), "", IFERROR(MID(G5, FIND("-", G5, FIND("-", G5) + 1) + 1, LEN(G5)), SUBSTITUTE(SUBSTITUTE(SUBSTITUTE(G5, "IMPS/", ""), "NEFT/", ""), "RTGS/", ""))) &amp; ") (Type: " &amp; P5 &amp; ") (BU: " &amp; L5 &amp; ")", IF(LEN(G5)-LEN(SUBSTITUTE(G5,"-",""))&gt;=3, "Receipt: From x" &amp; RIGHT(MID(G5, FIND("|", SUBSTITUTE(G5, "-", "|", 3)) + 1, LEN(G5)), 4) &amp; " towards " &amp; IF(ISBLANK(U5), L5, U5) &amp; IF(OR(L5="Cancellation", L5="Collection"), " Apt No " &amp; T5, "") &amp; " (Ref: " &amp; H5 &amp; ") (Type: " &amp; P5 &amp; ") (BU: " &amp; L5 &amp; ") (Head: " &amp; M5 &amp; ")" &amp; IF(ISBLANK(T5), "", " (Apt#: " &amp; T5 &amp; ")"), "Receipt: Against " &amp; IF(ISBLANK(U5), L5, U5) &amp; IF(OR(L5="Cancellation", L5="Collection"), " Apt No " &amp; T5, "") &amp; " (Ref: " &amp; H5 &amp; ") (Type: " &amp; P5 &amp; ") (BU: " &amp; L5 &amp; ") (Head: " &amp; M5 &amp; ")" &amp; IF(ISBLANK(T5), "", " (Apt#: " &amp; T5 &amp; ")"))), IF(LEN(G5)-LEN(SUBSTITUTE(G5,"-",""))&gt;=3, "Payment: To x" &amp; RIGHT(MID(G5, FIND("|", SUBSTITUTE(G5, "-", "|", 3)) + 1, LEN(G5)), 4) &amp; " for " &amp; IF(ISBLANK(U5), L5, U5) &amp; " (Ref: " &amp; H5 &amp; ") (Type: " &amp; P5 &amp; ") (BU: " &amp; L5 &amp; ") (Head: " &amp; M5 &amp; ")" &amp; IF(ISBLANK(T5), "", " (Apt#: " &amp; T5 &amp; ")"), "Payment: Disbursement for " &amp; IF(ISBLANK(U5), "", IF(ISBLANK(U5), "", U5) &amp; " ") &amp; "(Ref: " &amp; H5 &amp; ") (Type: " &amp; P5 &amp; ") (BU: " &amp; L5 &amp; ") (Head: " &amp; M5 &amp; ")" &amp; IF(ISBLANK(T5), "", " (Apt#: " &amp; T5 &amp; ")")))))</f>
        <v>Fund Transfer: From YES MASTER 0264 to x2477 (Ref: ) (Type: Master to Free) (BU: Casa Romana) (Head: Internal)</v>
      </c>
      <c r="X5" s="41"/>
      <c r="Y5" s="43">
        <v>29079.78</v>
      </c>
      <c r="Z5" s="58">
        <f t="shared" ref="Z5:Z12" si="7">IFERROR(ROUND(Y5-K5,2),"")</f>
        <v>0</v>
      </c>
      <c r="AA5" s="2"/>
      <c r="AB5" s="2"/>
      <c r="AC5" s="2"/>
    </row>
    <row r="6" ht="15.75" hidden="1" customHeight="1">
      <c r="A6" s="29">
        <f t="shared" si="2"/>
        <v>5</v>
      </c>
      <c r="B6" s="30" t="str">
        <f t="shared" si="3"/>
        <v>Q2</v>
      </c>
      <c r="C6" s="29">
        <f t="shared" si="4"/>
        <v>8</v>
      </c>
      <c r="D6" s="52" t="s">
        <v>36</v>
      </c>
      <c r="E6" s="52" t="s">
        <v>36</v>
      </c>
      <c r="F6" s="30" t="s">
        <v>37</v>
      </c>
      <c r="G6" s="30" t="s">
        <v>84</v>
      </c>
      <c r="H6" s="30" t="s">
        <v>37</v>
      </c>
      <c r="I6" s="44">
        <v>115326.0</v>
      </c>
      <c r="J6" s="44"/>
      <c r="K6" s="32">
        <f t="shared" si="5"/>
        <v>78505.78</v>
      </c>
      <c r="L6" s="30" t="s">
        <v>45</v>
      </c>
      <c r="M6" s="30" t="s">
        <v>47</v>
      </c>
      <c r="N6" s="36" t="s">
        <v>37</v>
      </c>
      <c r="O6" s="36" t="s">
        <v>60</v>
      </c>
      <c r="P6" s="30" t="s">
        <v>61</v>
      </c>
      <c r="Q6" s="30" t="s">
        <v>50</v>
      </c>
      <c r="R6" s="36" t="s">
        <v>37</v>
      </c>
      <c r="S6" s="36" t="s">
        <v>37</v>
      </c>
      <c r="T6" s="36" t="s">
        <v>37</v>
      </c>
      <c r="U6" s="36" t="s">
        <v>37</v>
      </c>
      <c r="V6" s="36" t="s">
        <v>37</v>
      </c>
      <c r="W6" s="30" t="str">
        <f t="shared" si="6"/>
        <v>Fund Transfer: From YES MASTER 0264 to x0377 (Ref: ) (Type: Master 2 RERA) (BU: Casa Romana) (Head: Internal)</v>
      </c>
      <c r="X6" s="41"/>
      <c r="Y6" s="43">
        <v>78505.78</v>
      </c>
      <c r="Z6" s="58">
        <f t="shared" si="7"/>
        <v>0</v>
      </c>
      <c r="AA6" s="2"/>
      <c r="AB6" s="2"/>
      <c r="AC6" s="2"/>
    </row>
    <row r="7" ht="15.75" customHeight="1">
      <c r="A7" s="29">
        <f t="shared" si="2"/>
        <v>6</v>
      </c>
      <c r="B7" s="30" t="str">
        <f t="shared" si="3"/>
        <v>Q2</v>
      </c>
      <c r="C7" s="29">
        <f t="shared" si="4"/>
        <v>8</v>
      </c>
      <c r="D7" s="52" t="s">
        <v>36</v>
      </c>
      <c r="E7" s="52" t="s">
        <v>36</v>
      </c>
      <c r="F7" s="30" t="s">
        <v>37</v>
      </c>
      <c r="G7" s="30" t="s">
        <v>91</v>
      </c>
      <c r="H7" s="30" t="s">
        <v>37</v>
      </c>
      <c r="I7" s="44"/>
      <c r="J7" s="44">
        <v>64752.0</v>
      </c>
      <c r="K7" s="32">
        <f>Y7</f>
        <v>193831.78</v>
      </c>
      <c r="L7" s="30" t="s">
        <v>45</v>
      </c>
      <c r="M7" s="30" t="s">
        <v>94</v>
      </c>
      <c r="N7" s="36" t="s">
        <v>37</v>
      </c>
      <c r="O7" s="36" t="s">
        <v>60</v>
      </c>
      <c r="P7" s="30" t="s">
        <v>95</v>
      </c>
      <c r="Q7" s="30" t="s">
        <v>82</v>
      </c>
      <c r="R7" s="36" t="s">
        <v>37</v>
      </c>
      <c r="S7" s="36" t="s">
        <v>37</v>
      </c>
      <c r="T7" s="36" t="s">
        <v>97</v>
      </c>
      <c r="U7" s="36" t="s">
        <v>37</v>
      </c>
      <c r="V7" s="30" t="s">
        <v>98</v>
      </c>
      <c r="W7" s="30" t="str">
        <f t="shared" si="6"/>
        <v>Receipt: For (Apt#: P-064) (Ref: ) (IMPS: SUNITA SUNITA/XXX8258/ RRN:622911882764/STATE BANK OF INDIA) (Type: Customer Collection) (BU: Casa Romana)</v>
      </c>
      <c r="X7" s="41"/>
      <c r="Y7" s="43">
        <v>193831.78</v>
      </c>
      <c r="Z7" s="58">
        <f t="shared" si="7"/>
        <v>0</v>
      </c>
      <c r="AA7" s="2"/>
      <c r="AB7" s="2"/>
      <c r="AC7" s="2"/>
    </row>
    <row r="8" ht="15.75" customHeight="1">
      <c r="A8" s="29">
        <v>229.0</v>
      </c>
      <c r="B8" s="30" t="str">
        <f t="shared" si="3"/>
        <v>Q2</v>
      </c>
      <c r="C8" s="29">
        <f t="shared" si="4"/>
        <v>8</v>
      </c>
      <c r="D8" s="31">
        <v>46250.0</v>
      </c>
      <c r="E8" s="31">
        <v>46250.0</v>
      </c>
      <c r="F8" s="30"/>
      <c r="G8" s="30" t="s">
        <v>104</v>
      </c>
      <c r="H8" s="30" t="s">
        <v>105</v>
      </c>
      <c r="I8" s="32"/>
      <c r="J8" s="32">
        <v>100000.0</v>
      </c>
      <c r="K8" s="46">
        <f t="shared" ref="K8:K10" si="8">K9+J8-I8</f>
        <v>129078</v>
      </c>
      <c r="L8" s="30" t="s">
        <v>45</v>
      </c>
      <c r="M8" s="30" t="s">
        <v>94</v>
      </c>
      <c r="N8" s="36"/>
      <c r="O8" s="36" t="s">
        <v>60</v>
      </c>
      <c r="P8" s="30" t="s">
        <v>95</v>
      </c>
      <c r="Q8" s="30" t="s">
        <v>82</v>
      </c>
      <c r="R8" s="36"/>
      <c r="S8" s="36"/>
      <c r="T8" s="36" t="s">
        <v>111</v>
      </c>
      <c r="U8" s="36"/>
      <c r="V8" s="30" t="s">
        <v>98</v>
      </c>
      <c r="W8" s="30" t="str">
        <f t="shared" si="6"/>
        <v>Receipt: For (Apt#: P-071) (Ref: YBP6228654732943) (IMPS: MRIGANKACHAKRABORTY/XXX7113/RRN:622810783912/AXIS BANK) (Type: Customer Collection) (BU: Casa Romana)</v>
      </c>
      <c r="X8" s="41"/>
      <c r="Y8" s="43">
        <v>129079.78</v>
      </c>
      <c r="Z8" s="58">
        <f t="shared" si="7"/>
        <v>1.78</v>
      </c>
      <c r="AA8" s="2"/>
      <c r="AB8" s="2"/>
      <c r="AC8" s="2"/>
    </row>
    <row r="9" ht="15.75" hidden="1" customHeight="1">
      <c r="A9" s="56">
        <v>228.0</v>
      </c>
      <c r="B9" s="30" t="str">
        <f t="shared" si="3"/>
        <v>Q2</v>
      </c>
      <c r="C9" s="29">
        <f t="shared" si="4"/>
        <v>8</v>
      </c>
      <c r="D9" s="52" t="s">
        <v>69</v>
      </c>
      <c r="E9" s="52" t="s">
        <v>69</v>
      </c>
      <c r="F9" s="30" t="s">
        <v>37</v>
      </c>
      <c r="G9" s="30" t="s">
        <v>117</v>
      </c>
      <c r="H9" s="30" t="s">
        <v>37</v>
      </c>
      <c r="I9" s="32">
        <v>45000.0</v>
      </c>
      <c r="J9" s="32"/>
      <c r="K9" s="46">
        <f t="shared" si="8"/>
        <v>29078</v>
      </c>
      <c r="L9" s="30" t="s">
        <v>45</v>
      </c>
      <c r="M9" s="30" t="s">
        <v>47</v>
      </c>
      <c r="N9" s="36" t="s">
        <v>37</v>
      </c>
      <c r="O9" s="36" t="s">
        <v>60</v>
      </c>
      <c r="P9" s="30" t="s">
        <v>51</v>
      </c>
      <c r="Q9" s="30" t="s">
        <v>50</v>
      </c>
      <c r="R9" s="36" t="s">
        <v>37</v>
      </c>
      <c r="S9" s="36" t="s">
        <v>37</v>
      </c>
      <c r="T9" s="36" t="s">
        <v>37</v>
      </c>
      <c r="U9" s="36" t="s">
        <v>37</v>
      </c>
      <c r="V9" s="36" t="s">
        <v>37</v>
      </c>
      <c r="W9" s="30" t="str">
        <f t="shared" si="6"/>
        <v>Fund Transfer: From YES MASTER 0264 to x2477 (Ref: ) (Type: Master to Free) (BU: Casa Romana) (Head: Internal)</v>
      </c>
      <c r="X9" s="41"/>
      <c r="Y9" s="43">
        <v>29079.78</v>
      </c>
      <c r="Z9" s="32">
        <f t="shared" si="7"/>
        <v>1.78</v>
      </c>
      <c r="AA9" s="2"/>
      <c r="AB9" s="2"/>
      <c r="AC9" s="2"/>
    </row>
    <row r="10" ht="15.75" hidden="1" customHeight="1">
      <c r="A10" s="29">
        <v>227.0</v>
      </c>
      <c r="B10" s="30" t="str">
        <f t="shared" si="3"/>
        <v>Q2</v>
      </c>
      <c r="C10" s="29">
        <f t="shared" si="4"/>
        <v>8</v>
      </c>
      <c r="D10" s="52" t="s">
        <v>69</v>
      </c>
      <c r="E10" s="52" t="s">
        <v>69</v>
      </c>
      <c r="F10" s="30" t="s">
        <v>37</v>
      </c>
      <c r="G10" s="30" t="s">
        <v>124</v>
      </c>
      <c r="H10" s="30" t="s">
        <v>37</v>
      </c>
      <c r="I10" s="32">
        <v>105000.0</v>
      </c>
      <c r="J10" s="32"/>
      <c r="K10" s="46">
        <f t="shared" si="8"/>
        <v>74078</v>
      </c>
      <c r="L10" s="30" t="s">
        <v>45</v>
      </c>
      <c r="M10" s="30" t="s">
        <v>47</v>
      </c>
      <c r="N10" s="36" t="s">
        <v>37</v>
      </c>
      <c r="O10" s="36" t="s">
        <v>60</v>
      </c>
      <c r="P10" s="30" t="s">
        <v>61</v>
      </c>
      <c r="Q10" s="30" t="s">
        <v>50</v>
      </c>
      <c r="R10" s="36" t="s">
        <v>37</v>
      </c>
      <c r="S10" s="36" t="s">
        <v>37</v>
      </c>
      <c r="T10" s="36" t="s">
        <v>37</v>
      </c>
      <c r="U10" s="36" t="s">
        <v>37</v>
      </c>
      <c r="V10" s="36" t="s">
        <v>37</v>
      </c>
      <c r="W10" s="30" t="str">
        <f t="shared" si="6"/>
        <v>Fund Transfer: From YES MASTER 0264 to x0377 (Ref: ) (Type: Master 2 RERA) (BU: Casa Romana) (Head: Internal)</v>
      </c>
      <c r="X10" s="41"/>
      <c r="Y10" s="43">
        <v>74079.78</v>
      </c>
      <c r="Z10" s="32">
        <f t="shared" si="7"/>
        <v>1.78</v>
      </c>
      <c r="AA10" s="2"/>
      <c r="AB10" s="2"/>
      <c r="AC10" s="2"/>
    </row>
    <row r="11" ht="15.75" customHeight="1">
      <c r="A11" s="56">
        <v>226.0</v>
      </c>
      <c r="B11" s="56" t="str">
        <f>IFERROR("Q"&amp;(INT(MOD(#REF!-4,12)/3)+1),"")</f>
        <v/>
      </c>
      <c r="C11" s="56">
        <f t="shared" si="4"/>
        <v>8</v>
      </c>
      <c r="D11" s="60" t="s">
        <v>132</v>
      </c>
      <c r="E11" s="60" t="s">
        <v>132</v>
      </c>
      <c r="F11" s="45"/>
      <c r="G11" s="45" t="s">
        <v>137</v>
      </c>
      <c r="H11" s="61" t="s">
        <v>138</v>
      </c>
      <c r="I11" s="46"/>
      <c r="J11" s="46">
        <v>50000.0</v>
      </c>
      <c r="K11" s="46">
        <f>K12+J11-F11</f>
        <v>179078</v>
      </c>
      <c r="L11" s="62" t="s">
        <v>45</v>
      </c>
      <c r="M11" s="62" t="s">
        <v>94</v>
      </c>
      <c r="N11" s="63" t="s">
        <v>37</v>
      </c>
      <c r="O11" s="62" t="s">
        <v>60</v>
      </c>
      <c r="P11" s="30" t="s">
        <v>95</v>
      </c>
      <c r="Q11" s="64" t="s">
        <v>82</v>
      </c>
      <c r="R11" s="36" t="s">
        <v>37</v>
      </c>
      <c r="S11" s="36" t="s">
        <v>37</v>
      </c>
      <c r="T11" s="36" t="s">
        <v>142</v>
      </c>
      <c r="U11" s="36" t="s">
        <v>37</v>
      </c>
      <c r="V11" s="36" t="s">
        <v>143</v>
      </c>
      <c r="W11" s="30" t="str">
        <f t="shared" si="6"/>
        <v>Receipt: For (Apt#: M-105) (Ref: YES0N6223910853400) (NEFT: AMIT JAIN-LEKH RAJ BAJAJ-HDFCH01188134343) (Type: Customer Collection) (BU: Casa Romana)</v>
      </c>
      <c r="X11" s="65">
        <v>0.01</v>
      </c>
      <c r="Y11" s="59">
        <v>179079.78</v>
      </c>
      <c r="Z11" s="2">
        <f t="shared" si="7"/>
        <v>1.78</v>
      </c>
      <c r="AA11" s="2"/>
      <c r="AB11" s="2"/>
      <c r="AC11" s="2"/>
    </row>
    <row r="12" ht="15.75" customHeight="1">
      <c r="A12" s="29">
        <v>225.0</v>
      </c>
      <c r="B12" s="30" t="str">
        <f t="shared" ref="B12:B37" si="9">IFERROR("Q"&amp;(INT(MOD(C12-4,12)/3)+1),"")</f>
        <v>Q2</v>
      </c>
      <c r="C12" s="29">
        <f t="shared" si="4"/>
        <v>8</v>
      </c>
      <c r="D12" s="52" t="s">
        <v>72</v>
      </c>
      <c r="E12" s="52" t="s">
        <v>72</v>
      </c>
      <c r="F12" s="30" t="s">
        <v>37</v>
      </c>
      <c r="G12" s="30" t="s">
        <v>147</v>
      </c>
      <c r="H12" s="30" t="s">
        <v>37</v>
      </c>
      <c r="I12" s="32"/>
      <c r="J12" s="32">
        <v>100000.0</v>
      </c>
      <c r="K12" s="46">
        <f t="shared" ref="K12:K235" si="10">K13+J12-I12</f>
        <v>129078</v>
      </c>
      <c r="L12" s="30" t="s">
        <v>45</v>
      </c>
      <c r="M12" s="30" t="s">
        <v>94</v>
      </c>
      <c r="N12" s="36" t="s">
        <v>37</v>
      </c>
      <c r="O12" s="36" t="s">
        <v>60</v>
      </c>
      <c r="P12" s="30" t="s">
        <v>95</v>
      </c>
      <c r="Q12" s="30" t="s">
        <v>82</v>
      </c>
      <c r="R12" s="36" t="s">
        <v>37</v>
      </c>
      <c r="S12" s="36" t="s">
        <v>37</v>
      </c>
      <c r="T12" s="36" t="s">
        <v>149</v>
      </c>
      <c r="U12" s="36" t="s">
        <v>37</v>
      </c>
      <c r="V12" s="36" t="s">
        <v>143</v>
      </c>
      <c r="W12" s="30" t="str">
        <f t="shared" si="6"/>
        <v>Receipt: For (Apt#: U-013) (Ref: ) (NEFT: RAHULENT ERPRISES-DWARKADHIS PROJECTS PRIVA-KVBLH00267884483) (Type: Customer Collection) (BU: Casa Romana)</v>
      </c>
      <c r="X12" s="68">
        <v>0.05</v>
      </c>
      <c r="Y12" s="69">
        <v>129079.78</v>
      </c>
      <c r="Z12" s="58">
        <f t="shared" si="7"/>
        <v>1.78</v>
      </c>
      <c r="AA12" s="2"/>
      <c r="AB12" s="2"/>
      <c r="AC12" s="2"/>
    </row>
    <row r="13" ht="15.75" hidden="1" customHeight="1">
      <c r="A13" s="56">
        <v>224.0</v>
      </c>
      <c r="B13" s="56" t="str">
        <f t="shared" si="9"/>
        <v>Q2</v>
      </c>
      <c r="C13" s="56">
        <f t="shared" si="4"/>
        <v>8</v>
      </c>
      <c r="D13" s="60" t="s">
        <v>77</v>
      </c>
      <c r="E13" s="60" t="s">
        <v>77</v>
      </c>
      <c r="F13" s="45" t="s">
        <v>37</v>
      </c>
      <c r="G13" s="45" t="s">
        <v>124</v>
      </c>
      <c r="H13" s="61" t="s">
        <v>37</v>
      </c>
      <c r="I13" s="46">
        <v>198629.0</v>
      </c>
      <c r="J13" s="46"/>
      <c r="K13" s="46">
        <f t="shared" si="10"/>
        <v>29078</v>
      </c>
      <c r="L13" s="62" t="s">
        <v>45</v>
      </c>
      <c r="M13" s="62" t="s">
        <v>47</v>
      </c>
      <c r="N13" s="63" t="s">
        <v>37</v>
      </c>
      <c r="O13" s="62" t="s">
        <v>60</v>
      </c>
      <c r="P13" s="30" t="s">
        <v>61</v>
      </c>
      <c r="Q13" s="64" t="s">
        <v>50</v>
      </c>
      <c r="R13" s="36" t="s">
        <v>37</v>
      </c>
      <c r="S13" s="36" t="s">
        <v>37</v>
      </c>
      <c r="T13" s="36" t="s">
        <v>37</v>
      </c>
      <c r="U13" s="30" t="s">
        <v>37</v>
      </c>
      <c r="V13" s="30" t="s">
        <v>37</v>
      </c>
      <c r="W13" s="30" t="str">
        <f t="shared" si="6"/>
        <v>Fund Transfer: From YES MASTER 0264 to x0377 (Ref: ) (Type: Master 2 RERA) (BU: Casa Romana) (Head: Internal)</v>
      </c>
      <c r="X13" s="68"/>
      <c r="Y13" s="59">
        <v>29079.78</v>
      </c>
      <c r="Z13" s="70">
        <f t="shared" ref="Z13:Z37" si="11">Y13-K13</f>
        <v>1.78</v>
      </c>
      <c r="AA13" s="2"/>
      <c r="AB13" s="2"/>
      <c r="AC13" s="2"/>
    </row>
    <row r="14" ht="15.75" hidden="1" customHeight="1">
      <c r="A14" s="56">
        <v>223.0</v>
      </c>
      <c r="B14" s="56" t="str">
        <f t="shared" si="9"/>
        <v>Q2</v>
      </c>
      <c r="C14" s="56">
        <f t="shared" si="4"/>
        <v>8</v>
      </c>
      <c r="D14" s="60" t="s">
        <v>77</v>
      </c>
      <c r="E14" s="60" t="s">
        <v>77</v>
      </c>
      <c r="F14" s="45" t="s">
        <v>37</v>
      </c>
      <c r="G14" s="45" t="s">
        <v>117</v>
      </c>
      <c r="H14" s="61" t="s">
        <v>37</v>
      </c>
      <c r="I14" s="32">
        <v>85127.0</v>
      </c>
      <c r="J14" s="46"/>
      <c r="K14" s="46">
        <f t="shared" si="10"/>
        <v>227707</v>
      </c>
      <c r="L14" s="62" t="s">
        <v>45</v>
      </c>
      <c r="M14" s="62" t="s">
        <v>47</v>
      </c>
      <c r="N14" s="63" t="s">
        <v>37</v>
      </c>
      <c r="O14" s="62" t="s">
        <v>60</v>
      </c>
      <c r="P14" s="30" t="s">
        <v>51</v>
      </c>
      <c r="Q14" s="64" t="s">
        <v>50</v>
      </c>
      <c r="R14" s="36" t="s">
        <v>37</v>
      </c>
      <c r="S14" s="36" t="s">
        <v>37</v>
      </c>
      <c r="T14" s="36" t="s">
        <v>37</v>
      </c>
      <c r="U14" s="30" t="s">
        <v>37</v>
      </c>
      <c r="V14" s="30" t="s">
        <v>37</v>
      </c>
      <c r="W14" s="30" t="str">
        <f t="shared" si="6"/>
        <v>Fund Transfer: From YES MASTER 0264 to x2477 (Ref: ) (Type: Master to Free) (BU: Casa Romana) (Head: Internal)</v>
      </c>
      <c r="X14" s="68"/>
      <c r="Y14" s="59">
        <v>227708.78</v>
      </c>
      <c r="Z14" s="70">
        <f t="shared" si="11"/>
        <v>1.78</v>
      </c>
      <c r="AA14" s="2"/>
      <c r="AB14" s="2"/>
      <c r="AC14" s="2"/>
    </row>
    <row r="15" ht="15.75" customHeight="1">
      <c r="A15" s="56">
        <v>222.0</v>
      </c>
      <c r="B15" s="56" t="str">
        <f t="shared" si="9"/>
        <v>Q2</v>
      </c>
      <c r="C15" s="56">
        <f t="shared" si="4"/>
        <v>8</v>
      </c>
      <c r="D15" s="60" t="s">
        <v>77</v>
      </c>
      <c r="E15" s="60" t="s">
        <v>77</v>
      </c>
      <c r="F15" s="45" t="s">
        <v>37</v>
      </c>
      <c r="G15" s="45" t="s">
        <v>167</v>
      </c>
      <c r="H15" s="61" t="s">
        <v>37</v>
      </c>
      <c r="I15" s="46"/>
      <c r="J15" s="46">
        <v>15000.0</v>
      </c>
      <c r="K15" s="46">
        <f t="shared" si="10"/>
        <v>312834</v>
      </c>
      <c r="L15" s="62" t="s">
        <v>45</v>
      </c>
      <c r="M15" s="62" t="s">
        <v>94</v>
      </c>
      <c r="N15" s="63" t="s">
        <v>37</v>
      </c>
      <c r="O15" s="62" t="s">
        <v>60</v>
      </c>
      <c r="P15" s="30" t="s">
        <v>95</v>
      </c>
      <c r="Q15" s="64" t="s">
        <v>82</v>
      </c>
      <c r="R15" s="36" t="s">
        <v>37</v>
      </c>
      <c r="S15" s="36" t="s">
        <v>37</v>
      </c>
      <c r="T15" s="36" t="s">
        <v>170</v>
      </c>
      <c r="U15" s="30"/>
      <c r="V15" s="30" t="s">
        <v>143</v>
      </c>
      <c r="W15" s="30" t="str">
        <f t="shared" si="6"/>
        <v>Receipt: For (Apt#: T-052) (Ref: ) ( ASHISH SHUKLA-071691900001571) (Type: Customer Collection) (BU: Casa Romana)</v>
      </c>
      <c r="X15" s="68">
        <v>0.05</v>
      </c>
      <c r="Y15" s="59">
        <v>312835.78</v>
      </c>
      <c r="Z15" s="70">
        <f t="shared" si="11"/>
        <v>1.78</v>
      </c>
      <c r="AA15" s="2"/>
      <c r="AB15" s="2"/>
      <c r="AC15" s="2"/>
    </row>
    <row r="16" ht="15.75" customHeight="1">
      <c r="A16" s="56">
        <v>221.0</v>
      </c>
      <c r="B16" s="56" t="str">
        <f t="shared" si="9"/>
        <v>Q2</v>
      </c>
      <c r="C16" s="56">
        <f t="shared" si="4"/>
        <v>8</v>
      </c>
      <c r="D16" s="60" t="s">
        <v>109</v>
      </c>
      <c r="E16" s="60" t="s">
        <v>109</v>
      </c>
      <c r="F16" s="45" t="s">
        <v>37</v>
      </c>
      <c r="G16" s="45" t="s">
        <v>174</v>
      </c>
      <c r="H16" s="61" t="s">
        <v>37</v>
      </c>
      <c r="I16" s="46"/>
      <c r="J16" s="46">
        <v>218756.0</v>
      </c>
      <c r="K16" s="46">
        <f t="shared" si="10"/>
        <v>297834</v>
      </c>
      <c r="L16" s="62" t="s">
        <v>45</v>
      </c>
      <c r="M16" s="62" t="s">
        <v>94</v>
      </c>
      <c r="N16" s="63" t="s">
        <v>37</v>
      </c>
      <c r="O16" s="62" t="s">
        <v>60</v>
      </c>
      <c r="P16" s="30" t="s">
        <v>95</v>
      </c>
      <c r="Q16" s="64" t="s">
        <v>82</v>
      </c>
      <c r="R16" s="36" t="s">
        <v>37</v>
      </c>
      <c r="S16" s="36" t="s">
        <v>37</v>
      </c>
      <c r="T16" s="36" t="s">
        <v>178</v>
      </c>
      <c r="U16" s="30" t="s">
        <v>37</v>
      </c>
      <c r="V16" s="30" t="s">
        <v>98</v>
      </c>
      <c r="W16" s="30" t="str">
        <f t="shared" si="6"/>
        <v>Receipt: For (Apt#: L-064) (Ref: ) (RTGS: VANDANA KHULLAR-DWARKADHIS PROJECTS PVTL-HDFCR52026080592593517) (Type: Customer Collection) (BU: Casa Romana)</v>
      </c>
      <c r="X16" s="68"/>
      <c r="Y16" s="59">
        <v>297835.78</v>
      </c>
      <c r="Z16" s="70">
        <f t="shared" si="11"/>
        <v>1.78</v>
      </c>
      <c r="AA16" s="2"/>
      <c r="AB16" s="2"/>
      <c r="AC16" s="2"/>
    </row>
    <row r="17" ht="15.75" customHeight="1">
      <c r="A17" s="56">
        <v>220.0</v>
      </c>
      <c r="B17" s="56" t="str">
        <f t="shared" si="9"/>
        <v>Q2</v>
      </c>
      <c r="C17" s="56">
        <f t="shared" si="4"/>
        <v>8</v>
      </c>
      <c r="D17" s="60" t="s">
        <v>109</v>
      </c>
      <c r="E17" s="60" t="s">
        <v>109</v>
      </c>
      <c r="F17" s="45" t="s">
        <v>37</v>
      </c>
      <c r="G17" s="45" t="s">
        <v>182</v>
      </c>
      <c r="H17" s="61" t="s">
        <v>37</v>
      </c>
      <c r="I17" s="46"/>
      <c r="J17" s="46">
        <v>50000.0</v>
      </c>
      <c r="K17" s="46">
        <f t="shared" si="10"/>
        <v>79078</v>
      </c>
      <c r="L17" s="62" t="s">
        <v>45</v>
      </c>
      <c r="M17" s="62" t="s">
        <v>94</v>
      </c>
      <c r="N17" s="63" t="s">
        <v>37</v>
      </c>
      <c r="O17" s="62" t="s">
        <v>60</v>
      </c>
      <c r="P17" s="30" t="s">
        <v>95</v>
      </c>
      <c r="Q17" s="64" t="s">
        <v>82</v>
      </c>
      <c r="R17" s="36" t="s">
        <v>37</v>
      </c>
      <c r="S17" s="36" t="s">
        <v>37</v>
      </c>
      <c r="T17" s="36" t="s">
        <v>185</v>
      </c>
      <c r="U17" s="30"/>
      <c r="V17" s="30" t="s">
        <v>98</v>
      </c>
      <c r="W17" s="30" t="str">
        <f t="shared" si="6"/>
        <v>Receipt: For (Apt#: U-062) (Ref: ) (NEFT: CHETAN A HUJA-DWARKADHIS PROJECTS PRIVA-HDFCH01173383398) (Type: Customer Collection) (BU: Casa Romana)</v>
      </c>
      <c r="X17" s="68"/>
      <c r="Y17" s="59">
        <v>79079.78</v>
      </c>
      <c r="Z17" s="70">
        <f t="shared" si="11"/>
        <v>1.78</v>
      </c>
      <c r="AA17" s="2"/>
      <c r="AB17" s="2"/>
      <c r="AC17" s="2"/>
    </row>
    <row r="18" ht="15.75" hidden="1" customHeight="1">
      <c r="A18" s="56">
        <v>219.0</v>
      </c>
      <c r="B18" s="56" t="str">
        <f t="shared" si="9"/>
        <v>Q2</v>
      </c>
      <c r="C18" s="56">
        <f t="shared" si="4"/>
        <v>8</v>
      </c>
      <c r="D18" s="60" t="s">
        <v>109</v>
      </c>
      <c r="E18" s="60" t="s">
        <v>109</v>
      </c>
      <c r="F18" s="45" t="s">
        <v>37</v>
      </c>
      <c r="G18" s="45" t="s">
        <v>117</v>
      </c>
      <c r="H18" s="61" t="s">
        <v>37</v>
      </c>
      <c r="I18" s="46">
        <v>99576.0</v>
      </c>
      <c r="J18" s="46"/>
      <c r="K18" s="46">
        <f t="shared" si="10"/>
        <v>29078</v>
      </c>
      <c r="L18" s="62" t="s">
        <v>45</v>
      </c>
      <c r="M18" s="62" t="s">
        <v>47</v>
      </c>
      <c r="N18" s="63" t="s">
        <v>37</v>
      </c>
      <c r="O18" s="62" t="s">
        <v>60</v>
      </c>
      <c r="P18" s="30" t="s">
        <v>51</v>
      </c>
      <c r="Q18" s="64" t="s">
        <v>50</v>
      </c>
      <c r="R18" s="36" t="s">
        <v>37</v>
      </c>
      <c r="S18" s="36" t="s">
        <v>37</v>
      </c>
      <c r="T18" s="36" t="s">
        <v>37</v>
      </c>
      <c r="U18" s="30" t="s">
        <v>37</v>
      </c>
      <c r="V18" s="30" t="s">
        <v>37</v>
      </c>
      <c r="W18" s="30" t="str">
        <f t="shared" si="6"/>
        <v>Fund Transfer: From YES MASTER 0264 to x2477 (Ref: ) (Type: Master to Free) (BU: Casa Romana) (Head: Internal)</v>
      </c>
      <c r="X18" s="68"/>
      <c r="Y18" s="59">
        <v>29079.78</v>
      </c>
      <c r="Z18" s="70">
        <f t="shared" si="11"/>
        <v>1.78</v>
      </c>
      <c r="AA18" s="2"/>
      <c r="AB18" s="2"/>
      <c r="AC18" s="2"/>
    </row>
    <row r="19" ht="15.75" hidden="1" customHeight="1">
      <c r="A19" s="56">
        <v>218.0</v>
      </c>
      <c r="B19" s="56" t="str">
        <f t="shared" si="9"/>
        <v>Q2</v>
      </c>
      <c r="C19" s="56">
        <f t="shared" si="4"/>
        <v>8</v>
      </c>
      <c r="D19" s="60" t="s">
        <v>109</v>
      </c>
      <c r="E19" s="60" t="s">
        <v>109</v>
      </c>
      <c r="F19" s="45" t="s">
        <v>37</v>
      </c>
      <c r="G19" s="45" t="s">
        <v>124</v>
      </c>
      <c r="H19" s="61" t="s">
        <v>37</v>
      </c>
      <c r="I19" s="46">
        <v>232344.0</v>
      </c>
      <c r="J19" s="46"/>
      <c r="K19" s="46">
        <f t="shared" si="10"/>
        <v>128654</v>
      </c>
      <c r="L19" s="62" t="s">
        <v>45</v>
      </c>
      <c r="M19" s="62" t="s">
        <v>47</v>
      </c>
      <c r="N19" s="63" t="s">
        <v>37</v>
      </c>
      <c r="O19" s="62" t="s">
        <v>60</v>
      </c>
      <c r="P19" s="30" t="s">
        <v>61</v>
      </c>
      <c r="Q19" s="64" t="s">
        <v>50</v>
      </c>
      <c r="R19" s="36" t="s">
        <v>37</v>
      </c>
      <c r="S19" s="36" t="s">
        <v>37</v>
      </c>
      <c r="T19" s="36" t="s">
        <v>37</v>
      </c>
      <c r="U19" s="30" t="s">
        <v>37</v>
      </c>
      <c r="V19" s="30" t="s">
        <v>37</v>
      </c>
      <c r="W19" s="30" t="str">
        <f t="shared" si="6"/>
        <v>Fund Transfer: From YES MASTER 0264 to x0377 (Ref: ) (Type: Master 2 RERA) (BU: Casa Romana) (Head: Internal)</v>
      </c>
      <c r="X19" s="68"/>
      <c r="Y19" s="59">
        <v>128655.78</v>
      </c>
      <c r="Z19" s="70">
        <f t="shared" si="11"/>
        <v>1.78</v>
      </c>
      <c r="AA19" s="2"/>
      <c r="AB19" s="2"/>
      <c r="AC19" s="2"/>
    </row>
    <row r="20" ht="15.75" customHeight="1">
      <c r="A20" s="56">
        <v>217.0</v>
      </c>
      <c r="B20" s="56" t="str">
        <f t="shared" si="9"/>
        <v>Q2</v>
      </c>
      <c r="C20" s="56">
        <f t="shared" si="4"/>
        <v>8</v>
      </c>
      <c r="D20" s="60" t="s">
        <v>109</v>
      </c>
      <c r="E20" s="60" t="s">
        <v>109</v>
      </c>
      <c r="F20" s="45" t="s">
        <v>37</v>
      </c>
      <c r="G20" s="45" t="s">
        <v>204</v>
      </c>
      <c r="H20" s="61" t="s">
        <v>37</v>
      </c>
      <c r="I20" s="46"/>
      <c r="J20" s="46">
        <v>61110.0</v>
      </c>
      <c r="K20" s="46">
        <f t="shared" si="10"/>
        <v>360998</v>
      </c>
      <c r="L20" s="62" t="s">
        <v>45</v>
      </c>
      <c r="M20" s="62" t="s">
        <v>94</v>
      </c>
      <c r="N20" s="63" t="s">
        <v>37</v>
      </c>
      <c r="O20" s="62" t="s">
        <v>60</v>
      </c>
      <c r="P20" s="30" t="s">
        <v>95</v>
      </c>
      <c r="Q20" s="64" t="s">
        <v>82</v>
      </c>
      <c r="R20" s="36" t="s">
        <v>37</v>
      </c>
      <c r="S20" s="36" t="s">
        <v>37</v>
      </c>
      <c r="T20" s="36" t="s">
        <v>205</v>
      </c>
      <c r="U20" s="30" t="s">
        <v>37</v>
      </c>
      <c r="V20" s="30" t="s">
        <v>143</v>
      </c>
      <c r="W20" s="30" t="str">
        <f t="shared" si="6"/>
        <v>Receipt: For (Apt#: L-043) (Ref: ) (NEFT: VIDYA DEVI -DWARKADHIS PROJECTS PVT L-SBIN526217498424) (Type: Customer Collection) (BU: Casa Romana)</v>
      </c>
      <c r="X20" s="68">
        <v>0.05</v>
      </c>
      <c r="Y20" s="59">
        <v>360999.78</v>
      </c>
      <c r="Z20" s="70">
        <f t="shared" si="11"/>
        <v>1.78</v>
      </c>
      <c r="AA20" s="2"/>
      <c r="AB20" s="2"/>
      <c r="AC20" s="2"/>
    </row>
    <row r="21" ht="15.75" hidden="1" customHeight="1">
      <c r="A21" s="56">
        <v>216.0</v>
      </c>
      <c r="B21" s="56" t="str">
        <f t="shared" si="9"/>
        <v>Q2</v>
      </c>
      <c r="C21" s="56">
        <f t="shared" si="4"/>
        <v>8</v>
      </c>
      <c r="D21" s="60" t="s">
        <v>109</v>
      </c>
      <c r="E21" s="60" t="s">
        <v>109</v>
      </c>
      <c r="F21" s="45" t="s">
        <v>37</v>
      </c>
      <c r="G21" s="45" t="s">
        <v>124</v>
      </c>
      <c r="H21" s="61" t="s">
        <v>37</v>
      </c>
      <c r="I21" s="46">
        <v>159227.0</v>
      </c>
      <c r="J21" s="46"/>
      <c r="K21" s="46">
        <f t="shared" si="10"/>
        <v>299888</v>
      </c>
      <c r="L21" s="62" t="s">
        <v>45</v>
      </c>
      <c r="M21" s="62" t="s">
        <v>47</v>
      </c>
      <c r="N21" s="63" t="s">
        <v>37</v>
      </c>
      <c r="O21" s="62" t="s">
        <v>60</v>
      </c>
      <c r="P21" s="30" t="s">
        <v>61</v>
      </c>
      <c r="Q21" s="64" t="s">
        <v>50</v>
      </c>
      <c r="R21" s="36" t="s">
        <v>37</v>
      </c>
      <c r="S21" s="36" t="s">
        <v>37</v>
      </c>
      <c r="T21" s="36" t="s">
        <v>37</v>
      </c>
      <c r="U21" s="30" t="s">
        <v>37</v>
      </c>
      <c r="V21" s="30" t="s">
        <v>37</v>
      </c>
      <c r="W21" s="30" t="str">
        <f t="shared" si="6"/>
        <v>Fund Transfer: From YES MASTER 0264 to x0377 (Ref: ) (Type: Master 2 RERA) (BU: Casa Romana) (Head: Internal)</v>
      </c>
      <c r="X21" s="68"/>
      <c r="Y21" s="59">
        <v>299889.78</v>
      </c>
      <c r="Z21" s="70">
        <f t="shared" si="11"/>
        <v>1.78</v>
      </c>
      <c r="AA21" s="2"/>
      <c r="AB21" s="2"/>
      <c r="AC21" s="2"/>
    </row>
    <row r="22" ht="15.75" hidden="1" customHeight="1">
      <c r="A22" s="56">
        <v>215.0</v>
      </c>
      <c r="B22" s="56" t="str">
        <f t="shared" si="9"/>
        <v>Q2</v>
      </c>
      <c r="C22" s="56">
        <f t="shared" si="4"/>
        <v>8</v>
      </c>
      <c r="D22" s="60" t="s">
        <v>109</v>
      </c>
      <c r="E22" s="60" t="s">
        <v>109</v>
      </c>
      <c r="F22" s="45" t="s">
        <v>37</v>
      </c>
      <c r="G22" s="45" t="s">
        <v>117</v>
      </c>
      <c r="H22" s="61" t="s">
        <v>37</v>
      </c>
      <c r="I22" s="46">
        <v>68240.0</v>
      </c>
      <c r="J22" s="46"/>
      <c r="K22" s="46">
        <f t="shared" si="10"/>
        <v>459115</v>
      </c>
      <c r="L22" s="62" t="s">
        <v>45</v>
      </c>
      <c r="M22" s="62" t="s">
        <v>47</v>
      </c>
      <c r="N22" s="63" t="s">
        <v>37</v>
      </c>
      <c r="O22" s="62" t="s">
        <v>60</v>
      </c>
      <c r="P22" s="30" t="s">
        <v>51</v>
      </c>
      <c r="Q22" s="64" t="s">
        <v>50</v>
      </c>
      <c r="R22" s="36" t="s">
        <v>37</v>
      </c>
      <c r="S22" s="36" t="s">
        <v>37</v>
      </c>
      <c r="T22" s="36" t="s">
        <v>37</v>
      </c>
      <c r="U22" s="30" t="s">
        <v>37</v>
      </c>
      <c r="V22" s="30" t="s">
        <v>37</v>
      </c>
      <c r="W22" s="30" t="str">
        <f t="shared" si="6"/>
        <v>Fund Transfer: From YES MASTER 0264 to x2477 (Ref: ) (Type: Master to Free) (BU: Casa Romana) (Head: Internal)</v>
      </c>
      <c r="X22" s="68"/>
      <c r="Y22" s="59">
        <v>459116.78</v>
      </c>
      <c r="Z22" s="70">
        <f t="shared" si="11"/>
        <v>1.78</v>
      </c>
      <c r="AA22" s="2"/>
      <c r="AB22" s="2"/>
      <c r="AC22" s="2"/>
    </row>
    <row r="23" ht="15.75" customHeight="1">
      <c r="A23" s="56">
        <v>214.0</v>
      </c>
      <c r="B23" s="56" t="str">
        <f t="shared" si="9"/>
        <v>Q2</v>
      </c>
      <c r="C23" s="56">
        <f t="shared" si="4"/>
        <v>8</v>
      </c>
      <c r="D23" s="60" t="s">
        <v>126</v>
      </c>
      <c r="E23" s="60" t="s">
        <v>126</v>
      </c>
      <c r="F23" s="45" t="s">
        <v>37</v>
      </c>
      <c r="G23" s="45" t="s">
        <v>221</v>
      </c>
      <c r="H23" s="61" t="s">
        <v>37</v>
      </c>
      <c r="I23" s="46"/>
      <c r="J23" s="46">
        <v>100000.0</v>
      </c>
      <c r="K23" s="46">
        <f t="shared" si="10"/>
        <v>527355</v>
      </c>
      <c r="L23" s="62" t="s">
        <v>45</v>
      </c>
      <c r="M23" s="62" t="s">
        <v>94</v>
      </c>
      <c r="N23" s="63" t="s">
        <v>37</v>
      </c>
      <c r="O23" s="62" t="s">
        <v>60</v>
      </c>
      <c r="P23" s="30" t="s">
        <v>95</v>
      </c>
      <c r="Q23" s="64" t="s">
        <v>82</v>
      </c>
      <c r="R23" s="36" t="s">
        <v>37</v>
      </c>
      <c r="S23" s="36" t="s">
        <v>37</v>
      </c>
      <c r="T23" s="36" t="s">
        <v>222</v>
      </c>
      <c r="U23" s="30" t="s">
        <v>37</v>
      </c>
      <c r="V23" s="30" t="s">
        <v>223</v>
      </c>
      <c r="W23" s="30" t="str">
        <f t="shared" si="6"/>
        <v>Receipt: For (Apt#: U-092) (Ref: ) (NEFT: POONAM K AUR-DWARKADHIS PROJECTS PRIVA-IN12621649590896) (Type: Customer Collection) (BU: Casa Romana)</v>
      </c>
      <c r="X23" s="68"/>
      <c r="Y23" s="59">
        <v>527356.78</v>
      </c>
      <c r="Z23" s="59">
        <f t="shared" si="11"/>
        <v>1.78</v>
      </c>
      <c r="AA23" s="2"/>
      <c r="AB23" s="2" t="s">
        <v>227</v>
      </c>
      <c r="AC23" s="2"/>
    </row>
    <row r="24" ht="15.75" customHeight="1">
      <c r="A24" s="56">
        <v>213.0</v>
      </c>
      <c r="B24" s="56" t="str">
        <f t="shared" si="9"/>
        <v>Q2</v>
      </c>
      <c r="C24" s="56">
        <f t="shared" si="4"/>
        <v>8</v>
      </c>
      <c r="D24" s="60" t="s">
        <v>126</v>
      </c>
      <c r="E24" s="60" t="s">
        <v>126</v>
      </c>
      <c r="F24" s="45" t="s">
        <v>37</v>
      </c>
      <c r="G24" s="45" t="s">
        <v>230</v>
      </c>
      <c r="H24" s="61" t="s">
        <v>37</v>
      </c>
      <c r="I24" s="46"/>
      <c r="J24" s="46">
        <v>170820.0</v>
      </c>
      <c r="K24" s="46">
        <f t="shared" si="10"/>
        <v>427355</v>
      </c>
      <c r="L24" s="62" t="s">
        <v>45</v>
      </c>
      <c r="M24" s="62" t="s">
        <v>94</v>
      </c>
      <c r="N24" s="63" t="s">
        <v>37</v>
      </c>
      <c r="O24" s="62" t="s">
        <v>60</v>
      </c>
      <c r="P24" s="30" t="s">
        <v>95</v>
      </c>
      <c r="Q24" s="64" t="s">
        <v>82</v>
      </c>
      <c r="R24" s="36" t="s">
        <v>37</v>
      </c>
      <c r="S24" s="36" t="s">
        <v>37</v>
      </c>
      <c r="T24" s="36" t="s">
        <v>231</v>
      </c>
      <c r="U24" s="30" t="s">
        <v>37</v>
      </c>
      <c r="V24" s="30" t="s">
        <v>232</v>
      </c>
      <c r="W24" s="30" t="str">
        <f t="shared" si="6"/>
        <v>Receipt: For (Apt#: T-103) (Ref: ) (IMPS: REUBEN MUKHERJEE U/G S OUMEN MUKHERJEE/XXX9384/RRN:621655423714/HDFC BANK) (Type: Customer Collection) (BU: Casa Romana)</v>
      </c>
      <c r="X24" s="68"/>
      <c r="Y24" s="59">
        <v>427356.78</v>
      </c>
      <c r="Z24" s="59">
        <f t="shared" si="11"/>
        <v>1.78</v>
      </c>
      <c r="AA24" s="2"/>
      <c r="AB24" s="2" t="s">
        <v>227</v>
      </c>
      <c r="AC24" s="2"/>
    </row>
    <row r="25" ht="15.75" customHeight="1">
      <c r="A25" s="56">
        <v>212.0</v>
      </c>
      <c r="B25" s="56" t="str">
        <f t="shared" si="9"/>
        <v>Q2</v>
      </c>
      <c r="C25" s="56">
        <f t="shared" si="4"/>
        <v>8</v>
      </c>
      <c r="D25" s="60" t="s">
        <v>126</v>
      </c>
      <c r="E25" s="60" t="s">
        <v>126</v>
      </c>
      <c r="F25" s="45" t="s">
        <v>37</v>
      </c>
      <c r="G25" s="45" t="s">
        <v>236</v>
      </c>
      <c r="H25" s="61" t="s">
        <v>237</v>
      </c>
      <c r="I25" s="46"/>
      <c r="J25" s="46">
        <v>100000.0</v>
      </c>
      <c r="K25" s="46">
        <f t="shared" si="10"/>
        <v>256535</v>
      </c>
      <c r="L25" s="62" t="s">
        <v>45</v>
      </c>
      <c r="M25" s="62" t="s">
        <v>94</v>
      </c>
      <c r="N25" s="63" t="s">
        <v>37</v>
      </c>
      <c r="O25" s="62" t="s">
        <v>60</v>
      </c>
      <c r="P25" s="30" t="s">
        <v>95</v>
      </c>
      <c r="Q25" s="64" t="s">
        <v>82</v>
      </c>
      <c r="R25" s="36" t="s">
        <v>37</v>
      </c>
      <c r="S25" s="36" t="s">
        <v>37</v>
      </c>
      <c r="T25" s="36" t="s">
        <v>240</v>
      </c>
      <c r="U25" s="30" t="s">
        <v>37</v>
      </c>
      <c r="V25" s="36" t="s">
        <v>143</v>
      </c>
      <c r="W25" s="30" t="str">
        <f t="shared" si="6"/>
        <v>Receipt: For (Apt#: P-054) (Ref: YES0N6216966268000) (NEFT: SANJAY YADAV-DWAR KADHIS PROJECTS IVA-IN12621649540991) (Type: Customer Collection) (BU: Casa Romana)</v>
      </c>
      <c r="X25" s="68">
        <v>0.05</v>
      </c>
      <c r="Y25" s="59">
        <v>256536.78</v>
      </c>
      <c r="Z25" s="59">
        <f t="shared" si="11"/>
        <v>1.78</v>
      </c>
      <c r="AA25" s="2"/>
      <c r="AB25" s="2" t="s">
        <v>227</v>
      </c>
      <c r="AC25" s="2"/>
    </row>
    <row r="26" ht="15.75" customHeight="1">
      <c r="A26" s="56">
        <v>211.0</v>
      </c>
      <c r="B26" s="56" t="str">
        <f t="shared" si="9"/>
        <v>Q2</v>
      </c>
      <c r="C26" s="56">
        <f t="shared" si="4"/>
        <v>8</v>
      </c>
      <c r="D26" s="60" t="s">
        <v>126</v>
      </c>
      <c r="E26" s="60" t="s">
        <v>126</v>
      </c>
      <c r="F26" s="45" t="s">
        <v>37</v>
      </c>
      <c r="G26" s="45" t="s">
        <v>242</v>
      </c>
      <c r="H26" s="61" t="s">
        <v>243</v>
      </c>
      <c r="I26" s="46"/>
      <c r="J26" s="46">
        <v>10600.0</v>
      </c>
      <c r="K26" s="46">
        <f t="shared" si="10"/>
        <v>156535</v>
      </c>
      <c r="L26" s="62" t="s">
        <v>45</v>
      </c>
      <c r="M26" s="62" t="s">
        <v>94</v>
      </c>
      <c r="N26" s="63" t="s">
        <v>37</v>
      </c>
      <c r="O26" s="62" t="s">
        <v>60</v>
      </c>
      <c r="P26" s="30" t="s">
        <v>95</v>
      </c>
      <c r="Q26" s="64" t="s">
        <v>82</v>
      </c>
      <c r="R26" s="36" t="s">
        <v>37</v>
      </c>
      <c r="S26" s="36" t="s">
        <v>37</v>
      </c>
      <c r="T26" s="36" t="s">
        <v>244</v>
      </c>
      <c r="U26" s="30" t="s">
        <v>37</v>
      </c>
      <c r="V26" s="36" t="s">
        <v>143</v>
      </c>
      <c r="W26" s="30" t="str">
        <f t="shared" si="6"/>
        <v>Receipt: For (Apt#: R-064) (Ref: YBP6216640374289) (IMPS: AMITKUMAR/X XX3986/RRN:62161 4493753/AXIS BANK) (Type: Customer Collection) (BU: Casa Romana)</v>
      </c>
      <c r="X26" s="68">
        <v>0.01</v>
      </c>
      <c r="Y26" s="59">
        <v>156536.78</v>
      </c>
      <c r="Z26" s="59">
        <f t="shared" si="11"/>
        <v>1.78</v>
      </c>
      <c r="AA26" s="2"/>
      <c r="AB26" s="2" t="s">
        <v>227</v>
      </c>
      <c r="AC26" s="2"/>
    </row>
    <row r="27" ht="15.75" customHeight="1">
      <c r="A27" s="56">
        <v>210.0</v>
      </c>
      <c r="B27" s="56" t="str">
        <f t="shared" si="9"/>
        <v>Q2</v>
      </c>
      <c r="C27" s="56">
        <f t="shared" si="4"/>
        <v>8</v>
      </c>
      <c r="D27" s="60" t="s">
        <v>126</v>
      </c>
      <c r="E27" s="60" t="s">
        <v>126</v>
      </c>
      <c r="F27" s="45" t="s">
        <v>37</v>
      </c>
      <c r="G27" s="45" t="s">
        <v>249</v>
      </c>
      <c r="H27" s="61" t="s">
        <v>251</v>
      </c>
      <c r="I27" s="46"/>
      <c r="J27" s="46">
        <v>91867.0</v>
      </c>
      <c r="K27" s="46">
        <f t="shared" si="10"/>
        <v>145935</v>
      </c>
      <c r="L27" s="62" t="s">
        <v>45</v>
      </c>
      <c r="M27" s="62" t="s">
        <v>94</v>
      </c>
      <c r="N27" s="63" t="s">
        <v>37</v>
      </c>
      <c r="O27" s="62" t="s">
        <v>60</v>
      </c>
      <c r="P27" s="30" t="s">
        <v>95</v>
      </c>
      <c r="Q27" s="64" t="s">
        <v>82</v>
      </c>
      <c r="R27" s="36" t="s">
        <v>37</v>
      </c>
      <c r="S27" s="36" t="s">
        <v>37</v>
      </c>
      <c r="T27" s="36" t="s">
        <v>252</v>
      </c>
      <c r="U27" s="30" t="s">
        <v>37</v>
      </c>
      <c r="V27" s="36" t="s">
        <v>98</v>
      </c>
      <c r="W27" s="30" t="str">
        <f t="shared" si="6"/>
        <v>Receipt: For (Apt#: T-101) (Ref: YES0N6216953371600) (NEFT: LT JITENDRA KUMAR AGARWAL-DWARKA DHIS PROJECTS PRIV A-HDFCH01168958353) (Type: Customer Collection) (BU: Casa Romana)</v>
      </c>
      <c r="X27" s="68"/>
      <c r="Y27" s="59">
        <v>145936.78</v>
      </c>
      <c r="Z27" s="59">
        <f t="shared" si="11"/>
        <v>1.78</v>
      </c>
      <c r="AA27" s="2"/>
      <c r="AB27" s="2" t="s">
        <v>227</v>
      </c>
      <c r="AC27" s="2"/>
    </row>
    <row r="28" ht="15.75" hidden="1" customHeight="1">
      <c r="A28" s="56">
        <v>209.0</v>
      </c>
      <c r="B28" s="56" t="str">
        <f t="shared" si="9"/>
        <v>Q2</v>
      </c>
      <c r="C28" s="56">
        <f t="shared" si="4"/>
        <v>8</v>
      </c>
      <c r="D28" s="60" t="s">
        <v>126</v>
      </c>
      <c r="E28" s="60" t="s">
        <v>126</v>
      </c>
      <c r="F28" s="45" t="s">
        <v>37</v>
      </c>
      <c r="G28" s="45" t="s">
        <v>253</v>
      </c>
      <c r="H28" s="61" t="s">
        <v>254</v>
      </c>
      <c r="I28" s="46">
        <v>103199.0</v>
      </c>
      <c r="J28" s="46"/>
      <c r="K28" s="46">
        <f t="shared" si="10"/>
        <v>54068</v>
      </c>
      <c r="L28" s="62" t="s">
        <v>45</v>
      </c>
      <c r="M28" s="62" t="s">
        <v>47</v>
      </c>
      <c r="N28" s="63" t="s">
        <v>37</v>
      </c>
      <c r="O28" s="62" t="s">
        <v>60</v>
      </c>
      <c r="P28" s="30" t="s">
        <v>51</v>
      </c>
      <c r="Q28" s="64" t="s">
        <v>50</v>
      </c>
      <c r="R28" s="36" t="s">
        <v>37</v>
      </c>
      <c r="S28" s="36" t="s">
        <v>37</v>
      </c>
      <c r="T28" s="36" t="s">
        <v>37</v>
      </c>
      <c r="U28" s="30" t="s">
        <v>37</v>
      </c>
      <c r="V28" s="36" t="s">
        <v>37</v>
      </c>
      <c r="W28" s="30" t="str">
        <f t="shared" si="6"/>
        <v>Fund Transfer: From YES MASTER 0264 to x2477 (Ref: YESME6216001852600) (Type: Master to Free) (BU: Casa Romana) (Head: Internal)</v>
      </c>
      <c r="X28" s="68"/>
      <c r="Y28" s="59">
        <v>54069.78</v>
      </c>
      <c r="Z28" s="59">
        <f t="shared" si="11"/>
        <v>1.78</v>
      </c>
      <c r="AA28" s="2"/>
      <c r="AB28" s="2" t="s">
        <v>227</v>
      </c>
      <c r="AC28" s="2"/>
    </row>
    <row r="29" ht="15.75" hidden="1" customHeight="1">
      <c r="A29" s="56">
        <v>208.0</v>
      </c>
      <c r="B29" s="56" t="str">
        <f t="shared" si="9"/>
        <v>Q2</v>
      </c>
      <c r="C29" s="56">
        <f t="shared" si="4"/>
        <v>8</v>
      </c>
      <c r="D29" s="60" t="s">
        <v>126</v>
      </c>
      <c r="E29" s="60" t="s">
        <v>126</v>
      </c>
      <c r="F29" s="45" t="s">
        <v>37</v>
      </c>
      <c r="G29" s="45" t="s">
        <v>258</v>
      </c>
      <c r="H29" s="61" t="s">
        <v>128</v>
      </c>
      <c r="I29" s="46">
        <v>240798.0</v>
      </c>
      <c r="J29" s="46"/>
      <c r="K29" s="46">
        <f t="shared" si="10"/>
        <v>157267</v>
      </c>
      <c r="L29" s="62" t="s">
        <v>45</v>
      </c>
      <c r="M29" s="62" t="s">
        <v>47</v>
      </c>
      <c r="N29" s="63" t="s">
        <v>37</v>
      </c>
      <c r="O29" s="62" t="s">
        <v>60</v>
      </c>
      <c r="P29" s="30" t="s">
        <v>61</v>
      </c>
      <c r="Q29" s="64" t="s">
        <v>50</v>
      </c>
      <c r="R29" s="36" t="s">
        <v>37</v>
      </c>
      <c r="S29" s="36" t="s">
        <v>37</v>
      </c>
      <c r="T29" s="36" t="s">
        <v>37</v>
      </c>
      <c r="U29" s="30" t="s">
        <v>37</v>
      </c>
      <c r="V29" s="36" t="s">
        <v>37</v>
      </c>
      <c r="W29" s="30" t="str">
        <f t="shared" si="6"/>
        <v>Fund Transfer: From YES MASTER 0264 to x0377 (Ref: YESME6216001852500) (Type: Master 2 RERA) (BU: Casa Romana) (Head: Internal)</v>
      </c>
      <c r="X29" s="68"/>
      <c r="Y29" s="59">
        <v>157268.78</v>
      </c>
      <c r="Z29" s="59">
        <f t="shared" si="11"/>
        <v>1.78</v>
      </c>
      <c r="AA29" s="2"/>
      <c r="AB29" s="2" t="s">
        <v>227</v>
      </c>
      <c r="AC29" s="2"/>
    </row>
    <row r="30" ht="15.75" customHeight="1">
      <c r="A30" s="56">
        <v>207.0</v>
      </c>
      <c r="B30" s="56" t="str">
        <f t="shared" si="9"/>
        <v>Q2</v>
      </c>
      <c r="C30" s="56">
        <f t="shared" si="4"/>
        <v>8</v>
      </c>
      <c r="D30" s="60" t="s">
        <v>126</v>
      </c>
      <c r="E30" s="60" t="s">
        <v>126</v>
      </c>
      <c r="F30" s="45" t="s">
        <v>37</v>
      </c>
      <c r="G30" s="45" t="s">
        <v>262</v>
      </c>
      <c r="H30" s="61" t="s">
        <v>263</v>
      </c>
      <c r="I30" s="46"/>
      <c r="J30" s="46">
        <v>25000.0</v>
      </c>
      <c r="K30" s="46">
        <f t="shared" si="10"/>
        <v>398065</v>
      </c>
      <c r="L30" s="62" t="s">
        <v>45</v>
      </c>
      <c r="M30" s="62" t="s">
        <v>94</v>
      </c>
      <c r="N30" s="63" t="s">
        <v>37</v>
      </c>
      <c r="O30" s="62" t="s">
        <v>60</v>
      </c>
      <c r="P30" s="30" t="s">
        <v>95</v>
      </c>
      <c r="Q30" s="64" t="s">
        <v>82</v>
      </c>
      <c r="R30" s="36" t="s">
        <v>37</v>
      </c>
      <c r="S30" s="36" t="s">
        <v>37</v>
      </c>
      <c r="T30" s="36" t="s">
        <v>265</v>
      </c>
      <c r="U30" s="30" t="s">
        <v>37</v>
      </c>
      <c r="V30" s="36" t="s">
        <v>143</v>
      </c>
      <c r="W30" s="30" t="str">
        <f t="shared" si="6"/>
        <v>Receipt: For (Apt#: N-104) (Ref: YBP6216639920533) (IMPS: ANJANJEET SINGH HAL/XXX5487/RRN:6216097 90512/ICICI BANK LIMITED) (Type: Customer Collection) (BU: Casa Romana)</v>
      </c>
      <c r="X30" s="68">
        <v>0.01</v>
      </c>
      <c r="Y30" s="59">
        <v>398066.78</v>
      </c>
      <c r="Z30" s="59">
        <f t="shared" si="11"/>
        <v>1.78</v>
      </c>
      <c r="AA30" s="2"/>
      <c r="AB30" s="2" t="s">
        <v>227</v>
      </c>
      <c r="AC30" s="2"/>
    </row>
    <row r="31" ht="15.75" customHeight="1">
      <c r="A31" s="56">
        <v>206.0</v>
      </c>
      <c r="B31" s="56" t="str">
        <f t="shared" si="9"/>
        <v>Q2</v>
      </c>
      <c r="C31" s="56">
        <f t="shared" si="4"/>
        <v>8</v>
      </c>
      <c r="D31" s="60" t="s">
        <v>268</v>
      </c>
      <c r="E31" s="60" t="s">
        <v>268</v>
      </c>
      <c r="F31" s="45" t="s">
        <v>37</v>
      </c>
      <c r="G31" s="45" t="s">
        <v>270</v>
      </c>
      <c r="H31" s="61" t="s">
        <v>271</v>
      </c>
      <c r="I31" s="46"/>
      <c r="J31" s="46">
        <v>35200.0</v>
      </c>
      <c r="K31" s="46">
        <f t="shared" si="10"/>
        <v>373065</v>
      </c>
      <c r="L31" s="62" t="s">
        <v>45</v>
      </c>
      <c r="M31" s="62" t="s">
        <v>94</v>
      </c>
      <c r="N31" s="63" t="s">
        <v>37</v>
      </c>
      <c r="O31" s="62" t="s">
        <v>60</v>
      </c>
      <c r="P31" s="30" t="s">
        <v>95</v>
      </c>
      <c r="Q31" s="64" t="s">
        <v>82</v>
      </c>
      <c r="R31" s="36" t="s">
        <v>37</v>
      </c>
      <c r="S31" s="36" t="s">
        <v>37</v>
      </c>
      <c r="T31" s="36" t="s">
        <v>272</v>
      </c>
      <c r="U31" s="30" t="s">
        <v>37</v>
      </c>
      <c r="V31" s="36" t="s">
        <v>143</v>
      </c>
      <c r="W31" s="30" t="str">
        <f t="shared" si="6"/>
        <v>Receipt: For (Apt#: M-118) (Ref: YES0N6215790227400) (NEFT: ARUNABH SINGH-D A-HDFCH01166052298) (Type: Customer Collection) (BU: Casa Romana)</v>
      </c>
      <c r="X31" s="68">
        <v>0.01</v>
      </c>
      <c r="Y31" s="59">
        <v>373066.78</v>
      </c>
      <c r="Z31" s="59">
        <f t="shared" si="11"/>
        <v>1.78</v>
      </c>
      <c r="AA31" s="2"/>
      <c r="AB31" s="2" t="s">
        <v>227</v>
      </c>
      <c r="AC31" s="2"/>
    </row>
    <row r="32" ht="15.75" customHeight="1">
      <c r="A32" s="56">
        <v>205.0</v>
      </c>
      <c r="B32" s="56" t="str">
        <f t="shared" si="9"/>
        <v>Q2</v>
      </c>
      <c r="C32" s="56">
        <f t="shared" si="4"/>
        <v>8</v>
      </c>
      <c r="D32" s="60" t="s">
        <v>268</v>
      </c>
      <c r="E32" s="60" t="s">
        <v>268</v>
      </c>
      <c r="F32" s="45" t="s">
        <v>37</v>
      </c>
      <c r="G32" s="45" t="s">
        <v>278</v>
      </c>
      <c r="H32" s="61" t="s">
        <v>279</v>
      </c>
      <c r="I32" s="46"/>
      <c r="J32" s="46">
        <v>63740.0</v>
      </c>
      <c r="K32" s="46">
        <f t="shared" si="10"/>
        <v>337865</v>
      </c>
      <c r="L32" s="62" t="s">
        <v>45</v>
      </c>
      <c r="M32" s="62" t="s">
        <v>94</v>
      </c>
      <c r="N32" s="63" t="s">
        <v>37</v>
      </c>
      <c r="O32" s="62" t="s">
        <v>60</v>
      </c>
      <c r="P32" s="30" t="s">
        <v>95</v>
      </c>
      <c r="Q32" s="64" t="s">
        <v>82</v>
      </c>
      <c r="R32" s="36" t="s">
        <v>37</v>
      </c>
      <c r="S32" s="36" t="s">
        <v>37</v>
      </c>
      <c r="T32" s="36" t="s">
        <v>272</v>
      </c>
      <c r="U32" s="30" t="s">
        <v>37</v>
      </c>
      <c r="V32" s="36" t="s">
        <v>143</v>
      </c>
      <c r="W32" s="30" t="str">
        <f t="shared" si="6"/>
        <v>Receipt: For (Apt#: M-118) (Ref: YES0N6215789866800) (NEFT: ARUNABH SINGH-D WARKADHIS PROJECTS PRIV A-HDFCH01166050774) (Type: Customer Collection) (BU: Casa Romana)</v>
      </c>
      <c r="X32" s="68">
        <v>0.01</v>
      </c>
      <c r="Y32" s="59">
        <v>337866.78</v>
      </c>
      <c r="Z32" s="59">
        <f t="shared" si="11"/>
        <v>1.78</v>
      </c>
      <c r="AA32" s="2"/>
      <c r="AB32" s="2" t="s">
        <v>227</v>
      </c>
      <c r="AC32" s="2"/>
    </row>
    <row r="33" ht="15.75" customHeight="1">
      <c r="A33" s="56">
        <v>204.0</v>
      </c>
      <c r="B33" s="56" t="str">
        <f t="shared" si="9"/>
        <v>Q2</v>
      </c>
      <c r="C33" s="56">
        <f t="shared" si="4"/>
        <v>8</v>
      </c>
      <c r="D33" s="60" t="s">
        <v>282</v>
      </c>
      <c r="E33" s="60" t="s">
        <v>282</v>
      </c>
      <c r="F33" s="45" t="s">
        <v>37</v>
      </c>
      <c r="G33" s="45" t="s">
        <v>283</v>
      </c>
      <c r="H33" s="61" t="s">
        <v>284</v>
      </c>
      <c r="I33" s="46"/>
      <c r="J33" s="46">
        <v>145057.0</v>
      </c>
      <c r="K33" s="46">
        <f t="shared" si="10"/>
        <v>274125</v>
      </c>
      <c r="L33" s="62" t="s">
        <v>45</v>
      </c>
      <c r="M33" s="62" t="s">
        <v>94</v>
      </c>
      <c r="N33" s="63" t="s">
        <v>37</v>
      </c>
      <c r="O33" s="62" t="s">
        <v>60</v>
      </c>
      <c r="P33" s="30" t="s">
        <v>95</v>
      </c>
      <c r="Q33" s="64" t="s">
        <v>82</v>
      </c>
      <c r="R33" s="36" t="s">
        <v>37</v>
      </c>
      <c r="S33" s="36" t="s">
        <v>37</v>
      </c>
      <c r="T33" s="36" t="s">
        <v>288</v>
      </c>
      <c r="U33" s="30"/>
      <c r="V33" s="36" t="s">
        <v>98</v>
      </c>
      <c r="W33" s="30" t="str">
        <f t="shared" si="6"/>
        <v>Receipt: For (Apt#: R-052) (Ref: YBP6214637582965) (IMPS: MRS BHAVNA MAHIPAL/XX X6701/RRN:621411185223/ CANADA: 18334910559) (Type: Customer Collection) (BU: Casa Romana)</v>
      </c>
      <c r="X33" s="68"/>
      <c r="Y33" s="59">
        <v>274127.0</v>
      </c>
      <c r="Z33" s="59">
        <f t="shared" si="11"/>
        <v>2</v>
      </c>
      <c r="AA33" s="2"/>
      <c r="AB33" s="2" t="s">
        <v>227</v>
      </c>
      <c r="AC33" s="2"/>
    </row>
    <row r="34" ht="15.75" customHeight="1">
      <c r="A34" s="56">
        <v>203.0</v>
      </c>
      <c r="B34" s="56" t="str">
        <f t="shared" si="9"/>
        <v>Q2</v>
      </c>
      <c r="C34" s="56">
        <f t="shared" si="4"/>
        <v>8</v>
      </c>
      <c r="D34" s="60" t="s">
        <v>282</v>
      </c>
      <c r="E34" s="60" t="s">
        <v>282</v>
      </c>
      <c r="F34" s="45" t="s">
        <v>37</v>
      </c>
      <c r="G34" s="45" t="s">
        <v>292</v>
      </c>
      <c r="H34" s="61" t="s">
        <v>293</v>
      </c>
      <c r="I34" s="46"/>
      <c r="J34" s="46">
        <v>100000.0</v>
      </c>
      <c r="K34" s="46">
        <f t="shared" si="10"/>
        <v>129068</v>
      </c>
      <c r="L34" s="62" t="s">
        <v>45</v>
      </c>
      <c r="M34" s="62" t="s">
        <v>94</v>
      </c>
      <c r="N34" s="63" t="s">
        <v>37</v>
      </c>
      <c r="O34" s="62" t="s">
        <v>60</v>
      </c>
      <c r="P34" s="30" t="s">
        <v>95</v>
      </c>
      <c r="Q34" s="64" t="s">
        <v>82</v>
      </c>
      <c r="R34" s="36" t="s">
        <v>37</v>
      </c>
      <c r="S34" s="36" t="s">
        <v>37</v>
      </c>
      <c r="T34" s="36" t="s">
        <v>296</v>
      </c>
      <c r="U34" s="30"/>
      <c r="V34" s="36" t="s">
        <v>98</v>
      </c>
      <c r="W34" s="30" t="str">
        <f t="shared" si="6"/>
        <v>Receipt: For (Apt#: P-022) (Ref: YES0N6214629693100) (NEFT: VIJAY AV-DWARKADHIS PROJECTS PVT H01164625739) (Type: Customer Collection) (BU: Casa Romana)</v>
      </c>
      <c r="X34" s="68"/>
      <c r="Y34" s="59">
        <v>129070.0</v>
      </c>
      <c r="Z34" s="59">
        <f t="shared" si="11"/>
        <v>2</v>
      </c>
      <c r="AA34" s="2"/>
      <c r="AB34" s="2" t="s">
        <v>227</v>
      </c>
      <c r="AC34" s="2"/>
    </row>
    <row r="35" ht="15.75" hidden="1" customHeight="1">
      <c r="A35" s="56">
        <v>202.0</v>
      </c>
      <c r="B35" s="56" t="str">
        <f t="shared" si="9"/>
        <v>Q2</v>
      </c>
      <c r="C35" s="56">
        <f t="shared" si="4"/>
        <v>8</v>
      </c>
      <c r="D35" s="60" t="s">
        <v>134</v>
      </c>
      <c r="E35" s="60" t="s">
        <v>134</v>
      </c>
      <c r="F35" s="45" t="s">
        <v>37</v>
      </c>
      <c r="G35" s="45" t="s">
        <v>297</v>
      </c>
      <c r="H35" s="61" t="s">
        <v>273</v>
      </c>
      <c r="I35" s="46">
        <v>20479.0</v>
      </c>
      <c r="J35" s="46"/>
      <c r="K35" s="46">
        <f t="shared" si="10"/>
        <v>29068</v>
      </c>
      <c r="L35" s="62" t="s">
        <v>45</v>
      </c>
      <c r="M35" s="62" t="s">
        <v>47</v>
      </c>
      <c r="N35" s="63" t="s">
        <v>37</v>
      </c>
      <c r="O35" s="62" t="s">
        <v>60</v>
      </c>
      <c r="P35" s="30" t="s">
        <v>51</v>
      </c>
      <c r="Q35" s="64" t="s">
        <v>50</v>
      </c>
      <c r="R35" s="36" t="s">
        <v>37</v>
      </c>
      <c r="S35" s="36" t="s">
        <v>37</v>
      </c>
      <c r="T35" s="36" t="s">
        <v>37</v>
      </c>
      <c r="U35" s="30" t="s">
        <v>37</v>
      </c>
      <c r="V35" s="36" t="s">
        <v>37</v>
      </c>
      <c r="W35" s="30" t="str">
        <f t="shared" si="6"/>
        <v>Fund Transfer: From YES MASTER 0264 to x2477 (Ref: YESME6213006789000) (Type: Master to Free) (BU: Casa Romana) (Head: Internal)</v>
      </c>
      <c r="X35" s="68"/>
      <c r="Y35" s="59">
        <v>29070.0</v>
      </c>
      <c r="Z35" s="59">
        <f t="shared" si="11"/>
        <v>2</v>
      </c>
      <c r="AA35" s="2"/>
      <c r="AB35" s="2" t="s">
        <v>227</v>
      </c>
      <c r="AC35" s="2"/>
    </row>
    <row r="36" ht="15.75" hidden="1" customHeight="1">
      <c r="A36" s="56">
        <v>201.0</v>
      </c>
      <c r="B36" s="56" t="str">
        <f t="shared" si="9"/>
        <v>Q2</v>
      </c>
      <c r="C36" s="56">
        <f t="shared" si="4"/>
        <v>8</v>
      </c>
      <c r="D36" s="60" t="s">
        <v>134</v>
      </c>
      <c r="E36" s="60" t="s">
        <v>134</v>
      </c>
      <c r="F36" s="45" t="s">
        <v>37</v>
      </c>
      <c r="G36" s="45" t="s">
        <v>124</v>
      </c>
      <c r="H36" s="61" t="s">
        <v>144</v>
      </c>
      <c r="I36" s="46">
        <v>47785.0</v>
      </c>
      <c r="J36" s="46"/>
      <c r="K36" s="46">
        <f t="shared" si="10"/>
        <v>49547</v>
      </c>
      <c r="L36" s="62" t="s">
        <v>45</v>
      </c>
      <c r="M36" s="62" t="s">
        <v>47</v>
      </c>
      <c r="N36" s="63" t="s">
        <v>37</v>
      </c>
      <c r="O36" s="62" t="s">
        <v>60</v>
      </c>
      <c r="P36" s="30" t="s">
        <v>61</v>
      </c>
      <c r="Q36" s="64" t="s">
        <v>50</v>
      </c>
      <c r="R36" s="36" t="s">
        <v>37</v>
      </c>
      <c r="S36" s="36" t="s">
        <v>37</v>
      </c>
      <c r="T36" s="36" t="s">
        <v>37</v>
      </c>
      <c r="U36" s="30" t="s">
        <v>37</v>
      </c>
      <c r="V36" s="36" t="s">
        <v>37</v>
      </c>
      <c r="W36" s="30" t="str">
        <f t="shared" si="6"/>
        <v>Fund Transfer: From YES MASTER 0264 to x0377 (Ref: YESME6213006852400) (Type: Master 2 RERA) (BU: Casa Romana) (Head: Internal)</v>
      </c>
      <c r="X36" s="68"/>
      <c r="Y36" s="59">
        <v>49549.0</v>
      </c>
      <c r="Z36" s="59">
        <f t="shared" si="11"/>
        <v>2</v>
      </c>
      <c r="AA36" s="2"/>
      <c r="AB36" s="2" t="s">
        <v>227</v>
      </c>
      <c r="AC36" s="2"/>
    </row>
    <row r="37" ht="15.75" customHeight="1">
      <c r="A37" s="56">
        <v>200.0</v>
      </c>
      <c r="B37" s="56" t="str">
        <f t="shared" si="9"/>
        <v>Q2</v>
      </c>
      <c r="C37" s="56">
        <f t="shared" si="4"/>
        <v>8</v>
      </c>
      <c r="D37" s="60" t="s">
        <v>134</v>
      </c>
      <c r="E37" s="60" t="s">
        <v>134</v>
      </c>
      <c r="F37" s="45" t="s">
        <v>37</v>
      </c>
      <c r="G37" s="45" t="s">
        <v>309</v>
      </c>
      <c r="H37" s="61" t="s">
        <v>310</v>
      </c>
      <c r="I37" s="46"/>
      <c r="J37" s="46">
        <v>68264.0</v>
      </c>
      <c r="K37" s="46">
        <f t="shared" si="10"/>
        <v>97332</v>
      </c>
      <c r="L37" s="62" t="s">
        <v>45</v>
      </c>
      <c r="M37" s="62" t="s">
        <v>94</v>
      </c>
      <c r="N37" s="63" t="s">
        <v>37</v>
      </c>
      <c r="O37" s="62" t="s">
        <v>60</v>
      </c>
      <c r="P37" s="30" t="s">
        <v>95</v>
      </c>
      <c r="Q37" s="64" t="s">
        <v>82</v>
      </c>
      <c r="R37" s="36" t="s">
        <v>37</v>
      </c>
      <c r="S37" s="36" t="s">
        <v>37</v>
      </c>
      <c r="T37" s="36" t="s">
        <v>311</v>
      </c>
      <c r="U37" s="30" t="s">
        <v>37</v>
      </c>
      <c r="V37" s="36" t="s">
        <v>98</v>
      </c>
      <c r="W37" s="30" t="str">
        <f t="shared" si="6"/>
        <v>Receipt: For (Apt#: R-123) (Ref: YES0N6213471971500) (NEFT: ANKIT AR-DWARKADHIS PROJECTS A-AXOMB21302010445) (Type: Customer Collection) (BU: Casa Romana)</v>
      </c>
      <c r="X37" s="68"/>
      <c r="Y37" s="59">
        <v>97334.0</v>
      </c>
      <c r="Z37" s="59">
        <f t="shared" si="11"/>
        <v>2</v>
      </c>
      <c r="AA37" s="2"/>
      <c r="AB37" s="2" t="s">
        <v>227</v>
      </c>
      <c r="AC37" s="2"/>
    </row>
    <row r="38" ht="15.75" hidden="1" customHeight="1">
      <c r="A38" s="56">
        <v>199.0</v>
      </c>
      <c r="B38" s="56" t="str">
        <f t="shared" ref="B38:B236" si="12">IF(D38="","?",_xludf.IFS(
    MONTH(D38)&lt;=3,"Q4",
    MONTH(D38)&lt;=6,"Q1",
    MONTH(D38)&lt;=9,"Q2",
    TRUE,"Q3"
))</f>
        <v>#NAME?</v>
      </c>
      <c r="C38" s="56">
        <f t="shared" ref="C38:C236" si="13">MONTH(D38)</f>
        <v>7</v>
      </c>
      <c r="D38" s="66">
        <v>46233.0</v>
      </c>
      <c r="E38" s="66">
        <v>46233.0</v>
      </c>
      <c r="F38" s="45"/>
      <c r="G38" s="45" t="s">
        <v>317</v>
      </c>
      <c r="H38" s="61" t="s">
        <v>280</v>
      </c>
      <c r="I38" s="46">
        <v>30000.0</v>
      </c>
      <c r="J38" s="46"/>
      <c r="K38" s="46">
        <f t="shared" si="10"/>
        <v>29068</v>
      </c>
      <c r="L38" s="62" t="s">
        <v>45</v>
      </c>
      <c r="M38" s="62" t="s">
        <v>47</v>
      </c>
      <c r="N38" s="63"/>
      <c r="O38" s="62" t="s">
        <v>60</v>
      </c>
      <c r="P38" s="30" t="s">
        <v>51</v>
      </c>
      <c r="Q38" s="64" t="s">
        <v>50</v>
      </c>
      <c r="R38" s="36"/>
      <c r="S38" s="36"/>
      <c r="T38" s="36"/>
      <c r="U38" s="30"/>
      <c r="V38" s="36"/>
      <c r="W38" s="30" t="str">
        <f t="shared" si="6"/>
        <v>Fund Transfer: From YES MASTER 0264 to x2477 (Ref: YESME6211004463500) (Type: Master to Free) (BU: Casa Romana) (Head: Internal)</v>
      </c>
      <c r="X38" s="68"/>
      <c r="Y38" s="59"/>
      <c r="Z38" s="2"/>
      <c r="AA38" s="2"/>
      <c r="AB38" s="2"/>
      <c r="AC38" s="2"/>
    </row>
    <row r="39" ht="15.75" hidden="1" customHeight="1">
      <c r="A39" s="56">
        <v>198.0</v>
      </c>
      <c r="B39" s="56" t="str">
        <f t="shared" si="12"/>
        <v>#NAME?</v>
      </c>
      <c r="C39" s="56">
        <f t="shared" si="13"/>
        <v>7</v>
      </c>
      <c r="D39" s="66">
        <v>46233.0</v>
      </c>
      <c r="E39" s="66">
        <v>46233.0</v>
      </c>
      <c r="F39" s="45"/>
      <c r="G39" s="45" t="s">
        <v>322</v>
      </c>
      <c r="H39" s="61" t="s">
        <v>148</v>
      </c>
      <c r="I39" s="46">
        <v>70000.0</v>
      </c>
      <c r="J39" s="46"/>
      <c r="K39" s="46">
        <f t="shared" si="10"/>
        <v>59068</v>
      </c>
      <c r="L39" s="62" t="s">
        <v>45</v>
      </c>
      <c r="M39" s="62" t="s">
        <v>47</v>
      </c>
      <c r="N39" s="63"/>
      <c r="O39" s="62" t="s">
        <v>60</v>
      </c>
      <c r="P39" s="30" t="s">
        <v>61</v>
      </c>
      <c r="Q39" s="64" t="s">
        <v>50</v>
      </c>
      <c r="R39" s="36"/>
      <c r="S39" s="36"/>
      <c r="T39" s="36"/>
      <c r="U39" s="30"/>
      <c r="V39" s="36"/>
      <c r="W39" s="30" t="str">
        <f t="shared" si="6"/>
        <v>Fund Transfer: From YES MASTER 0264 to x0377 (Ref: YESME6211004335200) (Type: Master 2 RERA) (BU: Casa Romana) (Head: Internal)</v>
      </c>
      <c r="X39" s="68"/>
      <c r="Y39" s="59"/>
      <c r="Z39" s="2"/>
      <c r="AA39" s="2"/>
      <c r="AB39" s="2"/>
      <c r="AC39" s="2"/>
    </row>
    <row r="40" ht="15.75" hidden="1" customHeight="1">
      <c r="A40" s="56">
        <v>197.0</v>
      </c>
      <c r="B40" s="56" t="str">
        <f t="shared" si="12"/>
        <v>#NAME?</v>
      </c>
      <c r="C40" s="56">
        <f t="shared" si="13"/>
        <v>7</v>
      </c>
      <c r="D40" s="66">
        <v>46233.0</v>
      </c>
      <c r="E40" s="66">
        <v>46233.0</v>
      </c>
      <c r="F40" s="45"/>
      <c r="G40" s="45" t="s">
        <v>326</v>
      </c>
      <c r="H40" s="61" t="s">
        <v>327</v>
      </c>
      <c r="I40" s="46">
        <v>22.5</v>
      </c>
      <c r="J40" s="46"/>
      <c r="K40" s="46">
        <f t="shared" si="10"/>
        <v>129068</v>
      </c>
      <c r="L40" s="62" t="s">
        <v>45</v>
      </c>
      <c r="M40" s="62" t="s">
        <v>328</v>
      </c>
      <c r="N40" s="63"/>
      <c r="O40" s="62" t="s">
        <v>60</v>
      </c>
      <c r="P40" s="30" t="s">
        <v>43</v>
      </c>
      <c r="Q40" s="64" t="s">
        <v>329</v>
      </c>
      <c r="R40" s="36"/>
      <c r="S40" s="36"/>
      <c r="T40" s="36"/>
      <c r="U40" s="30" t="s">
        <v>330</v>
      </c>
      <c r="V40" s="36"/>
      <c r="W40" s="30" t="str">
        <f t="shared" si="6"/>
        <v>Payment: Disbursement for GST On Bank Charges (Ref: SCREF01284574169) (Type: HO - Admin) (BU: Casa Romana) (Head: Bank Charges)</v>
      </c>
      <c r="X40" s="68"/>
      <c r="Y40" s="59"/>
      <c r="Z40" s="2"/>
      <c r="AA40" s="2"/>
      <c r="AB40" s="2"/>
      <c r="AC40" s="2"/>
    </row>
    <row r="41" ht="15.75" hidden="1" customHeight="1">
      <c r="A41" s="56">
        <v>196.0</v>
      </c>
      <c r="B41" s="56" t="str">
        <f t="shared" si="12"/>
        <v>#NAME?</v>
      </c>
      <c r="C41" s="56">
        <f t="shared" si="13"/>
        <v>7</v>
      </c>
      <c r="D41" s="66">
        <v>46233.0</v>
      </c>
      <c r="E41" s="66">
        <v>46233.0</v>
      </c>
      <c r="F41" s="45"/>
      <c r="G41" s="45" t="s">
        <v>334</v>
      </c>
      <c r="H41" s="61" t="s">
        <v>327</v>
      </c>
      <c r="I41" s="46">
        <v>125.0</v>
      </c>
      <c r="J41" s="46"/>
      <c r="K41" s="46">
        <f t="shared" si="10"/>
        <v>129090.5</v>
      </c>
      <c r="L41" s="62" t="s">
        <v>45</v>
      </c>
      <c r="M41" s="62" t="s">
        <v>328</v>
      </c>
      <c r="N41" s="63"/>
      <c r="O41" s="62" t="s">
        <v>60</v>
      </c>
      <c r="P41" s="30" t="s">
        <v>43</v>
      </c>
      <c r="Q41" s="64" t="s">
        <v>329</v>
      </c>
      <c r="R41" s="36"/>
      <c r="S41" s="36"/>
      <c r="T41" s="36"/>
      <c r="U41" s="30" t="s">
        <v>335</v>
      </c>
      <c r="V41" s="36"/>
      <c r="W41" s="30" t="str">
        <f t="shared" si="6"/>
        <v>Payment: Disbursement for Bank Charges Debited (Ref: SCREF01284574169) (Type: HO - Admin) (BU: Casa Romana) (Head: Bank Charges)</v>
      </c>
      <c r="X41" s="68"/>
      <c r="Y41" s="59"/>
      <c r="Z41" s="2"/>
      <c r="AA41" s="2"/>
      <c r="AB41" s="2"/>
      <c r="AC41" s="2"/>
    </row>
    <row r="42" ht="15.75" customHeight="1">
      <c r="A42" s="56">
        <v>195.0</v>
      </c>
      <c r="B42" s="56" t="str">
        <f t="shared" si="12"/>
        <v>#NAME?</v>
      </c>
      <c r="C42" s="56">
        <f t="shared" si="13"/>
        <v>7</v>
      </c>
      <c r="D42" s="66">
        <v>46232.0</v>
      </c>
      <c r="E42" s="66">
        <v>46232.0</v>
      </c>
      <c r="F42" s="45"/>
      <c r="G42" s="45" t="s">
        <v>338</v>
      </c>
      <c r="H42" s="61">
        <v>63.0</v>
      </c>
      <c r="I42" s="46"/>
      <c r="J42" s="46">
        <v>100000.0</v>
      </c>
      <c r="K42" s="46">
        <f t="shared" si="10"/>
        <v>129215.5</v>
      </c>
      <c r="L42" s="62" t="s">
        <v>45</v>
      </c>
      <c r="M42" s="62" t="s">
        <v>94</v>
      </c>
      <c r="N42" s="63"/>
      <c r="O42" s="62" t="s">
        <v>60</v>
      </c>
      <c r="P42" s="30" t="s">
        <v>95</v>
      </c>
      <c r="Q42" s="64" t="s">
        <v>82</v>
      </c>
      <c r="R42" s="36"/>
      <c r="S42" s="36"/>
      <c r="T42" s="36" t="s">
        <v>341</v>
      </c>
      <c r="U42" s="80" t="s">
        <v>343</v>
      </c>
      <c r="V42" s="36" t="s">
        <v>98</v>
      </c>
      <c r="W42" s="30" t="str">
        <f t="shared" si="6"/>
        <v>Receipt: For (Apt#: R-063) (Ref: 63) ( ) (Type: Customer Collection) (BU: Casa Romana)</v>
      </c>
      <c r="X42" s="68"/>
      <c r="Y42" s="59"/>
      <c r="Z42" s="2"/>
      <c r="AA42" s="2"/>
      <c r="AB42" s="2"/>
      <c r="AC42" s="2"/>
    </row>
    <row r="43" ht="15.75" hidden="1" customHeight="1">
      <c r="A43" s="56">
        <v>194.0</v>
      </c>
      <c r="B43" s="56" t="str">
        <f t="shared" si="12"/>
        <v>#NAME?</v>
      </c>
      <c r="C43" s="56">
        <f t="shared" si="13"/>
        <v>7</v>
      </c>
      <c r="D43" s="66">
        <v>46226.0</v>
      </c>
      <c r="E43" s="66">
        <v>46226.0</v>
      </c>
      <c r="F43" s="45"/>
      <c r="G43" s="45" t="s">
        <v>344</v>
      </c>
      <c r="H43" s="61" t="s">
        <v>295</v>
      </c>
      <c r="I43" s="46">
        <v>14700.0</v>
      </c>
      <c r="J43" s="46"/>
      <c r="K43" s="46">
        <f t="shared" si="10"/>
        <v>29215.5</v>
      </c>
      <c r="L43" s="62" t="s">
        <v>45</v>
      </c>
      <c r="M43" s="62" t="s">
        <v>47</v>
      </c>
      <c r="N43" s="63"/>
      <c r="O43" s="62" t="s">
        <v>60</v>
      </c>
      <c r="P43" s="30" t="s">
        <v>51</v>
      </c>
      <c r="Q43" s="64" t="s">
        <v>50</v>
      </c>
      <c r="R43" s="36"/>
      <c r="S43" s="36"/>
      <c r="T43" s="36"/>
      <c r="U43" s="30"/>
      <c r="V43" s="36"/>
      <c r="W43" s="30" t="str">
        <f t="shared" si="6"/>
        <v>Fund Transfer: From YES MASTER 0264 to x2477 (Ref: YESME6204005383700) (Type: Master to Free) (BU: Casa Romana) (Head: Internal)</v>
      </c>
      <c r="X43" s="68"/>
      <c r="Y43" s="59"/>
      <c r="Z43" s="2"/>
      <c r="AA43" s="2"/>
      <c r="AB43" s="2"/>
      <c r="AC43" s="2"/>
    </row>
    <row r="44" ht="15.75" hidden="1" customHeight="1">
      <c r="A44" s="56">
        <v>193.0</v>
      </c>
      <c r="B44" s="56" t="str">
        <f t="shared" si="12"/>
        <v>#NAME?</v>
      </c>
      <c r="C44" s="56">
        <f t="shared" si="13"/>
        <v>7</v>
      </c>
      <c r="D44" s="66">
        <v>46226.0</v>
      </c>
      <c r="E44" s="66">
        <v>46226.0</v>
      </c>
      <c r="F44" s="45"/>
      <c r="G44" s="45" t="s">
        <v>350</v>
      </c>
      <c r="H44" s="61" t="s">
        <v>160</v>
      </c>
      <c r="I44" s="46">
        <v>34300.0</v>
      </c>
      <c r="J44" s="46"/>
      <c r="K44" s="46">
        <f t="shared" si="10"/>
        <v>43915.5</v>
      </c>
      <c r="L44" s="62" t="s">
        <v>45</v>
      </c>
      <c r="M44" s="62" t="s">
        <v>47</v>
      </c>
      <c r="N44" s="63"/>
      <c r="O44" s="62" t="s">
        <v>60</v>
      </c>
      <c r="P44" s="30" t="s">
        <v>61</v>
      </c>
      <c r="Q44" s="64" t="s">
        <v>50</v>
      </c>
      <c r="R44" s="36"/>
      <c r="S44" s="36"/>
      <c r="T44" s="36"/>
      <c r="U44" s="30"/>
      <c r="V44" s="36"/>
      <c r="W44" s="30" t="str">
        <f t="shared" si="6"/>
        <v>Fund Transfer: From YES MASTER 0264 to x0377 (Ref: YESME6204005383600) (Type: Master 2 RERA) (BU: Casa Romana) (Head: Internal)</v>
      </c>
      <c r="X44" s="68"/>
      <c r="Y44" s="59"/>
      <c r="Z44" s="2"/>
      <c r="AA44" s="2"/>
      <c r="AB44" s="2"/>
      <c r="AC44" s="2"/>
    </row>
    <row r="45" ht="15.75" customHeight="1">
      <c r="A45" s="56">
        <v>192.0</v>
      </c>
      <c r="B45" s="56" t="str">
        <f t="shared" si="12"/>
        <v>#NAME?</v>
      </c>
      <c r="C45" s="56">
        <f t="shared" si="13"/>
        <v>7</v>
      </c>
      <c r="D45" s="66">
        <v>46226.0</v>
      </c>
      <c r="E45" s="66">
        <v>46226.0</v>
      </c>
      <c r="F45" s="45"/>
      <c r="G45" s="45" t="s">
        <v>353</v>
      </c>
      <c r="H45" s="61" t="s">
        <v>355</v>
      </c>
      <c r="I45" s="46"/>
      <c r="J45" s="71">
        <v>49000.0</v>
      </c>
      <c r="K45" s="46">
        <f t="shared" si="10"/>
        <v>78215.5</v>
      </c>
      <c r="L45" s="62" t="s">
        <v>45</v>
      </c>
      <c r="M45" s="62" t="s">
        <v>94</v>
      </c>
      <c r="N45" s="63"/>
      <c r="O45" s="62" t="s">
        <v>60</v>
      </c>
      <c r="P45" s="30" t="s">
        <v>95</v>
      </c>
      <c r="Q45" s="64" t="s">
        <v>82</v>
      </c>
      <c r="R45" s="36"/>
      <c r="S45" s="36"/>
      <c r="T45" s="36" t="s">
        <v>252</v>
      </c>
      <c r="U45" s="80" t="s">
        <v>357</v>
      </c>
      <c r="V45" s="36" t="s">
        <v>358</v>
      </c>
      <c r="W45" s="30" t="str">
        <f t="shared" si="6"/>
        <v>Receipt: For (Apt#: T-101) (Ref: 10004875420260723006900000009) ( DWARKADHIS PROJECTS PRIVATE LIMITED IN C-SHAMSHABAD) (Type: Customer Collection) (BU: Casa Romana)</v>
      </c>
      <c r="X45" s="68"/>
      <c r="Y45" s="59"/>
      <c r="Z45" s="2"/>
      <c r="AA45" s="2"/>
      <c r="AB45" s="2"/>
      <c r="AC45" s="2"/>
    </row>
    <row r="46" ht="15.75" hidden="1" customHeight="1">
      <c r="A46" s="56">
        <v>191.0</v>
      </c>
      <c r="B46" s="56" t="str">
        <f t="shared" si="12"/>
        <v>#NAME?</v>
      </c>
      <c r="C46" s="56">
        <f t="shared" si="13"/>
        <v>7</v>
      </c>
      <c r="D46" s="66">
        <v>46225.0</v>
      </c>
      <c r="E46" s="66">
        <v>46225.0</v>
      </c>
      <c r="F46" s="45"/>
      <c r="G46" s="45" t="s">
        <v>350</v>
      </c>
      <c r="H46" s="61" t="s">
        <v>163</v>
      </c>
      <c r="I46" s="46">
        <v>64015.0</v>
      </c>
      <c r="J46" s="46"/>
      <c r="K46" s="46">
        <f t="shared" si="10"/>
        <v>29215.5</v>
      </c>
      <c r="L46" s="62" t="s">
        <v>45</v>
      </c>
      <c r="M46" s="62" t="s">
        <v>47</v>
      </c>
      <c r="N46" s="63"/>
      <c r="O46" s="62" t="s">
        <v>60</v>
      </c>
      <c r="P46" s="30" t="s">
        <v>61</v>
      </c>
      <c r="Q46" s="64" t="s">
        <v>50</v>
      </c>
      <c r="R46" s="36"/>
      <c r="S46" s="36"/>
      <c r="T46" s="36"/>
      <c r="U46" s="30"/>
      <c r="V46" s="36"/>
      <c r="W46" s="30" t="str">
        <f t="shared" si="6"/>
        <v>Fund Transfer: From YES MASTER 0264 to x0377 (Ref: YESME6203005228700) (Type: Master 2 RERA) (BU: Casa Romana) (Head: Internal)</v>
      </c>
      <c r="X46" s="68"/>
      <c r="Y46" s="59"/>
      <c r="Z46" s="2"/>
      <c r="AA46" s="2"/>
      <c r="AB46" s="2"/>
      <c r="AC46" s="2"/>
    </row>
    <row r="47" ht="15.75" hidden="1" customHeight="1">
      <c r="A47" s="56">
        <v>190.0</v>
      </c>
      <c r="B47" s="56" t="str">
        <f t="shared" si="12"/>
        <v>#NAME?</v>
      </c>
      <c r="C47" s="56">
        <f t="shared" si="13"/>
        <v>7</v>
      </c>
      <c r="D47" s="66">
        <v>46225.0</v>
      </c>
      <c r="E47" s="66">
        <v>46225.0</v>
      </c>
      <c r="F47" s="45"/>
      <c r="G47" s="45" t="s">
        <v>344</v>
      </c>
      <c r="H47" s="61" t="s">
        <v>304</v>
      </c>
      <c r="I47" s="46">
        <v>27435.0</v>
      </c>
      <c r="J47" s="46"/>
      <c r="K47" s="46">
        <f t="shared" si="10"/>
        <v>93230.5</v>
      </c>
      <c r="L47" s="62" t="s">
        <v>45</v>
      </c>
      <c r="M47" s="62" t="s">
        <v>47</v>
      </c>
      <c r="N47" s="63"/>
      <c r="O47" s="62" t="s">
        <v>60</v>
      </c>
      <c r="P47" s="30" t="s">
        <v>51</v>
      </c>
      <c r="Q47" s="64" t="s">
        <v>50</v>
      </c>
      <c r="R47" s="36"/>
      <c r="S47" s="36"/>
      <c r="T47" s="36"/>
      <c r="U47" s="30"/>
      <c r="V47" s="36"/>
      <c r="W47" s="30" t="str">
        <f t="shared" si="6"/>
        <v>Fund Transfer: From YES MASTER 0264 to x2477 (Ref: YESME6203005190700) (Type: Master to Free) (BU: Casa Romana) (Head: Internal)</v>
      </c>
      <c r="X47" s="68"/>
      <c r="Y47" s="59"/>
      <c r="Z47" s="2"/>
      <c r="AA47" s="2"/>
      <c r="AB47" s="2"/>
      <c r="AC47" s="2"/>
    </row>
    <row r="48" ht="15.75" customHeight="1">
      <c r="A48" s="56">
        <v>189.0</v>
      </c>
      <c r="B48" s="56" t="str">
        <f t="shared" si="12"/>
        <v>#NAME?</v>
      </c>
      <c r="C48" s="56">
        <f t="shared" si="13"/>
        <v>7</v>
      </c>
      <c r="D48" s="66">
        <v>46224.0</v>
      </c>
      <c r="E48" s="66">
        <v>46224.0</v>
      </c>
      <c r="F48" s="45"/>
      <c r="G48" s="45" t="s">
        <v>369</v>
      </c>
      <c r="H48" s="61" t="s">
        <v>370</v>
      </c>
      <c r="I48" s="46"/>
      <c r="J48" s="46">
        <v>70000.0</v>
      </c>
      <c r="K48" s="46">
        <f t="shared" si="10"/>
        <v>120665.5</v>
      </c>
      <c r="L48" s="62" t="s">
        <v>45</v>
      </c>
      <c r="M48" s="62" t="s">
        <v>94</v>
      </c>
      <c r="N48" s="63"/>
      <c r="O48" s="62" t="s">
        <v>60</v>
      </c>
      <c r="P48" s="30" t="s">
        <v>95</v>
      </c>
      <c r="Q48" s="64" t="s">
        <v>82</v>
      </c>
      <c r="R48" s="36"/>
      <c r="S48" s="36"/>
      <c r="T48" s="36" t="s">
        <v>374</v>
      </c>
      <c r="U48" s="30"/>
      <c r="V48" s="36" t="s">
        <v>98</v>
      </c>
      <c r="W48" s="30" t="str">
        <f t="shared" si="6"/>
        <v>Receipt: For (Apt#: N-054) (Ref: YES0N6202072677900) (NEFT: HARI KISHAN-DWARKADHIS PROJECTS PRIVA-IN12620247274271) (Type: Customer Collection) (BU: Casa Romana)</v>
      </c>
      <c r="X48" s="68"/>
      <c r="Y48" s="59"/>
      <c r="Z48" s="2"/>
      <c r="AA48" s="2"/>
      <c r="AB48" s="2"/>
      <c r="AC48" s="2"/>
    </row>
    <row r="49" ht="15.75" customHeight="1">
      <c r="A49" s="56">
        <v>188.0</v>
      </c>
      <c r="B49" s="56" t="str">
        <f t="shared" si="12"/>
        <v>#NAME?</v>
      </c>
      <c r="C49" s="56">
        <f t="shared" si="13"/>
        <v>7</v>
      </c>
      <c r="D49" s="66">
        <v>46224.0</v>
      </c>
      <c r="E49" s="66">
        <v>46224.0</v>
      </c>
      <c r="F49" s="45"/>
      <c r="G49" s="45" t="s">
        <v>375</v>
      </c>
      <c r="H49" s="61" t="s">
        <v>376</v>
      </c>
      <c r="I49" s="46"/>
      <c r="J49" s="46">
        <v>21450.0</v>
      </c>
      <c r="K49" s="46">
        <f t="shared" si="10"/>
        <v>50665.5</v>
      </c>
      <c r="L49" s="62" t="s">
        <v>45</v>
      </c>
      <c r="M49" s="62" t="s">
        <v>94</v>
      </c>
      <c r="N49" s="63"/>
      <c r="O49" s="62" t="s">
        <v>60</v>
      </c>
      <c r="P49" s="30" t="s">
        <v>95</v>
      </c>
      <c r="Q49" s="64" t="s">
        <v>82</v>
      </c>
      <c r="R49" s="36"/>
      <c r="S49" s="36"/>
      <c r="T49" s="36" t="s">
        <v>378</v>
      </c>
      <c r="U49" s="30"/>
      <c r="V49" s="36" t="s">
        <v>98</v>
      </c>
      <c r="W49" s="30" t="str">
        <f t="shared" si="6"/>
        <v>Receipt: For (Apt#: M-087) (Ref: YES0N6202046781100) (NEFT: PRAVEEN KUMAR PAUR-DWARKADHIS PROJECTS PRIVA-KKBKH26202867090) (Type: Customer Collection) (BU: Casa Romana)</v>
      </c>
      <c r="X49" s="68"/>
      <c r="Y49" s="59"/>
      <c r="Z49" s="2"/>
      <c r="AA49" s="2"/>
      <c r="AB49" s="2"/>
      <c r="AC49" s="2"/>
    </row>
    <row r="50" ht="15.75" hidden="1" customHeight="1">
      <c r="A50" s="56">
        <v>187.0</v>
      </c>
      <c r="B50" s="56" t="str">
        <f t="shared" si="12"/>
        <v>#NAME?</v>
      </c>
      <c r="C50" s="56">
        <f t="shared" si="13"/>
        <v>7</v>
      </c>
      <c r="D50" s="66">
        <v>46221.0</v>
      </c>
      <c r="E50" s="66">
        <v>46221.0</v>
      </c>
      <c r="F50" s="45"/>
      <c r="G50" s="45" t="s">
        <v>344</v>
      </c>
      <c r="H50" s="61" t="s">
        <v>321</v>
      </c>
      <c r="I50" s="46">
        <v>7500.0</v>
      </c>
      <c r="J50" s="46"/>
      <c r="K50" s="46">
        <f t="shared" si="10"/>
        <v>29215.5</v>
      </c>
      <c r="L50" s="62" t="s">
        <v>45</v>
      </c>
      <c r="M50" s="62" t="s">
        <v>47</v>
      </c>
      <c r="N50" s="63"/>
      <c r="O50" s="62" t="s">
        <v>60</v>
      </c>
      <c r="P50" s="30" t="s">
        <v>51</v>
      </c>
      <c r="Q50" s="64" t="s">
        <v>50</v>
      </c>
      <c r="R50" s="36"/>
      <c r="S50" s="36"/>
      <c r="T50" s="36"/>
      <c r="U50" s="30"/>
      <c r="V50" s="36"/>
      <c r="W50" s="30" t="str">
        <f t="shared" si="6"/>
        <v>Fund Transfer: From YES MASTER 0264 to x2477 (Ref: YESME6199005117700) (Type: Master to Free) (BU: Casa Romana) (Head: Internal)</v>
      </c>
      <c r="X50" s="68"/>
      <c r="Y50" s="59"/>
      <c r="Z50" s="2"/>
      <c r="AA50" s="2"/>
      <c r="AB50" s="2"/>
      <c r="AC50" s="2"/>
    </row>
    <row r="51" ht="15.75" hidden="1" customHeight="1">
      <c r="A51" s="56">
        <v>186.0</v>
      </c>
      <c r="B51" s="56" t="str">
        <f t="shared" si="12"/>
        <v>#NAME?</v>
      </c>
      <c r="C51" s="56">
        <f t="shared" si="13"/>
        <v>7</v>
      </c>
      <c r="D51" s="66">
        <v>46221.0</v>
      </c>
      <c r="E51" s="66">
        <v>46221.0</v>
      </c>
      <c r="F51" s="45"/>
      <c r="G51" s="45" t="s">
        <v>322</v>
      </c>
      <c r="H51" s="61" t="s">
        <v>173</v>
      </c>
      <c r="I51" s="46">
        <v>17500.0</v>
      </c>
      <c r="J51" s="46"/>
      <c r="K51" s="46">
        <f t="shared" si="10"/>
        <v>36715.5</v>
      </c>
      <c r="L51" s="62" t="s">
        <v>45</v>
      </c>
      <c r="M51" s="62" t="s">
        <v>47</v>
      </c>
      <c r="N51" s="63"/>
      <c r="O51" s="62" t="s">
        <v>60</v>
      </c>
      <c r="P51" s="30" t="s">
        <v>61</v>
      </c>
      <c r="Q51" s="64" t="s">
        <v>50</v>
      </c>
      <c r="R51" s="36"/>
      <c r="S51" s="36"/>
      <c r="T51" s="36"/>
      <c r="U51" s="30"/>
      <c r="V51" s="36"/>
      <c r="W51" s="30" t="str">
        <f t="shared" si="6"/>
        <v>Fund Transfer: From YES MASTER 0264 to x0377 (Ref: YESME6199005217500) (Type: Master 2 RERA) (BU: Casa Romana) (Head: Internal)</v>
      </c>
      <c r="X51" s="68"/>
      <c r="Y51" s="59"/>
      <c r="Z51" s="2"/>
      <c r="AA51" s="2"/>
      <c r="AB51" s="2"/>
      <c r="AC51" s="2"/>
    </row>
    <row r="52" ht="15.75" customHeight="1">
      <c r="A52" s="56">
        <v>185.0</v>
      </c>
      <c r="B52" s="56" t="str">
        <f t="shared" si="12"/>
        <v>#NAME?</v>
      </c>
      <c r="C52" s="56">
        <f t="shared" si="13"/>
        <v>7</v>
      </c>
      <c r="D52" s="66">
        <v>46219.0</v>
      </c>
      <c r="E52" s="66">
        <v>46219.0</v>
      </c>
      <c r="F52" s="45"/>
      <c r="G52" s="45" t="s">
        <v>386</v>
      </c>
      <c r="H52" s="61" t="s">
        <v>387</v>
      </c>
      <c r="I52" s="46"/>
      <c r="J52" s="46">
        <v>25000.0</v>
      </c>
      <c r="K52" s="46">
        <f t="shared" si="10"/>
        <v>54215.5</v>
      </c>
      <c r="L52" s="62" t="s">
        <v>45</v>
      </c>
      <c r="M52" s="62" t="s">
        <v>94</v>
      </c>
      <c r="N52" s="63"/>
      <c r="O52" s="62" t="s">
        <v>60</v>
      </c>
      <c r="P52" s="30" t="s">
        <v>95</v>
      </c>
      <c r="Q52" s="64" t="s">
        <v>82</v>
      </c>
      <c r="R52" s="36"/>
      <c r="S52" s="36"/>
      <c r="T52" s="36" t="s">
        <v>222</v>
      </c>
      <c r="U52" s="30"/>
      <c r="V52" s="36" t="s">
        <v>391</v>
      </c>
      <c r="W52" s="30" t="str">
        <f t="shared" si="6"/>
        <v>Receipt: For (Apt#: U-092) (Ref: YES0N6197493849800) (NEFT: POONAM KAUR-DWARKADHIS PROJECTS PRIVA-IN12619746786146) (Type: Customer Collection) (BU: Casa Romana)</v>
      </c>
      <c r="X52" s="68"/>
      <c r="Y52" s="59"/>
      <c r="Z52" s="2"/>
      <c r="AA52" s="2"/>
      <c r="AB52" s="2"/>
      <c r="AC52" s="2"/>
    </row>
    <row r="53" ht="15.75" hidden="1" customHeight="1">
      <c r="A53" s="56">
        <v>184.0</v>
      </c>
      <c r="B53" s="56" t="str">
        <f t="shared" si="12"/>
        <v>#NAME?</v>
      </c>
      <c r="C53" s="56">
        <f t="shared" si="13"/>
        <v>7</v>
      </c>
      <c r="D53" s="66">
        <v>46218.0</v>
      </c>
      <c r="E53" s="66">
        <v>46218.0</v>
      </c>
      <c r="F53" s="45"/>
      <c r="G53" s="45" t="s">
        <v>350</v>
      </c>
      <c r="H53" s="61" t="s">
        <v>180</v>
      </c>
      <c r="I53" s="46">
        <v>239841.0</v>
      </c>
      <c r="J53" s="46"/>
      <c r="K53" s="46">
        <f t="shared" si="10"/>
        <v>29215.5</v>
      </c>
      <c r="L53" s="62" t="s">
        <v>45</v>
      </c>
      <c r="M53" s="62" t="s">
        <v>47</v>
      </c>
      <c r="N53" s="63"/>
      <c r="O53" s="62" t="s">
        <v>60</v>
      </c>
      <c r="P53" s="30" t="s">
        <v>61</v>
      </c>
      <c r="Q53" s="64" t="s">
        <v>50</v>
      </c>
      <c r="R53" s="36"/>
      <c r="S53" s="36"/>
      <c r="T53" s="36"/>
      <c r="U53" s="30"/>
      <c r="V53" s="36"/>
      <c r="W53" s="30" t="str">
        <f t="shared" si="6"/>
        <v>Fund Transfer: From YES MASTER 0264 to x0377 (Ref: YESME6196003720000) (Type: Master 2 RERA) (BU: Casa Romana) (Head: Internal)</v>
      </c>
      <c r="X53" s="68"/>
      <c r="Y53" s="59"/>
      <c r="Z53" s="2"/>
      <c r="AA53" s="2"/>
      <c r="AB53" s="2"/>
      <c r="AC53" s="2"/>
    </row>
    <row r="54" ht="15.75" hidden="1" customHeight="1">
      <c r="A54" s="56">
        <v>183.0</v>
      </c>
      <c r="B54" s="56" t="str">
        <f t="shared" si="12"/>
        <v>#NAME?</v>
      </c>
      <c r="C54" s="56">
        <f t="shared" si="13"/>
        <v>7</v>
      </c>
      <c r="D54" s="66">
        <v>46218.0</v>
      </c>
      <c r="E54" s="66">
        <v>46218.0</v>
      </c>
      <c r="F54" s="45"/>
      <c r="G54" s="45" t="s">
        <v>344</v>
      </c>
      <c r="H54" s="61" t="s">
        <v>394</v>
      </c>
      <c r="I54" s="46">
        <v>102789.0</v>
      </c>
      <c r="J54" s="46"/>
      <c r="K54" s="46">
        <f t="shared" si="10"/>
        <v>269056.5</v>
      </c>
      <c r="L54" s="62" t="s">
        <v>45</v>
      </c>
      <c r="M54" s="62" t="s">
        <v>47</v>
      </c>
      <c r="N54" s="63"/>
      <c r="O54" s="62" t="s">
        <v>60</v>
      </c>
      <c r="P54" s="30" t="s">
        <v>51</v>
      </c>
      <c r="Q54" s="64" t="s">
        <v>50</v>
      </c>
      <c r="R54" s="36"/>
      <c r="S54" s="36"/>
      <c r="T54" s="36"/>
      <c r="U54" s="30"/>
      <c r="V54" s="36"/>
      <c r="W54" s="30" t="str">
        <f t="shared" si="6"/>
        <v>Fund Transfer: From YES MASTER 0264 to x2477 (Ref: YESME6196003934400) (Type: Master to Free) (BU: Casa Romana) (Head: Internal)</v>
      </c>
      <c r="X54" s="68"/>
      <c r="Y54" s="59"/>
      <c r="Z54" s="2"/>
      <c r="AA54" s="2"/>
      <c r="AB54" s="2"/>
      <c r="AC54" s="2"/>
    </row>
    <row r="55" ht="15.75" customHeight="1">
      <c r="A55" s="56">
        <v>182.0</v>
      </c>
      <c r="B55" s="56" t="str">
        <f t="shared" si="12"/>
        <v>#NAME?</v>
      </c>
      <c r="C55" s="56">
        <f t="shared" si="13"/>
        <v>7</v>
      </c>
      <c r="D55" s="66">
        <v>46218.0</v>
      </c>
      <c r="E55" s="66">
        <v>46218.0</v>
      </c>
      <c r="F55" s="45"/>
      <c r="G55" s="45" t="s">
        <v>398</v>
      </c>
      <c r="H55" s="61" t="s">
        <v>400</v>
      </c>
      <c r="I55" s="46"/>
      <c r="J55" s="71">
        <v>194258.0</v>
      </c>
      <c r="K55" s="46">
        <f t="shared" si="10"/>
        <v>371845.5</v>
      </c>
      <c r="L55" s="62" t="s">
        <v>45</v>
      </c>
      <c r="M55" s="62" t="s">
        <v>94</v>
      </c>
      <c r="N55" s="63"/>
      <c r="O55" s="62" t="s">
        <v>60</v>
      </c>
      <c r="P55" s="30" t="s">
        <v>95</v>
      </c>
      <c r="Q55" s="64" t="s">
        <v>82</v>
      </c>
      <c r="R55" s="36"/>
      <c r="S55" s="36"/>
      <c r="T55" s="36" t="s">
        <v>97</v>
      </c>
      <c r="U55" s="30"/>
      <c r="V55" s="36" t="s">
        <v>98</v>
      </c>
      <c r="W55" s="30" t="str">
        <f t="shared" si="6"/>
        <v>Receipt: For (Apt#: P-064) (Ref: YBP6196616883455) (IMPS: SUNITA SUNITA/XXX8258/RRN:619612512425/STATE BANK OF INDIA) (Type: Customer Collection) (BU: Casa Romana)</v>
      </c>
      <c r="X55" s="36"/>
      <c r="Y55" s="59"/>
      <c r="Z55" s="2"/>
      <c r="AA55" s="2"/>
      <c r="AB55" s="2"/>
      <c r="AC55" s="2"/>
    </row>
    <row r="56" ht="15.75" customHeight="1">
      <c r="A56" s="56">
        <v>181.0</v>
      </c>
      <c r="B56" s="56" t="str">
        <f t="shared" si="12"/>
        <v>#NAME?</v>
      </c>
      <c r="C56" s="56">
        <f t="shared" si="13"/>
        <v>7</v>
      </c>
      <c r="D56" s="66">
        <v>46218.0</v>
      </c>
      <c r="E56" s="66">
        <v>46218.0</v>
      </c>
      <c r="F56" s="45"/>
      <c r="G56" s="45" t="s">
        <v>405</v>
      </c>
      <c r="H56" s="61" t="s">
        <v>406</v>
      </c>
      <c r="I56" s="46"/>
      <c r="J56" s="46">
        <v>148372.0</v>
      </c>
      <c r="K56" s="46">
        <f t="shared" si="10"/>
        <v>177587.5</v>
      </c>
      <c r="L56" s="62" t="s">
        <v>45</v>
      </c>
      <c r="M56" s="62" t="s">
        <v>94</v>
      </c>
      <c r="N56" s="63"/>
      <c r="O56" s="62" t="s">
        <v>60</v>
      </c>
      <c r="P56" s="30" t="s">
        <v>95</v>
      </c>
      <c r="Q56" s="64" t="s">
        <v>82</v>
      </c>
      <c r="R56" s="36"/>
      <c r="S56" s="36"/>
      <c r="T56" s="36" t="s">
        <v>408</v>
      </c>
      <c r="U56" s="30"/>
      <c r="V56" s="36" t="s">
        <v>409</v>
      </c>
      <c r="W56" s="30" t="str">
        <f t="shared" si="6"/>
        <v>Receipt: For (Apt#: U-102) (Ref: YES0N6196325504800) (NEFT: NEELKANT GUMMALLA-DWARKADHIS PROJECTS PRIVA-IN12619646598201) (Type: Customer Collection) (BU: Casa Romana)</v>
      </c>
      <c r="X56" s="68">
        <v>0.05</v>
      </c>
      <c r="Y56" s="59"/>
      <c r="Z56" s="2"/>
      <c r="AA56" s="2"/>
      <c r="AB56" s="2"/>
      <c r="AC56" s="2"/>
    </row>
    <row r="57" ht="15.75" hidden="1" customHeight="1">
      <c r="A57" s="56">
        <v>180.0</v>
      </c>
      <c r="B57" s="56" t="str">
        <f t="shared" si="12"/>
        <v>#NAME?</v>
      </c>
      <c r="C57" s="56">
        <f t="shared" si="13"/>
        <v>7</v>
      </c>
      <c r="D57" s="66">
        <v>46216.0</v>
      </c>
      <c r="E57" s="66">
        <v>46216.0</v>
      </c>
      <c r="F57" s="45"/>
      <c r="G57" s="45" t="s">
        <v>412</v>
      </c>
      <c r="H57" s="61" t="s">
        <v>407</v>
      </c>
      <c r="I57" s="46">
        <v>30000.0</v>
      </c>
      <c r="J57" s="46"/>
      <c r="K57" s="46">
        <f t="shared" si="10"/>
        <v>29215.5</v>
      </c>
      <c r="L57" s="62" t="s">
        <v>45</v>
      </c>
      <c r="M57" s="62" t="s">
        <v>47</v>
      </c>
      <c r="N57" s="63"/>
      <c r="O57" s="62" t="s">
        <v>60</v>
      </c>
      <c r="P57" s="30" t="s">
        <v>51</v>
      </c>
      <c r="Q57" s="64" t="s">
        <v>50</v>
      </c>
      <c r="R57" s="36"/>
      <c r="S57" s="36"/>
      <c r="T57" s="36"/>
      <c r="U57" s="30"/>
      <c r="V57" s="36"/>
      <c r="W57" s="30" t="str">
        <f t="shared" si="6"/>
        <v>Fund Transfer: From YES MASTER 0264 to x2477 (Ref: YESME6194005638000) (Type: Master to Free) (BU: Casa Romana) (Head: Internal)</v>
      </c>
      <c r="X57" s="36"/>
      <c r="Y57" s="59"/>
      <c r="Z57" s="2"/>
      <c r="AA57" s="2"/>
      <c r="AB57" s="2"/>
      <c r="AC57" s="2"/>
    </row>
    <row r="58" ht="15.75" hidden="1" customHeight="1">
      <c r="A58" s="56">
        <v>179.0</v>
      </c>
      <c r="B58" s="56" t="str">
        <f t="shared" si="12"/>
        <v>#NAME?</v>
      </c>
      <c r="C58" s="56">
        <f t="shared" si="13"/>
        <v>7</v>
      </c>
      <c r="D58" s="66">
        <v>46216.0</v>
      </c>
      <c r="E58" s="66">
        <v>46216.0</v>
      </c>
      <c r="F58" s="45"/>
      <c r="G58" s="45" t="s">
        <v>415</v>
      </c>
      <c r="H58" s="61" t="s">
        <v>187</v>
      </c>
      <c r="I58" s="46">
        <v>70000.0</v>
      </c>
      <c r="J58" s="46"/>
      <c r="K58" s="46">
        <f t="shared" si="10"/>
        <v>59215.5</v>
      </c>
      <c r="L58" s="62" t="s">
        <v>45</v>
      </c>
      <c r="M58" s="62" t="s">
        <v>47</v>
      </c>
      <c r="N58" s="63"/>
      <c r="O58" s="62" t="s">
        <v>60</v>
      </c>
      <c r="P58" s="30" t="s">
        <v>61</v>
      </c>
      <c r="Q58" s="64" t="s">
        <v>50</v>
      </c>
      <c r="R58" s="36"/>
      <c r="S58" s="36"/>
      <c r="T58" s="36"/>
      <c r="U58" s="30"/>
      <c r="V58" s="36"/>
      <c r="W58" s="30" t="str">
        <f t="shared" si="6"/>
        <v>Fund Transfer: From YES MASTER 0264 to x0377 (Ref: YESME6194005637900) (Type: Master 2 RERA) (BU: Casa Romana) (Head: Internal)</v>
      </c>
      <c r="X58" s="36"/>
      <c r="Y58" s="59"/>
      <c r="Z58" s="2"/>
      <c r="AA58" s="2"/>
      <c r="AB58" s="2"/>
      <c r="AC58" s="2"/>
    </row>
    <row r="59" ht="15.75" customHeight="1">
      <c r="A59" s="56">
        <v>178.0</v>
      </c>
      <c r="B59" s="56" t="str">
        <f t="shared" si="12"/>
        <v>#NAME?</v>
      </c>
      <c r="C59" s="56">
        <f t="shared" si="13"/>
        <v>7</v>
      </c>
      <c r="D59" s="66">
        <v>46215.0</v>
      </c>
      <c r="E59" s="66">
        <v>46215.0</v>
      </c>
      <c r="F59" s="45"/>
      <c r="G59" s="45" t="s">
        <v>419</v>
      </c>
      <c r="H59" s="61" t="s">
        <v>421</v>
      </c>
      <c r="I59" s="46"/>
      <c r="J59" s="46">
        <v>100000.0</v>
      </c>
      <c r="K59" s="46">
        <f t="shared" si="10"/>
        <v>129215.5</v>
      </c>
      <c r="L59" s="62" t="s">
        <v>45</v>
      </c>
      <c r="M59" s="62" t="s">
        <v>94</v>
      </c>
      <c r="N59" s="63"/>
      <c r="O59" s="62" t="s">
        <v>60</v>
      </c>
      <c r="P59" s="30" t="s">
        <v>95</v>
      </c>
      <c r="Q59" s="64" t="s">
        <v>82</v>
      </c>
      <c r="R59" s="36"/>
      <c r="S59" s="36"/>
      <c r="T59" s="36" t="s">
        <v>111</v>
      </c>
      <c r="U59" s="30"/>
      <c r="V59" s="36" t="s">
        <v>98</v>
      </c>
      <c r="W59" s="30" t="str">
        <f t="shared" si="6"/>
        <v>Receipt: For (Apt#: P-071) (Ref: YBP6193613167067) (IMPS: MRIGANKACHAKRABORTY/XXX7113/RRN:619321078962/AXIS BANK) (Type: Customer Collection) (BU: Casa Romana)</v>
      </c>
      <c r="X59" s="36"/>
      <c r="Y59" s="59"/>
      <c r="Z59" s="2"/>
      <c r="AA59" s="2"/>
      <c r="AB59" s="2"/>
      <c r="AC59" s="2"/>
    </row>
    <row r="60" ht="15.75" hidden="1" customHeight="1">
      <c r="A60" s="56">
        <v>177.0</v>
      </c>
      <c r="B60" s="56" t="str">
        <f t="shared" si="12"/>
        <v>#NAME?</v>
      </c>
      <c r="C60" s="56">
        <f t="shared" si="13"/>
        <v>7</v>
      </c>
      <c r="D60" s="66">
        <v>46214.0</v>
      </c>
      <c r="E60" s="66">
        <v>46214.0</v>
      </c>
      <c r="F60" s="45"/>
      <c r="G60" s="45" t="s">
        <v>344</v>
      </c>
      <c r="H60" s="61" t="s">
        <v>414</v>
      </c>
      <c r="I60" s="46">
        <v>54510.0</v>
      </c>
      <c r="J60" s="46"/>
      <c r="K60" s="46">
        <f t="shared" si="10"/>
        <v>29215.5</v>
      </c>
      <c r="L60" s="62" t="s">
        <v>45</v>
      </c>
      <c r="M60" s="62" t="s">
        <v>47</v>
      </c>
      <c r="N60" s="63"/>
      <c r="O60" s="62" t="s">
        <v>60</v>
      </c>
      <c r="P60" s="30" t="s">
        <v>51</v>
      </c>
      <c r="Q60" s="64" t="s">
        <v>50</v>
      </c>
      <c r="R60" s="36"/>
      <c r="S60" s="36"/>
      <c r="T60" s="36"/>
      <c r="U60" s="30"/>
      <c r="V60" s="36"/>
      <c r="W60" s="30" t="str">
        <f t="shared" si="6"/>
        <v>Fund Transfer: From YES MASTER 0264 to x2477 (Ref: YESME6192004439900) (Type: Master to Free) (BU: Casa Romana) (Head: Internal)</v>
      </c>
      <c r="X60" s="36"/>
      <c r="Y60" s="59"/>
      <c r="Z60" s="2"/>
      <c r="AA60" s="2"/>
      <c r="AB60" s="2"/>
      <c r="AC60" s="2"/>
    </row>
    <row r="61" ht="15.75" hidden="1" customHeight="1">
      <c r="A61" s="56">
        <v>176.0</v>
      </c>
      <c r="B61" s="56" t="str">
        <f t="shared" si="12"/>
        <v>#NAME?</v>
      </c>
      <c r="C61" s="56">
        <f t="shared" si="13"/>
        <v>7</v>
      </c>
      <c r="D61" s="66">
        <v>46214.0</v>
      </c>
      <c r="E61" s="66">
        <v>46214.0</v>
      </c>
      <c r="F61" s="45"/>
      <c r="G61" s="45" t="s">
        <v>350</v>
      </c>
      <c r="H61" s="61" t="s">
        <v>198</v>
      </c>
      <c r="I61" s="46">
        <v>127190.0</v>
      </c>
      <c r="J61" s="46"/>
      <c r="K61" s="46">
        <f t="shared" si="10"/>
        <v>83725.5</v>
      </c>
      <c r="L61" s="62" t="s">
        <v>45</v>
      </c>
      <c r="M61" s="62" t="s">
        <v>47</v>
      </c>
      <c r="N61" s="63"/>
      <c r="O61" s="62" t="s">
        <v>60</v>
      </c>
      <c r="P61" s="30" t="s">
        <v>61</v>
      </c>
      <c r="Q61" s="64" t="s">
        <v>50</v>
      </c>
      <c r="R61" s="36"/>
      <c r="S61" s="36"/>
      <c r="T61" s="36"/>
      <c r="U61" s="30"/>
      <c r="V61" s="36"/>
      <c r="W61" s="30" t="str">
        <f t="shared" si="6"/>
        <v>Fund Transfer: From YES MASTER 0264 to x0377 (Ref: YESME6192004439800) (Type: Master 2 RERA) (BU: Casa Romana) (Head: Internal)</v>
      </c>
      <c r="X61" s="36"/>
      <c r="Y61" s="59"/>
      <c r="Z61" s="2"/>
      <c r="AA61" s="2"/>
      <c r="AB61" s="2"/>
      <c r="AC61" s="2"/>
    </row>
    <row r="62" ht="15.75" customHeight="1">
      <c r="A62" s="56">
        <v>175.0</v>
      </c>
      <c r="B62" s="56" t="str">
        <f t="shared" si="12"/>
        <v>#NAME?</v>
      </c>
      <c r="C62" s="56">
        <f t="shared" si="13"/>
        <v>7</v>
      </c>
      <c r="D62" s="66">
        <v>46213.0</v>
      </c>
      <c r="E62" s="66">
        <v>46213.0</v>
      </c>
      <c r="F62" s="45"/>
      <c r="G62" s="45" t="s">
        <v>434</v>
      </c>
      <c r="H62" s="61">
        <v>412307.0</v>
      </c>
      <c r="I62" s="46"/>
      <c r="J62" s="71">
        <v>34039.0</v>
      </c>
      <c r="K62" s="46">
        <f t="shared" si="10"/>
        <v>210915.5</v>
      </c>
      <c r="L62" s="62" t="s">
        <v>45</v>
      </c>
      <c r="M62" s="62" t="s">
        <v>94</v>
      </c>
      <c r="N62" s="63"/>
      <c r="O62" s="62" t="s">
        <v>60</v>
      </c>
      <c r="P62" s="30" t="s">
        <v>95</v>
      </c>
      <c r="Q62" s="64" t="s">
        <v>82</v>
      </c>
      <c r="R62" s="36"/>
      <c r="S62" s="36"/>
      <c r="T62" s="36" t="s">
        <v>437</v>
      </c>
      <c r="U62" s="82" t="s">
        <v>438</v>
      </c>
      <c r="V62" s="36" t="s">
        <v>439</v>
      </c>
      <c r="W62" s="30" t="str">
        <f t="shared" si="6"/>
        <v>Receipt: For (Apt#: M-072) (Ref: 412307) ( 26 SAKET) (Type: Customer Collection) (BU: Casa Romana)</v>
      </c>
      <c r="X62" s="36"/>
      <c r="Y62" s="59"/>
      <c r="Z62" s="2"/>
      <c r="AA62" s="2"/>
      <c r="AB62" s="2"/>
      <c r="AC62" s="2"/>
    </row>
    <row r="63" ht="15.75" customHeight="1">
      <c r="A63" s="56">
        <v>174.0</v>
      </c>
      <c r="B63" s="56" t="str">
        <f t="shared" si="12"/>
        <v>#NAME?</v>
      </c>
      <c r="C63" s="56">
        <f t="shared" si="13"/>
        <v>7</v>
      </c>
      <c r="D63" s="66">
        <v>46213.0</v>
      </c>
      <c r="E63" s="66">
        <v>46213.0</v>
      </c>
      <c r="F63" s="45"/>
      <c r="G63" s="45" t="s">
        <v>441</v>
      </c>
      <c r="H63" s="61" t="s">
        <v>442</v>
      </c>
      <c r="I63" s="46"/>
      <c r="J63" s="46">
        <v>147661.0</v>
      </c>
      <c r="K63" s="46">
        <f t="shared" si="10"/>
        <v>176876.5</v>
      </c>
      <c r="L63" s="62" t="s">
        <v>45</v>
      </c>
      <c r="M63" s="62" t="s">
        <v>94</v>
      </c>
      <c r="N63" s="63"/>
      <c r="O63" s="62" t="s">
        <v>60</v>
      </c>
      <c r="P63" s="30" t="s">
        <v>95</v>
      </c>
      <c r="Q63" s="64" t="s">
        <v>82</v>
      </c>
      <c r="R63" s="36"/>
      <c r="S63" s="36"/>
      <c r="T63" s="36" t="s">
        <v>446</v>
      </c>
      <c r="U63" s="30"/>
      <c r="V63" s="36" t="s">
        <v>447</v>
      </c>
      <c r="W63" s="30" t="str">
        <f t="shared" si="6"/>
        <v>Receipt: For (Apt#: N-124) (Ref: YBP6191609955191) (IMPS: ABHIJEET ./XXX1052/RRN:619113959999/) (Type: Customer Collection) (BU: Casa Romana)</v>
      </c>
      <c r="X63" s="36"/>
      <c r="Y63" s="59"/>
      <c r="Z63" s="2"/>
      <c r="AA63" s="2"/>
      <c r="AB63" s="2"/>
      <c r="AC63" s="2"/>
    </row>
    <row r="64" ht="15.75" hidden="1" customHeight="1">
      <c r="A64" s="56">
        <v>173.0</v>
      </c>
      <c r="B64" s="56" t="str">
        <f t="shared" si="12"/>
        <v>#NAME?</v>
      </c>
      <c r="C64" s="56">
        <f t="shared" si="13"/>
        <v>7</v>
      </c>
      <c r="D64" s="66">
        <v>46211.0</v>
      </c>
      <c r="E64" s="66">
        <v>46211.0</v>
      </c>
      <c r="F64" s="45"/>
      <c r="G64" s="45" t="s">
        <v>449</v>
      </c>
      <c r="H64" s="61" t="s">
        <v>427</v>
      </c>
      <c r="I64" s="46">
        <v>82500.0</v>
      </c>
      <c r="J64" s="46"/>
      <c r="K64" s="46">
        <f t="shared" si="10"/>
        <v>29215.5</v>
      </c>
      <c r="L64" s="62" t="s">
        <v>45</v>
      </c>
      <c r="M64" s="62" t="s">
        <v>47</v>
      </c>
      <c r="N64" s="63"/>
      <c r="O64" s="62" t="s">
        <v>60</v>
      </c>
      <c r="P64" s="30" t="s">
        <v>51</v>
      </c>
      <c r="Q64" s="64" t="s">
        <v>50</v>
      </c>
      <c r="R64" s="36"/>
      <c r="S64" s="36"/>
      <c r="T64" s="36"/>
      <c r="U64" s="30"/>
      <c r="V64" s="36"/>
      <c r="W64" s="30" t="str">
        <f t="shared" si="6"/>
        <v>Fund Transfer: From YES MASTER 0264 to x2477 (Ref: YESME6189005399100) (Type: Master to Free) (BU: Casa Romana) (Head: Internal)</v>
      </c>
      <c r="X64" s="36"/>
      <c r="Y64" s="59">
        <f>K64</f>
        <v>29215.5</v>
      </c>
      <c r="Z64" s="2" t="b">
        <f>Y64=K64</f>
        <v>1</v>
      </c>
      <c r="AA64" s="2"/>
      <c r="AB64" s="2"/>
      <c r="AC64" s="2"/>
    </row>
    <row r="65" ht="15.75" hidden="1" customHeight="1">
      <c r="A65" s="56">
        <v>172.0</v>
      </c>
      <c r="B65" s="56" t="str">
        <f t="shared" si="12"/>
        <v>#NAME?</v>
      </c>
      <c r="C65" s="56">
        <f t="shared" si="13"/>
        <v>7</v>
      </c>
      <c r="D65" s="66">
        <v>46211.0</v>
      </c>
      <c r="E65" s="66">
        <v>46211.0</v>
      </c>
      <c r="F65" s="45"/>
      <c r="G65" s="45" t="s">
        <v>455</v>
      </c>
      <c r="H65" s="61" t="s">
        <v>206</v>
      </c>
      <c r="I65" s="46">
        <v>192500.0</v>
      </c>
      <c r="J65" s="46"/>
      <c r="K65" s="46">
        <f t="shared" si="10"/>
        <v>111715.5</v>
      </c>
      <c r="L65" s="62" t="s">
        <v>45</v>
      </c>
      <c r="M65" s="62" t="s">
        <v>47</v>
      </c>
      <c r="N65" s="63"/>
      <c r="O65" s="62" t="s">
        <v>60</v>
      </c>
      <c r="P65" s="30" t="s">
        <v>61</v>
      </c>
      <c r="Q65" s="64" t="s">
        <v>50</v>
      </c>
      <c r="R65" s="36"/>
      <c r="S65" s="36"/>
      <c r="T65" s="36"/>
      <c r="U65" s="30"/>
      <c r="V65" s="36"/>
      <c r="W65" s="30" t="str">
        <f t="shared" si="6"/>
        <v>Fund Transfer: From YES MASTER 0264 to x0377 (Ref: YESME6189005399200) (Type: Master 2 RERA) (BU: Casa Romana) (Head: Internal)</v>
      </c>
      <c r="X65" s="36"/>
      <c r="Y65" s="59"/>
      <c r="Z65" s="2"/>
      <c r="AA65" s="2"/>
      <c r="AB65" s="2"/>
      <c r="AC65" s="2"/>
    </row>
    <row r="66" ht="15.75" customHeight="1">
      <c r="A66" s="56">
        <v>171.0</v>
      </c>
      <c r="B66" s="56" t="str">
        <f t="shared" si="12"/>
        <v>#NAME?</v>
      </c>
      <c r="C66" s="56">
        <f t="shared" si="13"/>
        <v>7</v>
      </c>
      <c r="D66" s="66">
        <v>46210.0</v>
      </c>
      <c r="E66" s="66">
        <v>46210.0</v>
      </c>
      <c r="F66" s="45"/>
      <c r="G66" s="45" t="s">
        <v>458</v>
      </c>
      <c r="H66" s="61" t="s">
        <v>459</v>
      </c>
      <c r="I66" s="46"/>
      <c r="J66" s="46">
        <v>55000.0</v>
      </c>
      <c r="K66" s="46">
        <f t="shared" si="10"/>
        <v>304215.5</v>
      </c>
      <c r="L66" s="62" t="s">
        <v>45</v>
      </c>
      <c r="M66" s="62" t="s">
        <v>94</v>
      </c>
      <c r="N66" s="63"/>
      <c r="O66" s="62" t="s">
        <v>60</v>
      </c>
      <c r="P66" s="30" t="s">
        <v>95</v>
      </c>
      <c r="Q66" s="64" t="s">
        <v>82</v>
      </c>
      <c r="R66" s="36"/>
      <c r="S66" s="36"/>
      <c r="T66" s="36" t="s">
        <v>461</v>
      </c>
      <c r="U66" s="82" t="s">
        <v>462</v>
      </c>
      <c r="V66" s="36" t="s">
        <v>391</v>
      </c>
      <c r="W66" s="30" t="str">
        <f t="shared" si="6"/>
        <v>Receipt: For (Apt#: U-072) (Ref: YBS6188921330701) ( UPI/169410392263/From:9811295007@ybl/To:045563200000264@YESB0000455.ifsc.npci/Payment from PhonePe) (Type: Customer Collection) (BU: Casa Romana)</v>
      </c>
      <c r="X66" s="36"/>
      <c r="Y66" s="59"/>
      <c r="Z66" s="2"/>
      <c r="AA66" s="2"/>
      <c r="AB66" s="2"/>
      <c r="AC66" s="2"/>
    </row>
    <row r="67" ht="15.75" customHeight="1">
      <c r="A67" s="56">
        <v>170.0</v>
      </c>
      <c r="B67" s="56" t="str">
        <f t="shared" si="12"/>
        <v>#NAME?</v>
      </c>
      <c r="C67" s="56">
        <f t="shared" si="13"/>
        <v>7</v>
      </c>
      <c r="D67" s="66">
        <v>46210.0</v>
      </c>
      <c r="E67" s="66">
        <v>46210.0</v>
      </c>
      <c r="F67" s="45"/>
      <c r="G67" s="45" t="s">
        <v>466</v>
      </c>
      <c r="H67" s="61" t="s">
        <v>467</v>
      </c>
      <c r="I67" s="46"/>
      <c r="J67" s="46">
        <v>10000.0</v>
      </c>
      <c r="K67" s="46">
        <f t="shared" si="10"/>
        <v>249215.5</v>
      </c>
      <c r="L67" s="62" t="s">
        <v>45</v>
      </c>
      <c r="M67" s="62" t="s">
        <v>94</v>
      </c>
      <c r="N67" s="63"/>
      <c r="O67" s="62" t="s">
        <v>60</v>
      </c>
      <c r="P67" s="30" t="s">
        <v>95</v>
      </c>
      <c r="Q67" s="64" t="s">
        <v>82</v>
      </c>
      <c r="R67" s="36"/>
      <c r="S67" s="36"/>
      <c r="T67" s="36" t="s">
        <v>468</v>
      </c>
      <c r="U67" s="82" t="s">
        <v>469</v>
      </c>
      <c r="V67" s="36" t="s">
        <v>391</v>
      </c>
      <c r="W67" s="30" t="str">
        <f t="shared" si="6"/>
        <v>Receipt: For (Apt#: N-041) (Ref: YBS6188920633298) ( UPI/310650751520/From:9799400249-2@axl/To:045563200000264@YESB0000455.ifsc.npci/Payment from PhonePe) (Type: Customer Collection) (BU: Casa Romana)</v>
      </c>
      <c r="X67" s="36"/>
      <c r="Y67" s="59"/>
      <c r="Z67" s="2"/>
      <c r="AA67" s="2"/>
      <c r="AB67" s="2"/>
      <c r="AC67" s="2"/>
    </row>
    <row r="68" ht="15.75" customHeight="1">
      <c r="A68" s="56">
        <v>169.0</v>
      </c>
      <c r="B68" s="56" t="str">
        <f t="shared" si="12"/>
        <v>#NAME?</v>
      </c>
      <c r="C68" s="56">
        <f t="shared" si="13"/>
        <v>7</v>
      </c>
      <c r="D68" s="66">
        <v>46209.0</v>
      </c>
      <c r="E68" s="66">
        <v>46209.0</v>
      </c>
      <c r="F68" s="45"/>
      <c r="G68" s="45" t="s">
        <v>474</v>
      </c>
      <c r="H68" s="61" t="s">
        <v>475</v>
      </c>
      <c r="I68" s="46"/>
      <c r="J68" s="46">
        <v>150000.0</v>
      </c>
      <c r="K68" s="46">
        <f t="shared" si="10"/>
        <v>239215.5</v>
      </c>
      <c r="L68" s="62" t="s">
        <v>45</v>
      </c>
      <c r="M68" s="62" t="s">
        <v>94</v>
      </c>
      <c r="N68" s="63"/>
      <c r="O68" s="62" t="s">
        <v>60</v>
      </c>
      <c r="P68" s="30" t="s">
        <v>95</v>
      </c>
      <c r="Q68" s="64" t="s">
        <v>82</v>
      </c>
      <c r="R68" s="36"/>
      <c r="S68" s="36"/>
      <c r="T68" s="36" t="s">
        <v>476</v>
      </c>
      <c r="U68" s="30"/>
      <c r="V68" s="36" t="s">
        <v>391</v>
      </c>
      <c r="W68" s="30" t="str">
        <f t="shared" si="6"/>
        <v>Receipt: For (Apt#: S-064) (Ref: YES0N6187270443400) (NEFT: Mrs. ANSHU SHARMA-DWARKADHIS PROJECTS PRIVA-IDFB6187M8433490) (Type: Customer Collection) (BU: Casa Romana)</v>
      </c>
      <c r="X68" s="36"/>
      <c r="Y68" s="59"/>
      <c r="Z68" s="2"/>
      <c r="AA68" s="2"/>
      <c r="AB68" s="2"/>
      <c r="AC68" s="2"/>
    </row>
    <row r="69" ht="15.75" customHeight="1">
      <c r="A69" s="56">
        <v>168.0</v>
      </c>
      <c r="B69" s="56" t="str">
        <f t="shared" si="12"/>
        <v>#NAME?</v>
      </c>
      <c r="C69" s="56">
        <f t="shared" si="13"/>
        <v>7</v>
      </c>
      <c r="D69" s="66">
        <v>46209.0</v>
      </c>
      <c r="E69" s="66">
        <v>46209.0</v>
      </c>
      <c r="F69" s="45"/>
      <c r="G69" s="45" t="s">
        <v>481</v>
      </c>
      <c r="H69" s="61" t="s">
        <v>482</v>
      </c>
      <c r="I69" s="46"/>
      <c r="J69" s="46">
        <v>60000.0</v>
      </c>
      <c r="K69" s="46">
        <f t="shared" si="10"/>
        <v>89215.5</v>
      </c>
      <c r="L69" s="62" t="s">
        <v>45</v>
      </c>
      <c r="M69" s="62" t="s">
        <v>94</v>
      </c>
      <c r="N69" s="63"/>
      <c r="O69" s="62" t="s">
        <v>60</v>
      </c>
      <c r="P69" s="30" t="s">
        <v>95</v>
      </c>
      <c r="Q69" s="64" t="s">
        <v>82</v>
      </c>
      <c r="R69" s="36"/>
      <c r="S69" s="36"/>
      <c r="T69" s="36" t="s">
        <v>484</v>
      </c>
      <c r="U69" s="65"/>
      <c r="V69" s="36" t="s">
        <v>485</v>
      </c>
      <c r="W69" s="30" t="str">
        <f t="shared" si="6"/>
        <v>Receipt: For (Apt#: L-113) (Ref: YES0N6187256961500) (NEFT: ROHITAS KUMAR-DWARKADHIS PROJECTS PRIVA-IN12618745392512) (Type: Customer Collection) (BU: Casa Romana)</v>
      </c>
      <c r="X69" s="65">
        <v>0.05</v>
      </c>
      <c r="Y69" s="59"/>
      <c r="Z69" s="2"/>
      <c r="AA69" s="2"/>
      <c r="AB69" s="2"/>
      <c r="AC69" s="2"/>
    </row>
    <row r="70" ht="15.75" hidden="1" customHeight="1">
      <c r="A70" s="56">
        <v>167.0</v>
      </c>
      <c r="B70" s="56" t="str">
        <f t="shared" si="12"/>
        <v>#NAME?</v>
      </c>
      <c r="C70" s="56">
        <f t="shared" si="13"/>
        <v>7</v>
      </c>
      <c r="D70" s="66">
        <v>46209.0</v>
      </c>
      <c r="E70" s="66">
        <v>46209.0</v>
      </c>
      <c r="F70" s="45"/>
      <c r="G70" s="45" t="s">
        <v>488</v>
      </c>
      <c r="H70" s="61" t="s">
        <v>212</v>
      </c>
      <c r="I70" s="46">
        <v>247548.0</v>
      </c>
      <c r="J70" s="46"/>
      <c r="K70" s="46">
        <f t="shared" si="10"/>
        <v>29215.5</v>
      </c>
      <c r="L70" s="62" t="s">
        <v>45</v>
      </c>
      <c r="M70" s="62" t="s">
        <v>47</v>
      </c>
      <c r="N70" s="63"/>
      <c r="O70" s="62" t="s">
        <v>60</v>
      </c>
      <c r="P70" s="30" t="s">
        <v>61</v>
      </c>
      <c r="Q70" s="64" t="s">
        <v>50</v>
      </c>
      <c r="R70" s="36"/>
      <c r="S70" s="36"/>
      <c r="T70" s="36"/>
      <c r="U70" s="30"/>
      <c r="V70" s="36"/>
      <c r="W70" s="30" t="str">
        <f t="shared" si="6"/>
        <v>Fund Transfer: From YES MASTER 0264 to x0377 (Ref: YESME6187006949800) (Type: Master 2 RERA) (BU: Casa Romana) (Head: Internal)</v>
      </c>
      <c r="X70" s="36"/>
      <c r="Y70" s="59"/>
      <c r="Z70" s="2"/>
      <c r="AA70" s="2"/>
      <c r="AB70" s="2"/>
      <c r="AC70" s="2"/>
    </row>
    <row r="71" ht="15.75" hidden="1" customHeight="1">
      <c r="A71" s="56">
        <v>166.0</v>
      </c>
      <c r="B71" s="56" t="str">
        <f t="shared" si="12"/>
        <v>#NAME?</v>
      </c>
      <c r="C71" s="56">
        <f t="shared" si="13"/>
        <v>7</v>
      </c>
      <c r="D71" s="66">
        <v>46209.0</v>
      </c>
      <c r="E71" s="66">
        <v>46209.0</v>
      </c>
      <c r="F71" s="45"/>
      <c r="G71" s="45" t="s">
        <v>491</v>
      </c>
      <c r="H71" s="61" t="s">
        <v>443</v>
      </c>
      <c r="I71" s="46">
        <v>106092.0</v>
      </c>
      <c r="J71" s="46"/>
      <c r="K71" s="46">
        <f t="shared" si="10"/>
        <v>276763.5</v>
      </c>
      <c r="L71" s="62" t="s">
        <v>45</v>
      </c>
      <c r="M71" s="62" t="s">
        <v>47</v>
      </c>
      <c r="N71" s="63"/>
      <c r="O71" s="62" t="s">
        <v>60</v>
      </c>
      <c r="P71" s="30" t="s">
        <v>51</v>
      </c>
      <c r="Q71" s="64" t="s">
        <v>50</v>
      </c>
      <c r="R71" s="36"/>
      <c r="S71" s="36"/>
      <c r="T71" s="36"/>
      <c r="U71" s="30"/>
      <c r="V71" s="36"/>
      <c r="W71" s="30" t="str">
        <f t="shared" si="6"/>
        <v>Fund Transfer: From YES MASTER 0264 to x2477 (Ref: YESME6187006949700) (Type: Master to Free) (BU: Casa Romana) (Head: Internal)</v>
      </c>
      <c r="X71" s="36"/>
      <c r="Y71" s="59"/>
      <c r="Z71" s="2"/>
      <c r="AA71" s="2"/>
      <c r="AB71" s="2"/>
      <c r="AC71" s="2"/>
    </row>
    <row r="72" ht="15.75" customHeight="1">
      <c r="A72" s="56">
        <v>165.0</v>
      </c>
      <c r="B72" s="56" t="str">
        <f t="shared" si="12"/>
        <v>#NAME?</v>
      </c>
      <c r="C72" s="56">
        <f t="shared" si="13"/>
        <v>7</v>
      </c>
      <c r="D72" s="66">
        <v>46209.0</v>
      </c>
      <c r="E72" s="66">
        <v>46209.0</v>
      </c>
      <c r="F72" s="45"/>
      <c r="G72" s="45" t="s">
        <v>495</v>
      </c>
      <c r="H72" s="61" t="s">
        <v>496</v>
      </c>
      <c r="I72" s="46"/>
      <c r="J72" s="46">
        <v>10600.0</v>
      </c>
      <c r="K72" s="46">
        <f t="shared" si="10"/>
        <v>382855.5</v>
      </c>
      <c r="L72" s="62" t="s">
        <v>45</v>
      </c>
      <c r="M72" s="62" t="s">
        <v>94</v>
      </c>
      <c r="N72" s="63"/>
      <c r="O72" s="62" t="s">
        <v>60</v>
      </c>
      <c r="P72" s="30" t="s">
        <v>95</v>
      </c>
      <c r="Q72" s="64" t="s">
        <v>82</v>
      </c>
      <c r="R72" s="36"/>
      <c r="S72" s="36"/>
      <c r="T72" s="36" t="s">
        <v>244</v>
      </c>
      <c r="U72" s="30"/>
      <c r="V72" s="36" t="s">
        <v>501</v>
      </c>
      <c r="W72" s="30" t="str">
        <f t="shared" si="6"/>
        <v>Receipt: For (Apt#: R-064) (Ref: YBP6187604198173) (IMPS: AMITKUMAR/XXX3986/RRN:618712584961/AXIS BANK) (Type: Customer Collection) (BU: Casa Romana)</v>
      </c>
      <c r="X72" s="68">
        <v>0.05</v>
      </c>
      <c r="Y72" s="59"/>
      <c r="Z72" s="2"/>
      <c r="AA72" s="2"/>
      <c r="AB72" s="2"/>
      <c r="AC72" s="2"/>
    </row>
    <row r="73" ht="15.75" customHeight="1">
      <c r="A73" s="56">
        <v>164.0</v>
      </c>
      <c r="B73" s="56" t="str">
        <f t="shared" si="12"/>
        <v>#NAME?</v>
      </c>
      <c r="C73" s="56">
        <f t="shared" si="13"/>
        <v>7</v>
      </c>
      <c r="D73" s="66">
        <v>46209.0</v>
      </c>
      <c r="E73" s="66">
        <v>46209.0</v>
      </c>
      <c r="F73" s="45"/>
      <c r="G73" s="45" t="s">
        <v>503</v>
      </c>
      <c r="H73" s="61" t="s">
        <v>504</v>
      </c>
      <c r="I73" s="46"/>
      <c r="J73" s="46">
        <v>32276.0</v>
      </c>
      <c r="K73" s="46">
        <f t="shared" si="10"/>
        <v>372255.5</v>
      </c>
      <c r="L73" s="62" t="s">
        <v>45</v>
      </c>
      <c r="M73" s="62" t="s">
        <v>94</v>
      </c>
      <c r="N73" s="63"/>
      <c r="O73" s="62" t="s">
        <v>60</v>
      </c>
      <c r="P73" s="30" t="s">
        <v>95</v>
      </c>
      <c r="Q73" s="64" t="s">
        <v>82</v>
      </c>
      <c r="R73" s="36"/>
      <c r="S73" s="36"/>
      <c r="T73" s="36" t="s">
        <v>508</v>
      </c>
      <c r="U73" s="30"/>
      <c r="V73" s="36" t="s">
        <v>358</v>
      </c>
      <c r="W73" s="30" t="str">
        <f t="shared" si="6"/>
        <v>Receipt: For (Apt#: M-128) (Ref: YES0N6187209039700) (NEFT: MANISH ANAND-DWARKADHIS PROJECTS PRIVA-HDFCH01105733681) (Type: Customer Collection) (BU: Casa Romana)</v>
      </c>
      <c r="X73" s="36"/>
      <c r="Y73" s="59"/>
      <c r="Z73" s="2"/>
      <c r="AA73" s="2"/>
      <c r="AB73" s="2"/>
      <c r="AC73" s="2"/>
    </row>
    <row r="74" ht="15.75" customHeight="1">
      <c r="A74" s="56">
        <v>163.0</v>
      </c>
      <c r="B74" s="56" t="str">
        <f t="shared" si="12"/>
        <v>#NAME?</v>
      </c>
      <c r="C74" s="56">
        <f t="shared" si="13"/>
        <v>7</v>
      </c>
      <c r="D74" s="66">
        <v>46209.0</v>
      </c>
      <c r="E74" s="66">
        <v>46209.0</v>
      </c>
      <c r="F74" s="45"/>
      <c r="G74" s="45" t="s">
        <v>510</v>
      </c>
      <c r="H74" s="61" t="s">
        <v>512</v>
      </c>
      <c r="I74" s="46"/>
      <c r="J74" s="46">
        <v>95000.0</v>
      </c>
      <c r="K74" s="46">
        <f t="shared" si="10"/>
        <v>339979.5</v>
      </c>
      <c r="L74" s="62" t="s">
        <v>45</v>
      </c>
      <c r="M74" s="62" t="s">
        <v>94</v>
      </c>
      <c r="N74" s="63"/>
      <c r="O74" s="62" t="s">
        <v>60</v>
      </c>
      <c r="P74" s="30" t="s">
        <v>95</v>
      </c>
      <c r="Q74" s="64" t="s">
        <v>82</v>
      </c>
      <c r="R74" s="36"/>
      <c r="S74" s="36"/>
      <c r="T74" s="36" t="s">
        <v>461</v>
      </c>
      <c r="U74" s="30" t="s">
        <v>517</v>
      </c>
      <c r="V74" s="36" t="s">
        <v>358</v>
      </c>
      <c r="W74" s="30" t="str">
        <f t="shared" si="6"/>
        <v>Receipt: For (Apt#: U-072) (Ref: YBS6187912508427) ( UPI/220961157514/From:9811295007@ybl/To:045563200000264@YESB0000455.ifsc.npci/Payment from PhonePe) (Type: Customer Collection) (BU: Casa Romana)</v>
      </c>
      <c r="X74" s="36"/>
      <c r="Y74" s="59"/>
      <c r="Z74" s="2"/>
      <c r="AA74" s="2"/>
      <c r="AB74" s="2"/>
      <c r="AC74" s="2"/>
    </row>
    <row r="75" ht="15.75" customHeight="1">
      <c r="A75" s="56">
        <v>162.0</v>
      </c>
      <c r="B75" s="56" t="str">
        <f t="shared" si="12"/>
        <v>#NAME?</v>
      </c>
      <c r="C75" s="56">
        <f t="shared" si="13"/>
        <v>7</v>
      </c>
      <c r="D75" s="66">
        <v>46208.0</v>
      </c>
      <c r="E75" s="66">
        <v>46208.0</v>
      </c>
      <c r="F75" s="45"/>
      <c r="G75" s="45" t="s">
        <v>518</v>
      </c>
      <c r="H75" s="61" t="s">
        <v>519</v>
      </c>
      <c r="I75" s="46"/>
      <c r="J75" s="46">
        <v>53404.0</v>
      </c>
      <c r="K75" s="46">
        <f t="shared" si="10"/>
        <v>244979.5</v>
      </c>
      <c r="L75" s="62" t="s">
        <v>45</v>
      </c>
      <c r="M75" s="62" t="s">
        <v>94</v>
      </c>
      <c r="N75" s="63"/>
      <c r="O75" s="62" t="s">
        <v>60</v>
      </c>
      <c r="P75" s="30" t="s">
        <v>95</v>
      </c>
      <c r="Q75" s="64" t="s">
        <v>82</v>
      </c>
      <c r="R75" s="36"/>
      <c r="S75" s="36"/>
      <c r="T75" s="36" t="s">
        <v>523</v>
      </c>
      <c r="U75" s="30"/>
      <c r="V75" s="36" t="s">
        <v>358</v>
      </c>
      <c r="W75" s="30" t="str">
        <f t="shared" si="6"/>
        <v>Receipt: For (Apt#: M-097) (Ref: YES0N6186130900100) (NEFT: RAMJI TIWARI-DWARKADHIS PROJECTS PRIVA-IN12618645202215) (Type: Customer Collection) (BU: Casa Romana)</v>
      </c>
      <c r="X75" s="36"/>
      <c r="Y75" s="59"/>
      <c r="Z75" s="2"/>
      <c r="AA75" s="2"/>
      <c r="AB75" s="2"/>
      <c r="AC75" s="2"/>
    </row>
    <row r="76" ht="15.75" customHeight="1">
      <c r="A76" s="56">
        <v>161.0</v>
      </c>
      <c r="B76" s="56" t="str">
        <f t="shared" si="12"/>
        <v>#NAME?</v>
      </c>
      <c r="C76" s="56">
        <f t="shared" si="13"/>
        <v>7</v>
      </c>
      <c r="D76" s="66">
        <v>46208.0</v>
      </c>
      <c r="E76" s="66">
        <v>46208.0</v>
      </c>
      <c r="F76" s="45"/>
      <c r="G76" s="45" t="s">
        <v>167</v>
      </c>
      <c r="H76" s="61" t="s">
        <v>524</v>
      </c>
      <c r="I76" s="46"/>
      <c r="J76" s="46">
        <v>15000.0</v>
      </c>
      <c r="K76" s="46">
        <f t="shared" si="10"/>
        <v>191575.5</v>
      </c>
      <c r="L76" s="62" t="s">
        <v>45</v>
      </c>
      <c r="M76" s="62" t="s">
        <v>94</v>
      </c>
      <c r="N76" s="63"/>
      <c r="O76" s="62" t="s">
        <v>60</v>
      </c>
      <c r="P76" s="30" t="s">
        <v>95</v>
      </c>
      <c r="Q76" s="64" t="s">
        <v>82</v>
      </c>
      <c r="R76" s="36"/>
      <c r="S76" s="36"/>
      <c r="T76" s="36" t="s">
        <v>170</v>
      </c>
      <c r="U76" s="30"/>
      <c r="V76" s="36" t="s">
        <v>143</v>
      </c>
      <c r="W76" s="30" t="str">
        <f t="shared" si="6"/>
        <v>Receipt: For (Apt#: T-052) (Ref: NET9ONZ9JO4VW) ( ASHISH SHUKLA-071691900001571) (Type: Customer Collection) (BU: Casa Romana)</v>
      </c>
      <c r="X76" s="68">
        <v>0.05</v>
      </c>
      <c r="Y76" s="59"/>
      <c r="Z76" s="2"/>
      <c r="AA76" s="2"/>
      <c r="AB76" s="2"/>
      <c r="AC76" s="2"/>
    </row>
    <row r="77" ht="15.75" customHeight="1">
      <c r="A77" s="56">
        <v>160.0</v>
      </c>
      <c r="B77" s="56" t="str">
        <f t="shared" si="12"/>
        <v>#NAME?</v>
      </c>
      <c r="C77" s="56">
        <f t="shared" si="13"/>
        <v>7</v>
      </c>
      <c r="D77" s="66">
        <v>46208.0</v>
      </c>
      <c r="E77" s="66">
        <v>46208.0</v>
      </c>
      <c r="F77" s="45"/>
      <c r="G77" s="45" t="s">
        <v>529</v>
      </c>
      <c r="H77" s="61" t="s">
        <v>530</v>
      </c>
      <c r="I77" s="46"/>
      <c r="J77" s="46">
        <v>47360.0</v>
      </c>
      <c r="K77" s="46">
        <f t="shared" si="10"/>
        <v>176575.5</v>
      </c>
      <c r="L77" s="62" t="s">
        <v>45</v>
      </c>
      <c r="M77" s="62" t="s">
        <v>94</v>
      </c>
      <c r="N77" s="63"/>
      <c r="O77" s="62" t="s">
        <v>60</v>
      </c>
      <c r="P77" s="30" t="s">
        <v>95</v>
      </c>
      <c r="Q77" s="64" t="s">
        <v>82</v>
      </c>
      <c r="R77" s="36"/>
      <c r="S77" s="36"/>
      <c r="T77" s="36" t="s">
        <v>531</v>
      </c>
      <c r="U77" s="30"/>
      <c r="V77" s="36" t="s">
        <v>358</v>
      </c>
      <c r="W77" s="30" t="str">
        <f t="shared" si="6"/>
        <v>Receipt: For (Apt#: M-096) (Ref: YBP6186603163022) (IMPS: Jayant Raitani/XXX8180/RRN:618614869331/) (Type: Customer Collection) (BU: Casa Romana)</v>
      </c>
      <c r="X77" s="36"/>
      <c r="Y77" s="59"/>
      <c r="Z77" s="2"/>
      <c r="AA77" s="2"/>
      <c r="AB77" s="2"/>
      <c r="AC77" s="2"/>
    </row>
    <row r="78" ht="15.75" customHeight="1">
      <c r="A78" s="56">
        <v>159.0</v>
      </c>
      <c r="B78" s="56" t="str">
        <f t="shared" si="12"/>
        <v>#NAME?</v>
      </c>
      <c r="C78" s="56">
        <f t="shared" si="13"/>
        <v>7</v>
      </c>
      <c r="D78" s="66">
        <v>46208.0</v>
      </c>
      <c r="E78" s="66">
        <v>46208.0</v>
      </c>
      <c r="F78" s="45"/>
      <c r="G78" s="45" t="s">
        <v>533</v>
      </c>
      <c r="H78" s="61" t="s">
        <v>534</v>
      </c>
      <c r="I78" s="46"/>
      <c r="J78" s="46">
        <v>100000.0</v>
      </c>
      <c r="K78" s="46">
        <f t="shared" si="10"/>
        <v>129215.5</v>
      </c>
      <c r="L78" s="62" t="s">
        <v>45</v>
      </c>
      <c r="M78" s="62" t="s">
        <v>94</v>
      </c>
      <c r="N78" s="63"/>
      <c r="O78" s="62" t="s">
        <v>60</v>
      </c>
      <c r="P78" s="30" t="s">
        <v>95</v>
      </c>
      <c r="Q78" s="64" t="s">
        <v>82</v>
      </c>
      <c r="R78" s="36"/>
      <c r="S78" s="36"/>
      <c r="T78" s="36" t="s">
        <v>296</v>
      </c>
      <c r="U78" s="30"/>
      <c r="V78" s="36" t="s">
        <v>358</v>
      </c>
      <c r="W78" s="30" t="str">
        <f t="shared" si="6"/>
        <v>Receipt: For (Apt#: P-022) (Ref: YES0N6186115947700) (NEFT: VIJAY YADAV-Dwarkadhis projects pvt l-HDFCH01104907359) (Type: Customer Collection) (BU: Casa Romana)</v>
      </c>
      <c r="X78" s="36"/>
      <c r="Y78" s="59"/>
      <c r="Z78" s="2"/>
      <c r="AA78" s="2"/>
      <c r="AB78" s="2"/>
      <c r="AC78" s="2"/>
    </row>
    <row r="79" ht="15.75" hidden="1" customHeight="1">
      <c r="A79" s="56">
        <v>158.0</v>
      </c>
      <c r="B79" s="56" t="str">
        <f t="shared" si="12"/>
        <v>#NAME?</v>
      </c>
      <c r="C79" s="56">
        <f t="shared" si="13"/>
        <v>7</v>
      </c>
      <c r="D79" s="66">
        <v>46207.0</v>
      </c>
      <c r="E79" s="66">
        <v>46207.0</v>
      </c>
      <c r="F79" s="45"/>
      <c r="G79" s="45" t="s">
        <v>449</v>
      </c>
      <c r="H79" s="61" t="s">
        <v>465</v>
      </c>
      <c r="I79" s="46">
        <v>200117.0</v>
      </c>
      <c r="J79" s="46"/>
      <c r="K79" s="46">
        <f t="shared" si="10"/>
        <v>29215.5</v>
      </c>
      <c r="L79" s="62" t="s">
        <v>45</v>
      </c>
      <c r="M79" s="62" t="s">
        <v>47</v>
      </c>
      <c r="N79" s="63"/>
      <c r="O79" s="62" t="s">
        <v>60</v>
      </c>
      <c r="P79" s="30" t="s">
        <v>51</v>
      </c>
      <c r="Q79" s="64" t="s">
        <v>50</v>
      </c>
      <c r="R79" s="36"/>
      <c r="S79" s="36"/>
      <c r="T79" s="36"/>
      <c r="U79" s="30"/>
      <c r="V79" s="36"/>
      <c r="W79" s="30" t="str">
        <f t="shared" si="6"/>
        <v>Fund Transfer: From YES MASTER 0264 to x2477 (Ref: YESME6185005485200) (Type: Master to Free) (BU: Casa Romana) (Head: Internal)</v>
      </c>
      <c r="X79" s="36"/>
      <c r="Y79" s="59"/>
      <c r="Z79" s="2"/>
      <c r="AA79" s="2"/>
      <c r="AB79" s="2"/>
      <c r="AC79" s="2"/>
    </row>
    <row r="80" ht="15.75" hidden="1" customHeight="1">
      <c r="A80" s="56">
        <v>157.0</v>
      </c>
      <c r="B80" s="56" t="str">
        <f t="shared" si="12"/>
        <v>#NAME?</v>
      </c>
      <c r="C80" s="56">
        <f t="shared" si="13"/>
        <v>7</v>
      </c>
      <c r="D80" s="66">
        <v>46207.0</v>
      </c>
      <c r="E80" s="66">
        <v>46207.0</v>
      </c>
      <c r="F80" s="45"/>
      <c r="G80" s="45" t="s">
        <v>488</v>
      </c>
      <c r="H80" s="61" t="s">
        <v>214</v>
      </c>
      <c r="I80" s="46">
        <v>466939.0</v>
      </c>
      <c r="J80" s="46"/>
      <c r="K80" s="46">
        <f t="shared" si="10"/>
        <v>229332.5</v>
      </c>
      <c r="L80" s="62" t="s">
        <v>45</v>
      </c>
      <c r="M80" s="62" t="s">
        <v>47</v>
      </c>
      <c r="N80" s="63"/>
      <c r="O80" s="62" t="s">
        <v>60</v>
      </c>
      <c r="P80" s="30" t="s">
        <v>61</v>
      </c>
      <c r="Q80" s="64" t="s">
        <v>50</v>
      </c>
      <c r="R80" s="36"/>
      <c r="S80" s="36"/>
      <c r="T80" s="36"/>
      <c r="U80" s="30"/>
      <c r="V80" s="36"/>
      <c r="W80" s="30" t="str">
        <f t="shared" si="6"/>
        <v>Fund Transfer: From YES MASTER 0264 to x0377 (Ref: YESME6185005631800) (Type: Master 2 RERA) (BU: Casa Romana) (Head: Internal)</v>
      </c>
      <c r="X80" s="36"/>
      <c r="Y80" s="59"/>
      <c r="Z80" s="2"/>
      <c r="AA80" s="2"/>
      <c r="AB80" s="2"/>
      <c r="AC80" s="2"/>
    </row>
    <row r="81" ht="15.75" customHeight="1">
      <c r="A81" s="56">
        <v>156.0</v>
      </c>
      <c r="B81" s="56" t="str">
        <f t="shared" si="12"/>
        <v>#NAME?</v>
      </c>
      <c r="C81" s="56">
        <f t="shared" si="13"/>
        <v>7</v>
      </c>
      <c r="D81" s="66">
        <v>46207.0</v>
      </c>
      <c r="E81" s="66">
        <v>46207.0</v>
      </c>
      <c r="F81" s="45"/>
      <c r="G81" s="45" t="s">
        <v>544</v>
      </c>
      <c r="H81" s="61" t="s">
        <v>545</v>
      </c>
      <c r="I81" s="46"/>
      <c r="J81" s="46">
        <v>218756.0</v>
      </c>
      <c r="K81" s="46">
        <f t="shared" si="10"/>
        <v>696271.5</v>
      </c>
      <c r="L81" s="62" t="s">
        <v>45</v>
      </c>
      <c r="M81" s="62" t="s">
        <v>94</v>
      </c>
      <c r="N81" s="63"/>
      <c r="O81" s="62" t="s">
        <v>60</v>
      </c>
      <c r="P81" s="30" t="s">
        <v>95</v>
      </c>
      <c r="Q81" s="64" t="s">
        <v>82</v>
      </c>
      <c r="R81" s="36"/>
      <c r="S81" s="36"/>
      <c r="T81" s="36" t="s">
        <v>178</v>
      </c>
      <c r="U81" s="30"/>
      <c r="V81" s="30" t="s">
        <v>358</v>
      </c>
      <c r="W81" s="30" t="str">
        <f t="shared" si="6"/>
        <v>Receipt: For (Apt#: L-064) (Ref: YES0R6185962256600) (RTGS: VANDANA KHULLAR-Dwarkadhis Projects Pvt L-HDFCR52026070478907371) (Type: Customer Collection) (BU: Casa Romana)</v>
      </c>
      <c r="X81" s="36"/>
      <c r="Y81" s="59"/>
      <c r="Z81" s="2"/>
      <c r="AA81" s="2"/>
      <c r="AB81" s="2"/>
      <c r="AC81" s="2"/>
    </row>
    <row r="82" ht="15.75" customHeight="1">
      <c r="A82" s="56">
        <v>155.0</v>
      </c>
      <c r="B82" s="56" t="str">
        <f t="shared" si="12"/>
        <v>#NAME?</v>
      </c>
      <c r="C82" s="56">
        <f t="shared" si="13"/>
        <v>7</v>
      </c>
      <c r="D82" s="66">
        <v>46207.0</v>
      </c>
      <c r="E82" s="66">
        <v>46207.0</v>
      </c>
      <c r="F82" s="45"/>
      <c r="G82" s="45" t="s">
        <v>548</v>
      </c>
      <c r="H82" s="61" t="s">
        <v>549</v>
      </c>
      <c r="I82" s="46"/>
      <c r="J82" s="46">
        <v>30000.0</v>
      </c>
      <c r="K82" s="46">
        <f t="shared" si="10"/>
        <v>477515.5</v>
      </c>
      <c r="L82" s="62" t="s">
        <v>45</v>
      </c>
      <c r="M82" s="62" t="s">
        <v>94</v>
      </c>
      <c r="N82" s="63"/>
      <c r="O82" s="62" t="s">
        <v>60</v>
      </c>
      <c r="P82" s="30" t="s">
        <v>95</v>
      </c>
      <c r="Q82" s="64" t="s">
        <v>82</v>
      </c>
      <c r="R82" s="36"/>
      <c r="S82" s="36"/>
      <c r="T82" s="36" t="s">
        <v>551</v>
      </c>
      <c r="U82" s="30"/>
      <c r="V82" s="30" t="s">
        <v>358</v>
      </c>
      <c r="W82" s="30" t="str">
        <f t="shared" si="6"/>
        <v>Receipt: For (Apt#: S-083) (Ref: YBP6185601840539) (IMPS: RENUYADAV/XXX2338/RRN:618512880646/) (Type: Customer Collection) (BU: Casa Romana)</v>
      </c>
      <c r="X82" s="36"/>
      <c r="Y82" s="59"/>
      <c r="Z82" s="2"/>
      <c r="AA82" s="2"/>
      <c r="AB82" s="2"/>
      <c r="AC82" s="2"/>
    </row>
    <row r="83" ht="15.75" customHeight="1">
      <c r="A83" s="56">
        <v>154.0</v>
      </c>
      <c r="B83" s="56" t="str">
        <f t="shared" si="12"/>
        <v>#NAME?</v>
      </c>
      <c r="C83" s="56">
        <f t="shared" si="13"/>
        <v>7</v>
      </c>
      <c r="D83" s="66">
        <v>46207.0</v>
      </c>
      <c r="E83" s="66">
        <v>46207.0</v>
      </c>
      <c r="F83" s="45"/>
      <c r="G83" s="45" t="s">
        <v>554</v>
      </c>
      <c r="H83" s="61" t="s">
        <v>555</v>
      </c>
      <c r="I83" s="46"/>
      <c r="J83" s="46">
        <v>25000.0</v>
      </c>
      <c r="K83" s="46">
        <f t="shared" si="10"/>
        <v>447515.5</v>
      </c>
      <c r="L83" s="62" t="s">
        <v>45</v>
      </c>
      <c r="M83" s="62" t="s">
        <v>94</v>
      </c>
      <c r="N83" s="63"/>
      <c r="O83" s="62" t="s">
        <v>60</v>
      </c>
      <c r="P83" s="30" t="s">
        <v>95</v>
      </c>
      <c r="Q83" s="64" t="s">
        <v>82</v>
      </c>
      <c r="R83" s="36"/>
      <c r="S83" s="36"/>
      <c r="T83" s="36" t="s">
        <v>265</v>
      </c>
      <c r="U83" s="30"/>
      <c r="V83" s="30" t="s">
        <v>556</v>
      </c>
      <c r="W83" s="30" t="str">
        <f t="shared" si="6"/>
        <v>Receipt: For (Apt#: N-104) (Ref: YBP6185601699391) (IMPS: ANJANJEET SINGH DHAL/XXX5487/RRN:618511574196/ICICI BANK LIMITED) (Type: Customer Collection) (BU: Casa Romana)</v>
      </c>
      <c r="X83" s="68">
        <v>0.01</v>
      </c>
      <c r="Y83" s="59"/>
      <c r="Z83" s="2"/>
      <c r="AA83" s="2"/>
      <c r="AB83" s="2"/>
      <c r="AC83" s="2"/>
    </row>
    <row r="84" ht="15.75" customHeight="1">
      <c r="A84" s="56">
        <v>153.0</v>
      </c>
      <c r="B84" s="56" t="str">
        <f t="shared" si="12"/>
        <v>#NAME?</v>
      </c>
      <c r="C84" s="56">
        <f t="shared" si="13"/>
        <v>7</v>
      </c>
      <c r="D84" s="66">
        <v>46207.0</v>
      </c>
      <c r="E84" s="66">
        <v>46207.0</v>
      </c>
      <c r="F84" s="45"/>
      <c r="G84" s="45" t="s">
        <v>558</v>
      </c>
      <c r="H84" s="61" t="s">
        <v>559</v>
      </c>
      <c r="I84" s="46"/>
      <c r="J84" s="46">
        <v>53300.0</v>
      </c>
      <c r="K84" s="46">
        <f t="shared" si="10"/>
        <v>422515.5</v>
      </c>
      <c r="L84" s="62" t="s">
        <v>45</v>
      </c>
      <c r="M84" s="62" t="s">
        <v>94</v>
      </c>
      <c r="N84" s="63"/>
      <c r="O84" s="62" t="s">
        <v>60</v>
      </c>
      <c r="P84" s="30" t="s">
        <v>95</v>
      </c>
      <c r="Q84" s="64" t="s">
        <v>82</v>
      </c>
      <c r="R84" s="36"/>
      <c r="S84" s="36"/>
      <c r="T84" s="36" t="s">
        <v>561</v>
      </c>
      <c r="U84" s="30"/>
      <c r="V84" s="30" t="s">
        <v>556</v>
      </c>
      <c r="W84" s="30" t="str">
        <f t="shared" si="6"/>
        <v>Receipt: For (Apt#: L-074) (Ref: YES0N6185981875200) (NEFT: Avnish Singh-DWARKADHIS PROJECTS PRIVA-SBIN226185086272) (Type: Customer Collection) (BU: Casa Romana)</v>
      </c>
      <c r="X84" s="68">
        <v>0.05</v>
      </c>
      <c r="Y84" s="59"/>
      <c r="Z84" s="2"/>
      <c r="AA84" s="2"/>
      <c r="AB84" s="2"/>
      <c r="AC84" s="2"/>
    </row>
    <row r="85" ht="15.75" customHeight="1">
      <c r="A85" s="56">
        <v>152.0</v>
      </c>
      <c r="B85" s="56" t="str">
        <f t="shared" si="12"/>
        <v>#NAME?</v>
      </c>
      <c r="C85" s="56">
        <f t="shared" si="13"/>
        <v>7</v>
      </c>
      <c r="D85" s="66">
        <v>46207.0</v>
      </c>
      <c r="E85" s="66">
        <v>46207.0</v>
      </c>
      <c r="F85" s="45"/>
      <c r="G85" s="45" t="s">
        <v>563</v>
      </c>
      <c r="H85" s="61" t="s">
        <v>564</v>
      </c>
      <c r="I85" s="46"/>
      <c r="J85" s="46">
        <v>250000.0</v>
      </c>
      <c r="K85" s="46">
        <f t="shared" si="10"/>
        <v>369215.5</v>
      </c>
      <c r="L85" s="62" t="s">
        <v>45</v>
      </c>
      <c r="M85" s="62" t="s">
        <v>94</v>
      </c>
      <c r="N85" s="63"/>
      <c r="O85" s="62" t="s">
        <v>60</v>
      </c>
      <c r="P85" s="30" t="s">
        <v>95</v>
      </c>
      <c r="Q85" s="64" t="s">
        <v>82</v>
      </c>
      <c r="R85" s="36"/>
      <c r="S85" s="36"/>
      <c r="T85" s="36" t="s">
        <v>565</v>
      </c>
      <c r="U85" s="30"/>
      <c r="V85" s="30" t="s">
        <v>556</v>
      </c>
      <c r="W85" s="30" t="str">
        <f t="shared" si="6"/>
        <v>Receipt: For (Apt#: N-034) (Ref: YES0R6185961655600) (RTGS: RAJEEV SAINI-DWARKADHIS PROJECTS PRIVA-ICICR12026070411554969) (Type: Customer Collection) (BU: Casa Romana)</v>
      </c>
      <c r="X85" s="68">
        <v>0.01</v>
      </c>
      <c r="Y85" s="59"/>
      <c r="Z85" s="2"/>
      <c r="AA85" s="2"/>
      <c r="AB85" s="2"/>
      <c r="AC85" s="2"/>
    </row>
    <row r="86" ht="15.75" customHeight="1">
      <c r="A86" s="56">
        <v>151.0</v>
      </c>
      <c r="B86" s="56" t="str">
        <f t="shared" si="12"/>
        <v>#NAME?</v>
      </c>
      <c r="C86" s="56">
        <f t="shared" si="13"/>
        <v>7</v>
      </c>
      <c r="D86" s="66">
        <v>46206.0</v>
      </c>
      <c r="E86" s="66">
        <v>46206.0</v>
      </c>
      <c r="F86" s="45"/>
      <c r="G86" s="45" t="s">
        <v>571</v>
      </c>
      <c r="H86" s="61" t="s">
        <v>572</v>
      </c>
      <c r="I86" s="46"/>
      <c r="J86" s="71">
        <v>90000.0</v>
      </c>
      <c r="K86" s="46">
        <f t="shared" si="10"/>
        <v>119215.5</v>
      </c>
      <c r="L86" s="62" t="s">
        <v>45</v>
      </c>
      <c r="M86" s="62" t="s">
        <v>94</v>
      </c>
      <c r="N86" s="63"/>
      <c r="O86" s="62" t="s">
        <v>60</v>
      </c>
      <c r="P86" s="30" t="s">
        <v>95</v>
      </c>
      <c r="Q86" s="64" t="s">
        <v>82</v>
      </c>
      <c r="R86" s="36"/>
      <c r="S86" s="36"/>
      <c r="T86" s="36" t="s">
        <v>574</v>
      </c>
      <c r="U86" s="30"/>
      <c r="V86" s="91" t="s">
        <v>575</v>
      </c>
      <c r="W86" s="30" t="str">
        <f t="shared" si="6"/>
        <v>Receipt: For (Apt#: N-093) (Ref: YBS6184890842465) ( UPI/618466458932/From:snehlatasharma057-2@okaxis/To:045563200000264@yesb0000455.ifsc.npci/UPI) (Type: Customer Collection) (BU: Casa Romana)</v>
      </c>
      <c r="X86" s="68">
        <v>0.01</v>
      </c>
      <c r="Y86" s="59"/>
      <c r="Z86" s="2"/>
      <c r="AA86" s="2"/>
      <c r="AB86" s="2"/>
      <c r="AC86" s="2"/>
    </row>
    <row r="87" ht="15.75" hidden="1" customHeight="1">
      <c r="A87" s="56">
        <v>150.0</v>
      </c>
      <c r="B87" s="56" t="str">
        <f t="shared" si="12"/>
        <v>#NAME?</v>
      </c>
      <c r="C87" s="56">
        <f t="shared" si="13"/>
        <v>7</v>
      </c>
      <c r="D87" s="66">
        <v>46206.0</v>
      </c>
      <c r="E87" s="66">
        <v>46206.0</v>
      </c>
      <c r="F87" s="45"/>
      <c r="G87" s="45" t="s">
        <v>491</v>
      </c>
      <c r="H87" s="61" t="s">
        <v>472</v>
      </c>
      <c r="I87" s="46">
        <v>182799.0</v>
      </c>
      <c r="J87" s="46"/>
      <c r="K87" s="46">
        <f t="shared" si="10"/>
        <v>29215.5</v>
      </c>
      <c r="L87" s="62" t="s">
        <v>45</v>
      </c>
      <c r="M87" s="62" t="s">
        <v>47</v>
      </c>
      <c r="N87" s="63"/>
      <c r="O87" s="62" t="s">
        <v>60</v>
      </c>
      <c r="P87" s="30" t="s">
        <v>51</v>
      </c>
      <c r="Q87" s="64" t="s">
        <v>50</v>
      </c>
      <c r="R87" s="36"/>
      <c r="S87" s="36"/>
      <c r="T87" s="36"/>
      <c r="U87" s="30"/>
      <c r="V87" s="36"/>
      <c r="W87" s="30" t="str">
        <f t="shared" si="6"/>
        <v>Fund Transfer: From YES MASTER 0264 to x2477 (Ref: YESME6184006254900) (Type: Master to Free) (BU: Casa Romana) (Head: Internal)</v>
      </c>
      <c r="X87" s="36"/>
      <c r="Y87" s="59"/>
      <c r="Z87" s="2"/>
      <c r="AA87" s="2"/>
      <c r="AB87" s="2"/>
      <c r="AC87" s="2"/>
    </row>
    <row r="88" ht="15.75" hidden="1" customHeight="1">
      <c r="A88" s="56">
        <v>149.0</v>
      </c>
      <c r="B88" s="56" t="str">
        <f t="shared" si="12"/>
        <v>#NAME?</v>
      </c>
      <c r="C88" s="56">
        <f t="shared" si="13"/>
        <v>7</v>
      </c>
      <c r="D88" s="66">
        <v>46206.0</v>
      </c>
      <c r="E88" s="66">
        <v>46206.0</v>
      </c>
      <c r="F88" s="45"/>
      <c r="G88" s="45" t="s">
        <v>455</v>
      </c>
      <c r="H88" s="61" t="s">
        <v>234</v>
      </c>
      <c r="I88" s="46">
        <v>426532.0</v>
      </c>
      <c r="J88" s="46"/>
      <c r="K88" s="46">
        <f t="shared" si="10"/>
        <v>212014.5</v>
      </c>
      <c r="L88" s="62" t="s">
        <v>45</v>
      </c>
      <c r="M88" s="62" t="s">
        <v>47</v>
      </c>
      <c r="N88" s="63"/>
      <c r="O88" s="62" t="s">
        <v>60</v>
      </c>
      <c r="P88" s="30" t="s">
        <v>61</v>
      </c>
      <c r="Q88" s="64" t="s">
        <v>50</v>
      </c>
      <c r="R88" s="36"/>
      <c r="S88" s="36"/>
      <c r="T88" s="36"/>
      <c r="U88" s="30"/>
      <c r="V88" s="36"/>
      <c r="W88" s="30" t="str">
        <f t="shared" si="6"/>
        <v>Fund Transfer: From YES MASTER 0264 to x0377 (Ref: YESME6184006155200) (Type: Master 2 RERA) (BU: Casa Romana) (Head: Internal)</v>
      </c>
      <c r="X88" s="36"/>
      <c r="Y88" s="59"/>
      <c r="Z88" s="2"/>
      <c r="AA88" s="2"/>
      <c r="AB88" s="2"/>
      <c r="AC88" s="2"/>
    </row>
    <row r="89" ht="15.75" hidden="1" customHeight="1">
      <c r="A89" s="56">
        <v>148.0</v>
      </c>
      <c r="B89" s="56" t="str">
        <f t="shared" si="12"/>
        <v>#NAME?</v>
      </c>
      <c r="C89" s="56">
        <f t="shared" si="13"/>
        <v>7</v>
      </c>
      <c r="D89" s="66">
        <v>46206.0</v>
      </c>
      <c r="E89" s="66">
        <v>46206.0</v>
      </c>
      <c r="F89" s="45"/>
      <c r="G89" s="45" t="s">
        <v>488</v>
      </c>
      <c r="H89" s="61" t="s">
        <v>241</v>
      </c>
      <c r="I89" s="46">
        <v>276523.0</v>
      </c>
      <c r="J89" s="46"/>
      <c r="K89" s="46">
        <f t="shared" si="10"/>
        <v>638546.5</v>
      </c>
      <c r="L89" s="62" t="s">
        <v>45</v>
      </c>
      <c r="M89" s="62" t="s">
        <v>47</v>
      </c>
      <c r="N89" s="63"/>
      <c r="O89" s="62" t="s">
        <v>60</v>
      </c>
      <c r="P89" s="30" t="s">
        <v>61</v>
      </c>
      <c r="Q89" s="64" t="s">
        <v>50</v>
      </c>
      <c r="R89" s="36"/>
      <c r="S89" s="36"/>
      <c r="T89" s="36"/>
      <c r="U89" s="30"/>
      <c r="V89" s="36"/>
      <c r="W89" s="30" t="str">
        <f t="shared" si="6"/>
        <v>Fund Transfer: From YES MASTER 0264 to x0377 (Ref: YESME6184004910700) (Type: Master 2 RERA) (BU: Casa Romana) (Head: Internal)</v>
      </c>
      <c r="X89" s="36"/>
      <c r="Y89" s="59"/>
      <c r="Z89" s="2"/>
      <c r="AA89" s="2"/>
      <c r="AB89" s="2"/>
      <c r="AC89" s="2"/>
    </row>
    <row r="90" ht="15.75" hidden="1" customHeight="1">
      <c r="A90" s="56">
        <v>147.0</v>
      </c>
      <c r="B90" s="56" t="str">
        <f t="shared" si="12"/>
        <v>#NAME?</v>
      </c>
      <c r="C90" s="56">
        <f t="shared" si="13"/>
        <v>7</v>
      </c>
      <c r="D90" s="66">
        <v>46206.0</v>
      </c>
      <c r="E90" s="66">
        <v>46206.0</v>
      </c>
      <c r="F90" s="45"/>
      <c r="G90" s="45" t="s">
        <v>449</v>
      </c>
      <c r="H90" s="61" t="s">
        <v>477</v>
      </c>
      <c r="I90" s="46">
        <v>118510.0</v>
      </c>
      <c r="J90" s="46"/>
      <c r="K90" s="46">
        <f t="shared" si="10"/>
        <v>915069.5</v>
      </c>
      <c r="L90" s="62" t="s">
        <v>45</v>
      </c>
      <c r="M90" s="62" t="s">
        <v>47</v>
      </c>
      <c r="N90" s="63"/>
      <c r="O90" s="62" t="s">
        <v>60</v>
      </c>
      <c r="P90" s="30" t="s">
        <v>51</v>
      </c>
      <c r="Q90" s="64" t="s">
        <v>50</v>
      </c>
      <c r="R90" s="36"/>
      <c r="S90" s="36"/>
      <c r="T90" s="36"/>
      <c r="U90" s="30"/>
      <c r="V90" s="36"/>
      <c r="W90" s="30" t="str">
        <f t="shared" si="6"/>
        <v>Fund Transfer: From YES MASTER 0264 to x2477 (Ref: YESME6184004910600) (Type: Master to Free) (BU: Casa Romana) (Head: Internal)</v>
      </c>
      <c r="X90" s="36"/>
      <c r="Y90" s="59"/>
      <c r="Z90" s="2"/>
      <c r="AA90" s="2"/>
      <c r="AB90" s="2"/>
      <c r="AC90" s="2"/>
    </row>
    <row r="91" ht="15.75" customHeight="1">
      <c r="A91" s="56">
        <v>146.0</v>
      </c>
      <c r="B91" s="56" t="str">
        <f t="shared" si="12"/>
        <v>#NAME?</v>
      </c>
      <c r="C91" s="56">
        <f t="shared" si="13"/>
        <v>7</v>
      </c>
      <c r="D91" s="66">
        <v>46206.0</v>
      </c>
      <c r="E91" s="66">
        <v>46206.0</v>
      </c>
      <c r="F91" s="45"/>
      <c r="G91" s="45" t="s">
        <v>581</v>
      </c>
      <c r="H91" s="61" t="s">
        <v>582</v>
      </c>
      <c r="I91" s="46"/>
      <c r="J91" s="46">
        <v>200000.0</v>
      </c>
      <c r="K91" s="46">
        <f t="shared" si="10"/>
        <v>1033579.5</v>
      </c>
      <c r="L91" s="62" t="s">
        <v>45</v>
      </c>
      <c r="M91" s="62" t="s">
        <v>94</v>
      </c>
      <c r="N91" s="63"/>
      <c r="O91" s="62" t="s">
        <v>60</v>
      </c>
      <c r="P91" s="30" t="s">
        <v>95</v>
      </c>
      <c r="Q91" s="64" t="s">
        <v>82</v>
      </c>
      <c r="R91" s="36"/>
      <c r="S91" s="36"/>
      <c r="T91" s="36" t="s">
        <v>585</v>
      </c>
      <c r="U91" s="30"/>
      <c r="V91" s="36" t="s">
        <v>358</v>
      </c>
      <c r="W91" s="30" t="str">
        <f t="shared" si="6"/>
        <v>Receipt: For (Apt#: N-112) (Ref: YES0N6184844527200) (NEFT: DEVENDER KUMAR-Dwarkadhis Projects Pvt L-AXOIR18400916137) (Type: Customer Collection) (BU: Casa Romana)</v>
      </c>
      <c r="X91" s="36"/>
      <c r="Y91" s="59"/>
      <c r="Z91" s="2"/>
      <c r="AA91" s="2"/>
      <c r="AB91" s="2"/>
      <c r="AC91" s="2"/>
    </row>
    <row r="92" ht="15.75" customHeight="1">
      <c r="A92" s="56">
        <v>145.0</v>
      </c>
      <c r="B92" s="56" t="str">
        <f t="shared" si="12"/>
        <v>#NAME?</v>
      </c>
      <c r="C92" s="56">
        <f t="shared" si="13"/>
        <v>7</v>
      </c>
      <c r="D92" s="66">
        <v>46206.0</v>
      </c>
      <c r="E92" s="66">
        <v>46206.0</v>
      </c>
      <c r="F92" s="45"/>
      <c r="G92" s="45" t="s">
        <v>587</v>
      </c>
      <c r="H92" s="61" t="s">
        <v>588</v>
      </c>
      <c r="I92" s="46"/>
      <c r="J92" s="46">
        <v>280000.0</v>
      </c>
      <c r="K92" s="46">
        <f t="shared" si="10"/>
        <v>833579.5</v>
      </c>
      <c r="L92" s="62" t="s">
        <v>45</v>
      </c>
      <c r="M92" s="62" t="s">
        <v>94</v>
      </c>
      <c r="N92" s="63"/>
      <c r="O92" s="62" t="s">
        <v>60</v>
      </c>
      <c r="P92" s="30" t="s">
        <v>95</v>
      </c>
      <c r="Q92" s="64" t="s">
        <v>82</v>
      </c>
      <c r="R92" s="36"/>
      <c r="S92" s="36"/>
      <c r="T92" s="36" t="s">
        <v>585</v>
      </c>
      <c r="U92" s="30"/>
      <c r="V92" s="36" t="s">
        <v>358</v>
      </c>
      <c r="W92" s="30" t="str">
        <f t="shared" si="6"/>
        <v>Receipt: For (Apt#: N-112) (Ref: YES0N6184844247700) (NEFT: DEVENDER KUMAR-Dwarkadhis Projects Pvt L-AXOIR18400916039) (Type: Customer Collection) (BU: Casa Romana)</v>
      </c>
      <c r="X92" s="36"/>
      <c r="Y92" s="59"/>
      <c r="Z92" s="2"/>
      <c r="AA92" s="2"/>
      <c r="AB92" s="2"/>
      <c r="AC92" s="2"/>
    </row>
    <row r="93" ht="15.75" customHeight="1">
      <c r="A93" s="56">
        <v>144.0</v>
      </c>
      <c r="B93" s="56" t="str">
        <f t="shared" si="12"/>
        <v>#NAME?</v>
      </c>
      <c r="C93" s="56">
        <f t="shared" si="13"/>
        <v>7</v>
      </c>
      <c r="D93" s="66">
        <v>46206.0</v>
      </c>
      <c r="E93" s="66">
        <v>46206.0</v>
      </c>
      <c r="F93" s="45"/>
      <c r="G93" s="45" t="s">
        <v>592</v>
      </c>
      <c r="H93" s="61" t="s">
        <v>594</v>
      </c>
      <c r="I93" s="46"/>
      <c r="J93" s="46">
        <v>43221.0</v>
      </c>
      <c r="K93" s="46">
        <f t="shared" si="10"/>
        <v>553579.5</v>
      </c>
      <c r="L93" s="62" t="s">
        <v>45</v>
      </c>
      <c r="M93" s="62" t="s">
        <v>94</v>
      </c>
      <c r="N93" s="63"/>
      <c r="O93" s="62" t="s">
        <v>60</v>
      </c>
      <c r="P93" s="30" t="s">
        <v>95</v>
      </c>
      <c r="Q93" s="64" t="s">
        <v>82</v>
      </c>
      <c r="R93" s="36"/>
      <c r="S93" s="36"/>
      <c r="T93" s="36" t="s">
        <v>596</v>
      </c>
      <c r="U93" s="30"/>
      <c r="V93" s="36" t="s">
        <v>597</v>
      </c>
      <c r="W93" s="30" t="str">
        <f t="shared" si="6"/>
        <v>Receipt: For (Apt#: M-007) (Ref: YBS6184883664618) ( UPI/952208863984/From:madaankanwalnain@ybl/To:045563200000264@YESB0000455.ifsc.npci/Payment from PhonePe) (Type: Customer Collection) (BU: Casa Romana)</v>
      </c>
      <c r="X93" s="68">
        <v>0.01</v>
      </c>
      <c r="Y93" s="59"/>
      <c r="Z93" s="2"/>
      <c r="AA93" s="2"/>
      <c r="AB93" s="2"/>
      <c r="AC93" s="2"/>
    </row>
    <row r="94" ht="15.75" customHeight="1">
      <c r="A94" s="56">
        <v>143.0</v>
      </c>
      <c r="B94" s="56" t="str">
        <f t="shared" si="12"/>
        <v>#NAME?</v>
      </c>
      <c r="C94" s="56">
        <f t="shared" si="13"/>
        <v>7</v>
      </c>
      <c r="D94" s="66">
        <v>46205.0</v>
      </c>
      <c r="E94" s="66">
        <v>46205.0</v>
      </c>
      <c r="F94" s="45"/>
      <c r="G94" s="45" t="s">
        <v>599</v>
      </c>
      <c r="H94" s="61" t="s">
        <v>601</v>
      </c>
      <c r="I94" s="46"/>
      <c r="J94" s="46">
        <v>25000.0</v>
      </c>
      <c r="K94" s="46">
        <f t="shared" si="10"/>
        <v>510358.5</v>
      </c>
      <c r="L94" s="62" t="s">
        <v>45</v>
      </c>
      <c r="M94" s="62" t="s">
        <v>94</v>
      </c>
      <c r="N94" s="63"/>
      <c r="O94" s="62" t="s">
        <v>60</v>
      </c>
      <c r="P94" s="30" t="s">
        <v>95</v>
      </c>
      <c r="Q94" s="64" t="s">
        <v>82</v>
      </c>
      <c r="R94" s="36"/>
      <c r="S94" s="36"/>
      <c r="T94" s="36" t="s">
        <v>222</v>
      </c>
      <c r="U94" s="30"/>
      <c r="V94" s="36" t="s">
        <v>98</v>
      </c>
      <c r="W94" s="30" t="str">
        <f t="shared" si="6"/>
        <v>Receipt: For (Apt#: U-092) (Ref: YES0N6183754426000) (NEFT: POONAM KAUR-DWARKADHIS PROJECTS PRIVA-IN12618344640995) (Type: Customer Collection) (BU: Casa Romana)</v>
      </c>
      <c r="X94" s="36"/>
      <c r="Y94" s="59"/>
      <c r="Z94" s="2"/>
      <c r="AA94" s="2"/>
      <c r="AB94" s="2"/>
      <c r="AC94" s="2"/>
    </row>
    <row r="95" ht="15.75" customHeight="1">
      <c r="A95" s="56">
        <v>142.0</v>
      </c>
      <c r="B95" s="56" t="str">
        <f t="shared" si="12"/>
        <v>#NAME?</v>
      </c>
      <c r="C95" s="56">
        <f t="shared" si="13"/>
        <v>7</v>
      </c>
      <c r="D95" s="66">
        <v>46205.0</v>
      </c>
      <c r="E95" s="66">
        <v>46205.0</v>
      </c>
      <c r="F95" s="45"/>
      <c r="G95" s="45" t="s">
        <v>603</v>
      </c>
      <c r="H95" s="61" t="s">
        <v>604</v>
      </c>
      <c r="I95" s="46"/>
      <c r="J95" s="46">
        <v>61110.0</v>
      </c>
      <c r="K95" s="46">
        <f t="shared" si="10"/>
        <v>485358.5</v>
      </c>
      <c r="L95" s="62" t="s">
        <v>45</v>
      </c>
      <c r="M95" s="62" t="s">
        <v>94</v>
      </c>
      <c r="N95" s="63"/>
      <c r="O95" s="62" t="s">
        <v>60</v>
      </c>
      <c r="P95" s="30" t="s">
        <v>95</v>
      </c>
      <c r="Q95" s="64" t="s">
        <v>82</v>
      </c>
      <c r="R95" s="36"/>
      <c r="S95" s="36"/>
      <c r="T95" s="36" t="s">
        <v>205</v>
      </c>
      <c r="U95" s="36"/>
      <c r="V95" s="36" t="s">
        <v>597</v>
      </c>
      <c r="W95" s="30" t="str">
        <f t="shared" ref="W95:W191" si="14">TRIM(IF(M95="Internal", IF(ISBLANK(G95), IF(LEN(G95)-LEN(SUBSTITUTE(G95,"-",""))&gt;=3, "Fund Transfer: From x" &amp; RIGHT(MID(G95, FIND("|", SUBSTITUTE(G95, "-", "|", 3)) + 1, LEN(G95)), 4) &amp; " to YES MASTER 0264 (Ref: " &amp; H95 &amp; ") (Type: " &amp; P95 &amp; ") (BU: " &amp; L95 &amp; ") (Head: " &amp; M95 &amp; ")", "Fund Transfer: To YES MASTER 0264 (Ref: " &amp; H95 &amp; ") (Type: " &amp; P95 &amp; ") (BU: " &amp; L95 &amp; ") (Head: " &amp; M95 &amp; ")"), IF(LEN(G95)-LEN(SUBSTITUTE(G95,"-",""))&gt;=3, "Fund Transfer: From YES MASTER 0264 to x" &amp; RIGHT(MID(G95, FIND("|", SUBSTITUTE(G95, "-", "|", 3)) + 1, LEN(G95)), 4) &amp; " (Ref: " &amp; H95 &amp; ") (Type: " &amp; P95 &amp; ") (BU: " &amp; L95 &amp; ") (Head: " &amp; M95 &amp; ")", "Fund Transfer: From YES MASTER 0264 (Ref: " &amp; H95 &amp; ") (Type: " &amp; P95 &amp; ") (BU: " &amp; L95 &amp; ") (Head: " &amp; M95 &amp; ")")), IF(NOT(ISBLANK(J95)), IF(P95="Customer Collection", "Receipt: For " &amp; IF(ISBLANK(T95), "", "(Apt#: " &amp; T95 &amp; ") ") &amp; "(Ref: " &amp; H95 &amp; ") (" &amp; IF(ISNUMBER(SEARCH("NEFT",G95)), "NEFT:", IF(ISNUMBER(SEARCH("RTGS",G95)), "RTGS:", IF(ISNUMBER(SEARCH("IMPS",G95)), "IMPS:", ""))) &amp; " " &amp; IF(ISNUMBER(SEARCH("SOHNA ROAD", G95)), "", IFERROR(MID(G95, FIND("-", G95, FIND("-", G95) + 1) + 1, LEN(G95)), SUBSTITUTE(SUBSTITUTE(SUBSTITUTE(G95, "IMPS/", ""), "NEFT/", ""), "RTGS/", ""))) &amp; ") (Type: " &amp; P95 &amp; ") (BU: " &amp; L95 &amp; ")", IF(LEN(G95)-LEN(SUBSTITUTE(G95,"-",""))&gt;=3, "Receipt: From x" &amp; RIGHT(MID(G95, FIND("|", SUBSTITUTE(G95, "-", "|", 3)) + 1, LEN(G95)), 4) &amp; " towards " &amp; IF(ISBLANK(X95), L95, X95) &amp; IF(OR(L95="Cancellation", L95="Collection"), " Apt No " &amp; T95, "") &amp; " (Ref: " &amp; H95 &amp; ") (Type: " &amp; P95 &amp; ") (BU: " &amp; L95 &amp; ") (Head: " &amp; M95 &amp; ")" &amp; IF(ISBLANK(T95), "", " (Apt#: " &amp; T95 &amp; ")"), "Receipt: Against " &amp; IF(ISBLANK(X95), L95, X95) &amp; IF(OR(L95="Cancellation", L95="Collection"), " Apt No " &amp; T95, "") &amp; " (Ref: " &amp; H95 &amp; ") (Type: " &amp; P95 &amp; ") (BU: " &amp; L95 &amp; ") (Head: " &amp; M95 &amp; ")" &amp; IF(ISBLANK(T95), "", " (Apt#: " &amp; T95 &amp; ")"))), IF(LEN(G95)-LEN(SUBSTITUTE(G95,"-",""))&gt;=3, "Payment: To x" &amp; RIGHT(MID(G95, FIND("|", SUBSTITUTE(G95, "-", "|", 3)) + 1, LEN(G95)), 4) &amp; " for " &amp; IF(ISBLANK(X95), L95, X95) &amp; " (Ref: " &amp; H95 &amp; ") (Type: " &amp; P95 &amp; ") (BU: " &amp; L95 &amp; ") (Head: " &amp; M95 &amp; ")" &amp; IF(ISBLANK(T95), "", " (Apt#: " &amp; T95 &amp; ")"), "Payment: Disbursement for " &amp; IF(ISBLANK(X95), "", IF(ISBLANK(X95), "", X95) &amp; " ") &amp; "(Ref: " &amp; H95 &amp; ") (Type: " &amp; P95 &amp; ") (BU: " &amp; L95 &amp; ") (Head: " &amp; M95 &amp; ")" &amp; IF(ISBLANK(T95), "", " (Apt#: " &amp; T95 &amp; ")")))))</f>
        <v>Receipt: For (Apt#: L-043) (Ref: YBP6183599798717) (IMPS: VIDYA DEVI/XXX7419/RRN:618321555666/STATE BANK OF INDIA) (Type: Customer Collection) (BU: Casa Romana)</v>
      </c>
      <c r="X95" s="65">
        <v>0.05</v>
      </c>
      <c r="Y95" s="59"/>
      <c r="Z95" s="2"/>
      <c r="AA95" s="2"/>
      <c r="AB95" s="2"/>
      <c r="AC95" s="2"/>
    </row>
    <row r="96" ht="15.75" customHeight="1">
      <c r="A96" s="56">
        <v>141.0</v>
      </c>
      <c r="B96" s="56" t="str">
        <f t="shared" si="12"/>
        <v>#NAME?</v>
      </c>
      <c r="C96" s="56">
        <f t="shared" si="13"/>
        <v>7</v>
      </c>
      <c r="D96" s="66">
        <v>46205.0</v>
      </c>
      <c r="E96" s="66">
        <v>46205.0</v>
      </c>
      <c r="F96" s="45"/>
      <c r="G96" s="45" t="s">
        <v>616</v>
      </c>
      <c r="H96" s="61" t="s">
        <v>617</v>
      </c>
      <c r="I96" s="46"/>
      <c r="J96" s="46">
        <v>50000.0</v>
      </c>
      <c r="K96" s="46">
        <f t="shared" si="10"/>
        <v>424248.5</v>
      </c>
      <c r="L96" s="62" t="s">
        <v>45</v>
      </c>
      <c r="M96" s="62" t="s">
        <v>94</v>
      </c>
      <c r="N96" s="63"/>
      <c r="O96" s="62" t="s">
        <v>60</v>
      </c>
      <c r="P96" s="30" t="s">
        <v>95</v>
      </c>
      <c r="Q96" s="64" t="s">
        <v>82</v>
      </c>
      <c r="R96" s="36"/>
      <c r="S96" s="36"/>
      <c r="T96" s="36" t="s">
        <v>185</v>
      </c>
      <c r="U96" s="36"/>
      <c r="V96" s="36" t="s">
        <v>597</v>
      </c>
      <c r="W96" s="30" t="str">
        <f t="shared" si="14"/>
        <v>Receipt: For (Apt#: U-062) (Ref: YBP6183599357610) (IMPS: MANISHAAHUJA/XXX6587/RRN:618316849837/AXIS BANK) (Type: Customer Collection) (BU: Casa Romana)</v>
      </c>
      <c r="X96" s="65">
        <v>0.05</v>
      </c>
      <c r="Y96" s="59"/>
      <c r="Z96" s="2"/>
      <c r="AA96" s="2"/>
      <c r="AB96" s="2"/>
      <c r="AC96" s="2"/>
    </row>
    <row r="97" ht="15.75" customHeight="1">
      <c r="A97" s="56">
        <v>140.0</v>
      </c>
      <c r="B97" s="56" t="str">
        <f t="shared" si="12"/>
        <v>#NAME?</v>
      </c>
      <c r="C97" s="56">
        <f t="shared" si="13"/>
        <v>7</v>
      </c>
      <c r="D97" s="66">
        <v>46205.0</v>
      </c>
      <c r="E97" s="66">
        <v>46205.0</v>
      </c>
      <c r="F97" s="45"/>
      <c r="G97" s="45" t="s">
        <v>620</v>
      </c>
      <c r="H97" s="61" t="s">
        <v>621</v>
      </c>
      <c r="I97" s="46"/>
      <c r="J97" s="46">
        <v>63740.0</v>
      </c>
      <c r="K97" s="46">
        <f t="shared" si="10"/>
        <v>374248.5</v>
      </c>
      <c r="L97" s="62" t="s">
        <v>45</v>
      </c>
      <c r="M97" s="62" t="s">
        <v>94</v>
      </c>
      <c r="N97" s="63"/>
      <c r="O97" s="62" t="s">
        <v>60</v>
      </c>
      <c r="P97" s="30" t="s">
        <v>95</v>
      </c>
      <c r="Q97" s="64" t="s">
        <v>82</v>
      </c>
      <c r="R97" s="36"/>
      <c r="S97" s="36"/>
      <c r="T97" s="36" t="s">
        <v>272</v>
      </c>
      <c r="U97" s="36"/>
      <c r="V97" s="36" t="s">
        <v>597</v>
      </c>
      <c r="W97" s="30" t="str">
        <f t="shared" si="14"/>
        <v>Receipt: For (Apt#: M-118) (Ref: YES0N6183718812300) (NEFT: ARUNABH SINGH-Dwarkadhis Projects Priva-HDFCH01096757544) (Type: Customer Collection) (BU: Casa Romana)</v>
      </c>
      <c r="X97" s="65">
        <v>0.01</v>
      </c>
      <c r="Y97" s="59"/>
      <c r="Z97" s="2"/>
      <c r="AA97" s="2"/>
      <c r="AB97" s="2"/>
      <c r="AC97" s="2"/>
    </row>
    <row r="98" ht="15.75" customHeight="1">
      <c r="A98" s="56">
        <v>139.0</v>
      </c>
      <c r="B98" s="56" t="str">
        <f t="shared" si="12"/>
        <v>#NAME?</v>
      </c>
      <c r="C98" s="56">
        <f t="shared" si="13"/>
        <v>7</v>
      </c>
      <c r="D98" s="66">
        <v>46205.0</v>
      </c>
      <c r="E98" s="66">
        <v>46205.0</v>
      </c>
      <c r="F98" s="45"/>
      <c r="G98" s="45" t="s">
        <v>625</v>
      </c>
      <c r="H98" s="61" t="s">
        <v>626</v>
      </c>
      <c r="I98" s="46"/>
      <c r="J98" s="46">
        <v>35200.0</v>
      </c>
      <c r="K98" s="46">
        <f t="shared" si="10"/>
        <v>310508.5</v>
      </c>
      <c r="L98" s="62" t="s">
        <v>45</v>
      </c>
      <c r="M98" s="62" t="s">
        <v>94</v>
      </c>
      <c r="N98" s="63"/>
      <c r="O98" s="62" t="s">
        <v>60</v>
      </c>
      <c r="P98" s="30" t="s">
        <v>95</v>
      </c>
      <c r="Q98" s="64" t="s">
        <v>82</v>
      </c>
      <c r="R98" s="36"/>
      <c r="S98" s="36"/>
      <c r="T98" s="36" t="s">
        <v>272</v>
      </c>
      <c r="U98" s="36"/>
      <c r="V98" s="36" t="s">
        <v>597</v>
      </c>
      <c r="W98" s="30" t="str">
        <f t="shared" si="14"/>
        <v>Receipt: For (Apt#: M-118) (Ref: YES0N6183718515500) (NEFT: ARUNABH SINGH-Dwarkadhis Projects Priva-HDFCH01096753563) (Type: Customer Collection) (BU: Casa Romana)</v>
      </c>
      <c r="X98" s="65">
        <v>0.01</v>
      </c>
      <c r="Y98" s="59"/>
      <c r="Z98" s="2"/>
      <c r="AA98" s="2"/>
      <c r="AB98" s="2"/>
      <c r="AC98" s="2"/>
    </row>
    <row r="99" ht="15.75" customHeight="1">
      <c r="A99" s="56">
        <v>138.0</v>
      </c>
      <c r="B99" s="56" t="str">
        <f t="shared" si="12"/>
        <v>#NAME?</v>
      </c>
      <c r="C99" s="56">
        <f t="shared" si="13"/>
        <v>7</v>
      </c>
      <c r="D99" s="66">
        <v>46205.0</v>
      </c>
      <c r="E99" s="66">
        <v>46205.0</v>
      </c>
      <c r="F99" s="45"/>
      <c r="G99" s="45" t="s">
        <v>630</v>
      </c>
      <c r="H99" s="61" t="s">
        <v>631</v>
      </c>
      <c r="I99" s="46"/>
      <c r="J99" s="46">
        <v>32772.0</v>
      </c>
      <c r="K99" s="46">
        <f t="shared" si="10"/>
        <v>275308.5</v>
      </c>
      <c r="L99" s="62" t="s">
        <v>45</v>
      </c>
      <c r="M99" s="62" t="s">
        <v>94</v>
      </c>
      <c r="N99" s="63"/>
      <c r="O99" s="62" t="s">
        <v>60</v>
      </c>
      <c r="P99" s="30" t="s">
        <v>95</v>
      </c>
      <c r="Q99" s="64" t="s">
        <v>82</v>
      </c>
      <c r="R99" s="36"/>
      <c r="S99" s="36"/>
      <c r="T99" s="36" t="s">
        <v>632</v>
      </c>
      <c r="U99" s="36"/>
      <c r="V99" s="36" t="s">
        <v>597</v>
      </c>
      <c r="W99" s="30" t="str">
        <f t="shared" si="14"/>
        <v>Receipt: For (Apt#: R-083) (Ref: YBS6183876026934) ( UPI/138765928691/From:anoopkatiyar2001@ybl/To:045563200000264@YESB0000455.ifsc.npci/Payment from PhonePe) (Type: Customer Collection) (BU: Casa Romana)</v>
      </c>
      <c r="X99" s="65">
        <v>0.01</v>
      </c>
      <c r="Y99" s="59"/>
      <c r="Z99" s="2"/>
      <c r="AA99" s="2"/>
      <c r="AB99" s="2"/>
      <c r="AC99" s="2"/>
    </row>
    <row r="100" ht="15.75" hidden="1" customHeight="1">
      <c r="A100" s="56">
        <v>137.0</v>
      </c>
      <c r="B100" s="56" t="str">
        <f t="shared" si="12"/>
        <v>#NAME?</v>
      </c>
      <c r="C100" s="56">
        <f t="shared" si="13"/>
        <v>7</v>
      </c>
      <c r="D100" s="66">
        <v>46205.0</v>
      </c>
      <c r="E100" s="66">
        <v>46205.0</v>
      </c>
      <c r="F100" s="45"/>
      <c r="G100" s="45" t="s">
        <v>488</v>
      </c>
      <c r="H100" s="61" t="s">
        <v>250</v>
      </c>
      <c r="I100" s="46">
        <v>37644.0</v>
      </c>
      <c r="J100" s="46"/>
      <c r="K100" s="46">
        <f t="shared" si="10"/>
        <v>242536.5</v>
      </c>
      <c r="L100" s="62" t="s">
        <v>45</v>
      </c>
      <c r="M100" s="62" t="s">
        <v>47</v>
      </c>
      <c r="N100" s="63"/>
      <c r="O100" s="62" t="s">
        <v>60</v>
      </c>
      <c r="P100" s="30" t="s">
        <v>61</v>
      </c>
      <c r="Q100" s="64" t="s">
        <v>50</v>
      </c>
      <c r="R100" s="36"/>
      <c r="S100" s="36"/>
      <c r="T100" s="36"/>
      <c r="U100" s="36"/>
      <c r="V100" s="36"/>
      <c r="W100" s="30" t="str">
        <f t="shared" si="14"/>
        <v>Fund Transfer: From YES MASTER 0264 to x0377 (Ref: YESME6183012155700) (Type: Master 2 RERA) (BU: Casa Romana) (Head: Internal)</v>
      </c>
      <c r="X100" s="30"/>
      <c r="Y100" s="59"/>
      <c r="Z100" s="2"/>
      <c r="AA100" s="2"/>
      <c r="AB100" s="2"/>
      <c r="AC100" s="2"/>
    </row>
    <row r="101" ht="15.75" hidden="1" customHeight="1">
      <c r="A101" s="56">
        <v>136.0</v>
      </c>
      <c r="B101" s="56" t="str">
        <f t="shared" si="12"/>
        <v>#NAME?</v>
      </c>
      <c r="C101" s="56">
        <f t="shared" si="13"/>
        <v>7</v>
      </c>
      <c r="D101" s="66">
        <v>46205.0</v>
      </c>
      <c r="E101" s="66">
        <v>46205.0</v>
      </c>
      <c r="F101" s="45"/>
      <c r="G101" s="45" t="s">
        <v>449</v>
      </c>
      <c r="H101" s="61" t="s">
        <v>483</v>
      </c>
      <c r="I101" s="46">
        <v>16133.0</v>
      </c>
      <c r="J101" s="46"/>
      <c r="K101" s="46">
        <f t="shared" si="10"/>
        <v>280180.5</v>
      </c>
      <c r="L101" s="62" t="s">
        <v>45</v>
      </c>
      <c r="M101" s="62" t="s">
        <v>47</v>
      </c>
      <c r="N101" s="63"/>
      <c r="O101" s="62" t="s">
        <v>60</v>
      </c>
      <c r="P101" s="30" t="s">
        <v>51</v>
      </c>
      <c r="Q101" s="64" t="s">
        <v>50</v>
      </c>
      <c r="R101" s="36"/>
      <c r="S101" s="36"/>
      <c r="T101" s="36"/>
      <c r="U101" s="36"/>
      <c r="V101" s="36"/>
      <c r="W101" s="30" t="str">
        <f t="shared" si="14"/>
        <v>Fund Transfer: From YES MASTER 0264 to x2477 (Ref: YESME6183012280200) (Type: Master to Free) (BU: Casa Romana) (Head: Internal)</v>
      </c>
      <c r="X101" s="30"/>
      <c r="Y101" s="59"/>
      <c r="Z101" s="2"/>
      <c r="AA101" s="2"/>
      <c r="AB101" s="2"/>
      <c r="AC101" s="2"/>
    </row>
    <row r="102" ht="15.75" customHeight="1">
      <c r="A102" s="56">
        <v>135.0</v>
      </c>
      <c r="B102" s="56" t="str">
        <f t="shared" si="12"/>
        <v>#NAME?</v>
      </c>
      <c r="C102" s="56">
        <f t="shared" si="13"/>
        <v>7</v>
      </c>
      <c r="D102" s="66">
        <v>46205.0</v>
      </c>
      <c r="E102" s="66">
        <v>46205.0</v>
      </c>
      <c r="F102" s="45"/>
      <c r="G102" s="45" t="s">
        <v>647</v>
      </c>
      <c r="H102" s="61" t="s">
        <v>648</v>
      </c>
      <c r="I102" s="46"/>
      <c r="J102" s="46">
        <v>145057.0</v>
      </c>
      <c r="K102" s="46">
        <f t="shared" si="10"/>
        <v>296313.5</v>
      </c>
      <c r="L102" s="62" t="s">
        <v>45</v>
      </c>
      <c r="M102" s="62" t="s">
        <v>94</v>
      </c>
      <c r="N102" s="63"/>
      <c r="O102" s="62" t="s">
        <v>60</v>
      </c>
      <c r="P102" s="30" t="s">
        <v>95</v>
      </c>
      <c r="Q102" s="64" t="s">
        <v>82</v>
      </c>
      <c r="R102" s="36"/>
      <c r="S102" s="36"/>
      <c r="T102" s="36" t="s">
        <v>288</v>
      </c>
      <c r="U102" s="36"/>
      <c r="V102" s="36" t="s">
        <v>98</v>
      </c>
      <c r="W102" s="30" t="str">
        <f t="shared" si="14"/>
        <v>Receipt: For (Apt#: R-052) (Ref: YBP6183598901911) (IMPS: BHAVNA MAHIPAL/XXX6701/RRN:618311871867/) (Type: Customer Collection) (BU: Casa Romana)</v>
      </c>
      <c r="X102" s="30"/>
      <c r="Y102" s="59"/>
      <c r="Z102" s="2"/>
      <c r="AA102" s="2"/>
      <c r="AB102" s="2"/>
      <c r="AC102" s="2"/>
    </row>
    <row r="103" ht="15.75" customHeight="1">
      <c r="A103" s="56">
        <v>134.0</v>
      </c>
      <c r="B103" s="56" t="str">
        <f t="shared" si="12"/>
        <v>#NAME?</v>
      </c>
      <c r="C103" s="56">
        <f t="shared" si="13"/>
        <v>7</v>
      </c>
      <c r="D103" s="66">
        <v>46205.0</v>
      </c>
      <c r="E103" s="66">
        <v>46205.0</v>
      </c>
      <c r="F103" s="45"/>
      <c r="G103" s="45" t="s">
        <v>654</v>
      </c>
      <c r="H103" s="61" t="s">
        <v>655</v>
      </c>
      <c r="I103" s="46"/>
      <c r="J103" s="46">
        <v>68264.0</v>
      </c>
      <c r="K103" s="46">
        <f t="shared" si="10"/>
        <v>151256.5</v>
      </c>
      <c r="L103" s="62" t="s">
        <v>45</v>
      </c>
      <c r="M103" s="62" t="s">
        <v>94</v>
      </c>
      <c r="N103" s="63"/>
      <c r="O103" s="62" t="s">
        <v>60</v>
      </c>
      <c r="P103" s="30" t="s">
        <v>95</v>
      </c>
      <c r="Q103" s="64" t="s">
        <v>82</v>
      </c>
      <c r="R103" s="36"/>
      <c r="S103" s="36"/>
      <c r="T103" s="36" t="s">
        <v>311</v>
      </c>
      <c r="U103" s="36"/>
      <c r="V103" s="36" t="s">
        <v>98</v>
      </c>
      <c r="W103" s="30" t="str">
        <f t="shared" si="14"/>
        <v>Receipt: For (Apt#: R-123) (Ref: YES0N6183688218900) (NEFT: ANKIT NAHAR-DWARKADHIS PROJECTS PRIVA-AXOMB18302013646) (Type: Customer Collection) (BU: Casa Romana)</v>
      </c>
      <c r="X103" s="30"/>
      <c r="Y103" s="59"/>
      <c r="Z103" s="2"/>
      <c r="AA103" s="2"/>
      <c r="AB103" s="2"/>
      <c r="AC103" s="2"/>
    </row>
    <row r="104" ht="15.75" customHeight="1">
      <c r="A104" s="56">
        <v>133.0</v>
      </c>
      <c r="B104" s="56" t="str">
        <f t="shared" si="12"/>
        <v>#NAME?</v>
      </c>
      <c r="C104" s="56">
        <f t="shared" si="13"/>
        <v>7</v>
      </c>
      <c r="D104" s="66">
        <v>46204.0</v>
      </c>
      <c r="E104" s="66">
        <v>46204.0</v>
      </c>
      <c r="F104" s="45"/>
      <c r="G104" s="45" t="s">
        <v>657</v>
      </c>
      <c r="H104" s="61" t="s">
        <v>658</v>
      </c>
      <c r="I104" s="46"/>
      <c r="J104" s="46">
        <v>53777.0</v>
      </c>
      <c r="K104" s="71">
        <f t="shared" si="10"/>
        <v>82992.5</v>
      </c>
      <c r="L104" s="62" t="s">
        <v>45</v>
      </c>
      <c r="M104" s="62" t="s">
        <v>94</v>
      </c>
      <c r="N104" s="63"/>
      <c r="O104" s="62" t="s">
        <v>60</v>
      </c>
      <c r="P104" s="30" t="s">
        <v>95</v>
      </c>
      <c r="Q104" s="64" t="s">
        <v>82</v>
      </c>
      <c r="R104" s="36"/>
      <c r="S104" s="36"/>
      <c r="T104" s="36" t="s">
        <v>661</v>
      </c>
      <c r="U104" s="36"/>
      <c r="V104" s="36" t="s">
        <v>664</v>
      </c>
      <c r="W104" s="30" t="str">
        <f t="shared" si="14"/>
        <v>Receipt: For (Apt#: M-12A2) (Ref: YBP6182597113662) (IMPS: ABHIJIT SHARMA/XXX2427/RRN:618208516598/ICICI BANK LIMITED) (Type: Customer Collection) (BU: Casa Romana)</v>
      </c>
      <c r="X104" s="30"/>
      <c r="Y104" s="59"/>
      <c r="Z104" s="2"/>
      <c r="AA104" s="2"/>
      <c r="AB104" s="2"/>
      <c r="AC104" s="2"/>
    </row>
    <row r="105" ht="15.75" hidden="1" customHeight="1">
      <c r="A105" s="56">
        <v>132.0</v>
      </c>
      <c r="B105" s="56" t="str">
        <f t="shared" si="12"/>
        <v>#NAME?</v>
      </c>
      <c r="C105" s="56">
        <f t="shared" si="13"/>
        <v>6</v>
      </c>
      <c r="D105" s="66">
        <v>46198.0</v>
      </c>
      <c r="E105" s="66">
        <v>46198.0</v>
      </c>
      <c r="F105" s="45"/>
      <c r="G105" s="45" t="s">
        <v>326</v>
      </c>
      <c r="H105" s="61" t="s">
        <v>665</v>
      </c>
      <c r="I105" s="46">
        <v>22.5</v>
      </c>
      <c r="J105" s="46"/>
      <c r="K105" s="71">
        <f t="shared" si="10"/>
        <v>29215.5</v>
      </c>
      <c r="L105" s="62" t="s">
        <v>45</v>
      </c>
      <c r="M105" s="62" t="s">
        <v>328</v>
      </c>
      <c r="N105" s="63"/>
      <c r="O105" s="62" t="s">
        <v>60</v>
      </c>
      <c r="P105" s="30" t="s">
        <v>43</v>
      </c>
      <c r="Q105" s="64" t="s">
        <v>329</v>
      </c>
      <c r="R105" s="36"/>
      <c r="S105" s="36"/>
      <c r="T105" s="36"/>
      <c r="U105" s="36"/>
      <c r="V105" s="36"/>
      <c r="W105" s="30" t="str">
        <f t="shared" si="14"/>
        <v>Payment: Disbursement for GST on Bank Charges Debited (Ref: SCREF01283997998) (Type: HO - Admin) (BU: Casa Romana) (Head: Bank Charges)</v>
      </c>
      <c r="X105" s="30" t="s">
        <v>669</v>
      </c>
      <c r="Y105" s="59"/>
      <c r="Z105" s="2"/>
      <c r="AA105" s="2"/>
      <c r="AB105" s="2"/>
      <c r="AC105" s="2"/>
    </row>
    <row r="106" ht="15.75" hidden="1" customHeight="1">
      <c r="A106" s="56">
        <v>131.0</v>
      </c>
      <c r="B106" s="56" t="str">
        <f t="shared" si="12"/>
        <v>#NAME?</v>
      </c>
      <c r="C106" s="56">
        <f t="shared" si="13"/>
        <v>6</v>
      </c>
      <c r="D106" s="66">
        <v>46198.0</v>
      </c>
      <c r="E106" s="66">
        <v>46198.0</v>
      </c>
      <c r="F106" s="45"/>
      <c r="G106" s="45" t="s">
        <v>670</v>
      </c>
      <c r="H106" s="61" t="s">
        <v>665</v>
      </c>
      <c r="I106" s="46">
        <v>125.0</v>
      </c>
      <c r="J106" s="46"/>
      <c r="K106" s="71">
        <f t="shared" si="10"/>
        <v>29238</v>
      </c>
      <c r="L106" s="62" t="s">
        <v>45</v>
      </c>
      <c r="M106" s="62" t="s">
        <v>328</v>
      </c>
      <c r="N106" s="63"/>
      <c r="O106" s="62" t="s">
        <v>60</v>
      </c>
      <c r="P106" s="30" t="s">
        <v>43</v>
      </c>
      <c r="Q106" s="64" t="s">
        <v>329</v>
      </c>
      <c r="R106" s="36"/>
      <c r="S106" s="36"/>
      <c r="T106" s="36"/>
      <c r="U106" s="36"/>
      <c r="V106" s="36"/>
      <c r="W106" s="30" t="str">
        <f t="shared" si="14"/>
        <v>Payment: Disbursement for Bank Charges Debited (Ref: SCREF01283997998) (Type: HO - Admin) (BU: Casa Romana) (Head: Bank Charges)</v>
      </c>
      <c r="X106" s="30" t="s">
        <v>335</v>
      </c>
      <c r="Y106" s="59"/>
      <c r="Z106" s="2"/>
      <c r="AA106" s="2"/>
      <c r="AB106" s="2"/>
      <c r="AC106" s="2"/>
    </row>
    <row r="107" ht="15.75" hidden="1" customHeight="1">
      <c r="A107" s="56">
        <v>130.0</v>
      </c>
      <c r="B107" s="56" t="str">
        <f t="shared" si="12"/>
        <v>#NAME?</v>
      </c>
      <c r="C107" s="56">
        <f t="shared" si="13"/>
        <v>6</v>
      </c>
      <c r="D107" s="66">
        <v>46195.0</v>
      </c>
      <c r="E107" s="66">
        <v>46195.0</v>
      </c>
      <c r="F107" s="45"/>
      <c r="G107" s="45" t="s">
        <v>455</v>
      </c>
      <c r="H107" s="61" t="s">
        <v>259</v>
      </c>
      <c r="I107" s="46">
        <v>157500.0</v>
      </c>
      <c r="J107" s="46" t="s">
        <v>37</v>
      </c>
      <c r="K107" s="71">
        <f t="shared" si="10"/>
        <v>29363</v>
      </c>
      <c r="L107" s="62" t="s">
        <v>45</v>
      </c>
      <c r="M107" s="62" t="s">
        <v>47</v>
      </c>
      <c r="N107" s="63"/>
      <c r="O107" s="62" t="s">
        <v>60</v>
      </c>
      <c r="P107" s="30" t="s">
        <v>61</v>
      </c>
      <c r="Q107" s="64" t="s">
        <v>50</v>
      </c>
      <c r="R107" s="36"/>
      <c r="S107" s="36"/>
      <c r="T107" s="36"/>
      <c r="U107" s="36"/>
      <c r="V107" s="36"/>
      <c r="W107" s="30" t="str">
        <f t="shared" si="14"/>
        <v>Fund Transfer: From YES MASTER 0264 to x0377 (Ref: YESME6173005625500 ) (Type: Master 2 RERA) (BU: Casa Romana) (Head: Internal)</v>
      </c>
      <c r="X107" s="30"/>
      <c r="Y107" s="59"/>
      <c r="Z107" s="2"/>
      <c r="AA107" s="2"/>
      <c r="AB107" s="2"/>
      <c r="AC107" s="2"/>
    </row>
    <row r="108" ht="15.75" hidden="1" customHeight="1">
      <c r="A108" s="56">
        <v>129.0</v>
      </c>
      <c r="B108" s="56" t="str">
        <f t="shared" si="12"/>
        <v>#NAME?</v>
      </c>
      <c r="C108" s="56">
        <f t="shared" si="13"/>
        <v>6</v>
      </c>
      <c r="D108" s="66">
        <v>46195.0</v>
      </c>
      <c r="E108" s="66">
        <v>46195.0</v>
      </c>
      <c r="F108" s="45"/>
      <c r="G108" s="45" t="s">
        <v>491</v>
      </c>
      <c r="H108" s="61" t="s">
        <v>677</v>
      </c>
      <c r="I108" s="46">
        <v>67500.0</v>
      </c>
      <c r="J108" s="46" t="s">
        <v>37</v>
      </c>
      <c r="K108" s="46">
        <f t="shared" si="10"/>
        <v>186863</v>
      </c>
      <c r="L108" s="62" t="s">
        <v>45</v>
      </c>
      <c r="M108" s="62" t="s">
        <v>47</v>
      </c>
      <c r="N108" s="63"/>
      <c r="O108" s="62" t="s">
        <v>60</v>
      </c>
      <c r="P108" s="30" t="s">
        <v>51</v>
      </c>
      <c r="Q108" s="64" t="s">
        <v>50</v>
      </c>
      <c r="R108" s="36"/>
      <c r="S108" s="36"/>
      <c r="T108" s="36"/>
      <c r="U108" s="36"/>
      <c r="V108" s="36"/>
      <c r="W108" s="30" t="str">
        <f t="shared" si="14"/>
        <v>Fund Transfer: From YES MASTER 0264 to x2477 (Ref: YESME6173005625400 ) (Type: Master to Free) (BU: Casa Romana) (Head: Internal)</v>
      </c>
      <c r="X108" s="30"/>
      <c r="Y108" s="59"/>
      <c r="Z108" s="2"/>
      <c r="AA108" s="2"/>
      <c r="AB108" s="2"/>
      <c r="AC108" s="2"/>
    </row>
    <row r="109" ht="15.75" customHeight="1">
      <c r="A109" s="56">
        <v>128.0</v>
      </c>
      <c r="B109" s="56" t="str">
        <f t="shared" si="12"/>
        <v>#NAME?</v>
      </c>
      <c r="C109" s="56">
        <f t="shared" si="13"/>
        <v>6</v>
      </c>
      <c r="D109" s="66">
        <v>46195.0</v>
      </c>
      <c r="E109" s="66">
        <v>46195.0</v>
      </c>
      <c r="F109" s="45"/>
      <c r="G109" s="45" t="s">
        <v>683</v>
      </c>
      <c r="H109" s="61" t="s">
        <v>684</v>
      </c>
      <c r="I109" s="46" t="s">
        <v>37</v>
      </c>
      <c r="J109" s="46">
        <v>25000.0</v>
      </c>
      <c r="K109" s="46">
        <f t="shared" si="10"/>
        <v>254363</v>
      </c>
      <c r="L109" s="62" t="s">
        <v>45</v>
      </c>
      <c r="M109" s="62" t="s">
        <v>94</v>
      </c>
      <c r="N109" s="63"/>
      <c r="O109" s="62" t="s">
        <v>60</v>
      </c>
      <c r="P109" s="30" t="s">
        <v>95</v>
      </c>
      <c r="Q109" s="64" t="s">
        <v>82</v>
      </c>
      <c r="R109" s="36"/>
      <c r="S109" s="36"/>
      <c r="T109" s="36" t="s">
        <v>222</v>
      </c>
      <c r="U109" s="36"/>
      <c r="V109" s="36" t="s">
        <v>358</v>
      </c>
      <c r="W109" s="30" t="str">
        <f t="shared" si="14"/>
        <v>Receipt: For (Apt#: U-092) (Ref: YES0N6173537735300 ) (NEFT: POONAM KAUR-DWARKADHIS PROJECTS PRIVA-IN12617342864822) (Type: Customer Collection) (BU: Casa Romana)</v>
      </c>
      <c r="X109" s="30"/>
      <c r="Y109" s="59"/>
      <c r="Z109" s="2"/>
      <c r="AA109" s="2"/>
      <c r="AB109" s="2"/>
      <c r="AC109" s="2"/>
    </row>
    <row r="110" ht="15.75" customHeight="1">
      <c r="A110" s="56">
        <v>127.0</v>
      </c>
      <c r="B110" s="56" t="str">
        <f t="shared" si="12"/>
        <v>#NAME?</v>
      </c>
      <c r="C110" s="56">
        <f t="shared" si="13"/>
        <v>6</v>
      </c>
      <c r="D110" s="66">
        <v>46193.0</v>
      </c>
      <c r="E110" s="66">
        <v>46193.0</v>
      </c>
      <c r="F110" s="45"/>
      <c r="G110" s="45" t="s">
        <v>689</v>
      </c>
      <c r="H110" s="61" t="s">
        <v>690</v>
      </c>
      <c r="I110" s="46" t="s">
        <v>37</v>
      </c>
      <c r="J110" s="46">
        <v>100000.0</v>
      </c>
      <c r="K110" s="46">
        <f t="shared" si="10"/>
        <v>229363</v>
      </c>
      <c r="L110" s="62" t="s">
        <v>45</v>
      </c>
      <c r="M110" s="62" t="s">
        <v>94</v>
      </c>
      <c r="N110" s="63"/>
      <c r="O110" s="62" t="s">
        <v>60</v>
      </c>
      <c r="P110" s="30" t="s">
        <v>95</v>
      </c>
      <c r="Q110" s="64" t="s">
        <v>82</v>
      </c>
      <c r="R110" s="36"/>
      <c r="S110" s="36"/>
      <c r="T110" s="36" t="s">
        <v>341</v>
      </c>
      <c r="U110" s="36"/>
      <c r="V110" s="36" t="s">
        <v>358</v>
      </c>
      <c r="W110" s="30" t="str">
        <f t="shared" si="14"/>
        <v>Receipt: For (Apt#: R-063) (Ref: 000000000062) ( ) (Type: Customer Collection) (BU: Casa Romana)</v>
      </c>
      <c r="X110" s="30"/>
      <c r="Y110" s="59"/>
      <c r="Z110" s="2"/>
      <c r="AA110" s="2"/>
      <c r="AB110" s="2"/>
      <c r="AC110" s="2"/>
    </row>
    <row r="111" ht="15.75" customHeight="1">
      <c r="A111" s="56">
        <v>126.0</v>
      </c>
      <c r="B111" s="56" t="str">
        <f t="shared" si="12"/>
        <v>#NAME?</v>
      </c>
      <c r="C111" s="56">
        <f t="shared" si="13"/>
        <v>6</v>
      </c>
      <c r="D111" s="66">
        <v>46193.0</v>
      </c>
      <c r="E111" s="66">
        <v>46193.0</v>
      </c>
      <c r="F111" s="45"/>
      <c r="G111" s="45" t="s">
        <v>695</v>
      </c>
      <c r="H111" s="61" t="s">
        <v>696</v>
      </c>
      <c r="I111" s="46" t="s">
        <v>37</v>
      </c>
      <c r="J111" s="46">
        <v>100000.0</v>
      </c>
      <c r="K111" s="46">
        <f t="shared" si="10"/>
        <v>129363</v>
      </c>
      <c r="L111" s="62" t="s">
        <v>45</v>
      </c>
      <c r="M111" s="62" t="s">
        <v>94</v>
      </c>
      <c r="N111" s="63"/>
      <c r="O111" s="62" t="s">
        <v>60</v>
      </c>
      <c r="P111" s="30" t="s">
        <v>95</v>
      </c>
      <c r="Q111" s="64" t="s">
        <v>82</v>
      </c>
      <c r="R111" s="36"/>
      <c r="S111" s="36"/>
      <c r="T111" s="36" t="s">
        <v>698</v>
      </c>
      <c r="U111" s="36"/>
      <c r="V111" s="36" t="s">
        <v>485</v>
      </c>
      <c r="W111" s="30" t="str">
        <f t="shared" si="14"/>
        <v>Receipt: For (Apt#: S-013) (Ref: YES0N6171366255200 ) (NEFT: EKTA YADAV-DWARKADHISH PROJECT-KKBKH26171664267) (Type: Customer Collection) (BU: Casa Romana)</v>
      </c>
      <c r="X111" s="65">
        <v>0.01</v>
      </c>
      <c r="Y111" s="59"/>
      <c r="Z111" s="2"/>
      <c r="AA111" s="2"/>
      <c r="AB111" s="2"/>
      <c r="AC111" s="2"/>
    </row>
    <row r="112" ht="15.75" hidden="1" customHeight="1">
      <c r="A112" s="56">
        <v>125.0</v>
      </c>
      <c r="B112" s="56" t="str">
        <f t="shared" si="12"/>
        <v>#NAME?</v>
      </c>
      <c r="C112" s="56">
        <f t="shared" si="13"/>
        <v>6</v>
      </c>
      <c r="D112" s="66">
        <v>46192.0</v>
      </c>
      <c r="E112" s="66">
        <v>46192.0</v>
      </c>
      <c r="F112" s="45"/>
      <c r="G112" s="45" t="s">
        <v>491</v>
      </c>
      <c r="H112" s="61" t="s">
        <v>557</v>
      </c>
      <c r="I112" s="46">
        <v>15000.0</v>
      </c>
      <c r="J112" s="46" t="s">
        <v>37</v>
      </c>
      <c r="K112" s="46">
        <f t="shared" si="10"/>
        <v>29363</v>
      </c>
      <c r="L112" s="62" t="s">
        <v>45</v>
      </c>
      <c r="M112" s="62" t="s">
        <v>47</v>
      </c>
      <c r="N112" s="63"/>
      <c r="O112" s="62" t="s">
        <v>60</v>
      </c>
      <c r="P112" s="30" t="s">
        <v>51</v>
      </c>
      <c r="Q112" s="64" t="s">
        <v>50</v>
      </c>
      <c r="R112" s="36"/>
      <c r="S112" s="36"/>
      <c r="T112" s="36"/>
      <c r="U112" s="36"/>
      <c r="V112" s="36"/>
      <c r="W112" s="30" t="str">
        <f t="shared" si="14"/>
        <v>Fund Transfer: From YES MASTER 0264 to x2477 (Ref: YESME6170005567200 ) (Type: Master to Free) (BU: Casa Romana) (Head: Internal)</v>
      </c>
      <c r="X112" s="30"/>
      <c r="Y112" s="59"/>
      <c r="Z112" s="2"/>
      <c r="AA112" s="2"/>
      <c r="AB112" s="2"/>
      <c r="AC112" s="2"/>
    </row>
    <row r="113" ht="15.75" hidden="1" customHeight="1">
      <c r="A113" s="56">
        <v>124.0</v>
      </c>
      <c r="B113" s="56" t="str">
        <f t="shared" si="12"/>
        <v>#NAME?</v>
      </c>
      <c r="C113" s="56">
        <f t="shared" si="13"/>
        <v>6</v>
      </c>
      <c r="D113" s="66">
        <v>46192.0</v>
      </c>
      <c r="E113" s="66">
        <v>46192.0</v>
      </c>
      <c r="F113" s="45"/>
      <c r="G113" s="45" t="s">
        <v>455</v>
      </c>
      <c r="H113" s="61" t="s">
        <v>269</v>
      </c>
      <c r="I113" s="46">
        <v>35000.0</v>
      </c>
      <c r="J113" s="46" t="s">
        <v>37</v>
      </c>
      <c r="K113" s="46">
        <f t="shared" si="10"/>
        <v>44363</v>
      </c>
      <c r="L113" s="62" t="s">
        <v>45</v>
      </c>
      <c r="M113" s="62" t="s">
        <v>47</v>
      </c>
      <c r="N113" s="63"/>
      <c r="O113" s="62" t="s">
        <v>60</v>
      </c>
      <c r="P113" s="30" t="s">
        <v>61</v>
      </c>
      <c r="Q113" s="64" t="s">
        <v>50</v>
      </c>
      <c r="R113" s="36"/>
      <c r="S113" s="36"/>
      <c r="T113" s="36"/>
      <c r="U113" s="36"/>
      <c r="V113" s="36"/>
      <c r="W113" s="30" t="str">
        <f t="shared" si="14"/>
        <v>Fund Transfer: From YES MASTER 0264 to x0377 (Ref: YESME6170005567100 ) (Type: Master 2 RERA) (BU: Casa Romana) (Head: Internal)</v>
      </c>
      <c r="X113" s="30"/>
      <c r="Y113" s="59"/>
      <c r="Z113" s="2"/>
      <c r="AA113" s="2"/>
      <c r="AB113" s="2"/>
      <c r="AC113" s="2"/>
    </row>
    <row r="114" ht="15.75" customHeight="1">
      <c r="A114" s="56">
        <v>123.0</v>
      </c>
      <c r="B114" s="56" t="str">
        <f t="shared" si="12"/>
        <v>#NAME?</v>
      </c>
      <c r="C114" s="56">
        <f t="shared" si="13"/>
        <v>6</v>
      </c>
      <c r="D114" s="66">
        <v>46192.0</v>
      </c>
      <c r="E114" s="66">
        <v>46192.0</v>
      </c>
      <c r="F114" s="45"/>
      <c r="G114" s="45" t="s">
        <v>705</v>
      </c>
      <c r="H114" s="61" t="s">
        <v>706</v>
      </c>
      <c r="I114" s="46" t="s">
        <v>37</v>
      </c>
      <c r="J114" s="46">
        <v>50000.0</v>
      </c>
      <c r="K114" s="46">
        <f t="shared" si="10"/>
        <v>79363</v>
      </c>
      <c r="L114" s="62" t="s">
        <v>45</v>
      </c>
      <c r="M114" s="62" t="s">
        <v>94</v>
      </c>
      <c r="N114" s="63"/>
      <c r="O114" s="62" t="s">
        <v>60</v>
      </c>
      <c r="P114" s="30" t="s">
        <v>95</v>
      </c>
      <c r="Q114" s="64" t="s">
        <v>82</v>
      </c>
      <c r="R114" s="36"/>
      <c r="S114" s="36"/>
      <c r="T114" s="36" t="s">
        <v>142</v>
      </c>
      <c r="U114" s="36"/>
      <c r="V114" s="36" t="s">
        <v>485</v>
      </c>
      <c r="W114" s="30" t="str">
        <f t="shared" si="14"/>
        <v>Receipt: For (Apt#: M-105) (Ref: YES0N6170227049000 ) (NEFT: AMIT JAIN-LEKH RAJ BAJAJ-HDFCH01071137852) (Type: Customer Collection) (BU: Casa Romana)</v>
      </c>
      <c r="X114" s="65">
        <v>0.01</v>
      </c>
      <c r="Y114" s="59"/>
      <c r="Z114" s="2"/>
      <c r="AA114" s="2"/>
      <c r="AB114" s="2"/>
      <c r="AC114" s="2"/>
    </row>
    <row r="115" ht="15.75" hidden="1" customHeight="1">
      <c r="A115" s="56">
        <v>122.0</v>
      </c>
      <c r="B115" s="56" t="str">
        <f t="shared" si="12"/>
        <v>#NAME?</v>
      </c>
      <c r="C115" s="56">
        <f t="shared" si="13"/>
        <v>6</v>
      </c>
      <c r="D115" s="66">
        <v>46185.0</v>
      </c>
      <c r="E115" s="66">
        <v>46185.0</v>
      </c>
      <c r="F115" s="45"/>
      <c r="G115" s="45" t="s">
        <v>491</v>
      </c>
      <c r="H115" s="61" t="s">
        <v>641</v>
      </c>
      <c r="I115" s="46">
        <v>30000.0</v>
      </c>
      <c r="J115" s="46"/>
      <c r="K115" s="46">
        <f t="shared" si="10"/>
        <v>29363</v>
      </c>
      <c r="L115" s="62" t="s">
        <v>45</v>
      </c>
      <c r="M115" s="62" t="s">
        <v>47</v>
      </c>
      <c r="N115" s="63"/>
      <c r="O115" s="62" t="s">
        <v>60</v>
      </c>
      <c r="P115" s="30" t="s">
        <v>51</v>
      </c>
      <c r="Q115" s="64" t="s">
        <v>50</v>
      </c>
      <c r="R115" s="36"/>
      <c r="S115" s="36"/>
      <c r="T115" s="36"/>
      <c r="U115" s="36"/>
      <c r="V115" s="36"/>
      <c r="W115" s="30" t="str">
        <f t="shared" si="14"/>
        <v>Fund Transfer: From YES MASTER 0264 to x2477 (Ref: YESME6163000858700) (Type: Master to Free) (BU: Casa Romana) (Head: Internal)</v>
      </c>
      <c r="X115" s="30"/>
      <c r="Y115" s="59"/>
      <c r="Z115" s="2"/>
      <c r="AA115" s="2"/>
      <c r="AB115" s="2"/>
      <c r="AC115" s="2"/>
    </row>
    <row r="116" ht="15.75" hidden="1" customHeight="1">
      <c r="A116" s="56">
        <v>121.0</v>
      </c>
      <c r="B116" s="56" t="str">
        <f t="shared" si="12"/>
        <v>#NAME?</v>
      </c>
      <c r="C116" s="56">
        <f t="shared" si="13"/>
        <v>6</v>
      </c>
      <c r="D116" s="66">
        <v>46185.0</v>
      </c>
      <c r="E116" s="66">
        <v>46185.0</v>
      </c>
      <c r="F116" s="45"/>
      <c r="G116" s="45" t="s">
        <v>455</v>
      </c>
      <c r="H116" s="61" t="s">
        <v>281</v>
      </c>
      <c r="I116" s="46">
        <v>70000.0</v>
      </c>
      <c r="J116" s="46"/>
      <c r="K116" s="46">
        <f t="shared" si="10"/>
        <v>59363</v>
      </c>
      <c r="L116" s="62" t="s">
        <v>45</v>
      </c>
      <c r="M116" s="62" t="s">
        <v>47</v>
      </c>
      <c r="N116" s="63"/>
      <c r="O116" s="62" t="s">
        <v>60</v>
      </c>
      <c r="P116" s="30" t="s">
        <v>61</v>
      </c>
      <c r="Q116" s="64" t="s">
        <v>50</v>
      </c>
      <c r="R116" s="36"/>
      <c r="S116" s="36"/>
      <c r="T116" s="36"/>
      <c r="U116" s="36"/>
      <c r="V116" s="36"/>
      <c r="W116" s="30" t="str">
        <f t="shared" si="14"/>
        <v>Fund Transfer: From YES MASTER 0264 to x0377 (Ref: YESME6163000858600) (Type: Master 2 RERA) (BU: Casa Romana) (Head: Internal)</v>
      </c>
      <c r="X116" s="30"/>
      <c r="Y116" s="59"/>
      <c r="Z116" s="2"/>
      <c r="AA116" s="2"/>
      <c r="AB116" s="2"/>
      <c r="AC116" s="2"/>
    </row>
    <row r="117" ht="15.75" customHeight="1">
      <c r="A117" s="56">
        <v>120.0</v>
      </c>
      <c r="B117" s="56" t="str">
        <f t="shared" si="12"/>
        <v>#NAME?</v>
      </c>
      <c r="C117" s="56">
        <f t="shared" si="13"/>
        <v>6</v>
      </c>
      <c r="D117" s="66">
        <v>46184.0</v>
      </c>
      <c r="E117" s="66">
        <v>46184.0</v>
      </c>
      <c r="F117" s="45"/>
      <c r="G117" s="45" t="s">
        <v>714</v>
      </c>
      <c r="H117" s="61" t="s">
        <v>715</v>
      </c>
      <c r="I117" s="46"/>
      <c r="J117" s="46">
        <v>100000.0</v>
      </c>
      <c r="K117" s="46">
        <f t="shared" si="10"/>
        <v>129363</v>
      </c>
      <c r="L117" s="62" t="s">
        <v>45</v>
      </c>
      <c r="M117" s="62" t="s">
        <v>94</v>
      </c>
      <c r="N117" s="63"/>
      <c r="O117" s="62" t="s">
        <v>60</v>
      </c>
      <c r="P117" s="30" t="s">
        <v>95</v>
      </c>
      <c r="Q117" s="64" t="s">
        <v>82</v>
      </c>
      <c r="R117" s="36"/>
      <c r="S117" s="36"/>
      <c r="T117" s="36" t="s">
        <v>149</v>
      </c>
      <c r="U117" s="36"/>
      <c r="V117" s="113" t="s">
        <v>716</v>
      </c>
      <c r="W117" s="30" t="str">
        <f t="shared" si="14"/>
        <v>Receipt: For (Apt#: U-013) (Ref: YES0N6162341811100) (NEFT: RAHULENTERPRISES-dwarkadhis projects priva-KVBLH00263507186) (Type: Customer Collection) (BU: Casa Romana)</v>
      </c>
      <c r="X117" s="30"/>
      <c r="Y117" s="59"/>
      <c r="Z117" s="2"/>
      <c r="AA117" s="2"/>
      <c r="AB117" s="2"/>
      <c r="AC117" s="2"/>
    </row>
    <row r="118" ht="15.75" hidden="1" customHeight="1">
      <c r="A118" s="56">
        <v>119.0</v>
      </c>
      <c r="B118" s="56" t="str">
        <f t="shared" si="12"/>
        <v>#NAME?</v>
      </c>
      <c r="C118" s="56">
        <f t="shared" si="13"/>
        <v>6</v>
      </c>
      <c r="D118" s="66">
        <v>46182.0</v>
      </c>
      <c r="E118" s="66">
        <v>46182.0</v>
      </c>
      <c r="F118" s="45"/>
      <c r="G118" s="45" t="s">
        <v>719</v>
      </c>
      <c r="H118" s="61" t="s">
        <v>294</v>
      </c>
      <c r="I118" s="46">
        <v>70000.0</v>
      </c>
      <c r="J118" s="46"/>
      <c r="K118" s="46">
        <f t="shared" si="10"/>
        <v>29363</v>
      </c>
      <c r="L118" s="62" t="s">
        <v>45</v>
      </c>
      <c r="M118" s="62" t="s">
        <v>47</v>
      </c>
      <c r="N118" s="63"/>
      <c r="O118" s="62" t="s">
        <v>60</v>
      </c>
      <c r="P118" s="30" t="s">
        <v>61</v>
      </c>
      <c r="Q118" s="64" t="s">
        <v>50</v>
      </c>
      <c r="R118" s="36"/>
      <c r="S118" s="36"/>
      <c r="T118" s="36"/>
      <c r="U118" s="36"/>
      <c r="V118" s="36"/>
      <c r="W118" s="30" t="str">
        <f t="shared" si="14"/>
        <v>Fund Transfer: From YES MASTER 0264 to x0377 (Ref: YESME6160001433800) (Type: Master 2 RERA) (BU: Casa Romana) (Head: Internal)</v>
      </c>
      <c r="X118" s="30"/>
      <c r="Y118" s="59"/>
      <c r="Z118" s="2"/>
      <c r="AA118" s="2"/>
      <c r="AB118" s="2"/>
      <c r="AC118" s="2"/>
    </row>
    <row r="119" ht="15.75" hidden="1" customHeight="1">
      <c r="A119" s="56">
        <v>118.0</v>
      </c>
      <c r="B119" s="56" t="str">
        <f t="shared" si="12"/>
        <v>#NAME?</v>
      </c>
      <c r="C119" s="56">
        <f t="shared" si="13"/>
        <v>6</v>
      </c>
      <c r="D119" s="66">
        <v>46182.0</v>
      </c>
      <c r="E119" s="66">
        <v>46182.0</v>
      </c>
      <c r="F119" s="45"/>
      <c r="G119" s="45" t="s">
        <v>491</v>
      </c>
      <c r="H119" s="61" t="s">
        <v>656</v>
      </c>
      <c r="I119" s="46">
        <v>30000.0</v>
      </c>
      <c r="J119" s="46"/>
      <c r="K119" s="46">
        <f t="shared" si="10"/>
        <v>99363</v>
      </c>
      <c r="L119" s="62" t="s">
        <v>45</v>
      </c>
      <c r="M119" s="62" t="s">
        <v>47</v>
      </c>
      <c r="N119" s="63"/>
      <c r="O119" s="62" t="s">
        <v>60</v>
      </c>
      <c r="P119" s="30" t="s">
        <v>51</v>
      </c>
      <c r="Q119" s="64" t="s">
        <v>50</v>
      </c>
      <c r="R119" s="36"/>
      <c r="S119" s="36"/>
      <c r="T119" s="36"/>
      <c r="U119" s="36"/>
      <c r="V119" s="36"/>
      <c r="W119" s="30" t="str">
        <f t="shared" si="14"/>
        <v>Fund Transfer: From YES MASTER 0264 to x2477 (Ref: YESME6160001433900) (Type: Master to Free) (BU: Casa Romana) (Head: Internal)</v>
      </c>
      <c r="X119" s="30"/>
      <c r="Y119" s="59"/>
      <c r="Z119" s="2"/>
      <c r="AA119" s="2"/>
      <c r="AB119" s="2"/>
      <c r="AC119" s="2"/>
    </row>
    <row r="120" ht="15.75" customHeight="1">
      <c r="A120" s="56">
        <v>117.0</v>
      </c>
      <c r="B120" s="56" t="str">
        <f t="shared" si="12"/>
        <v>#NAME?</v>
      </c>
      <c r="C120" s="56">
        <f t="shared" si="13"/>
        <v>6</v>
      </c>
      <c r="D120" s="66">
        <v>46179.0</v>
      </c>
      <c r="E120" s="66">
        <v>46179.0</v>
      </c>
      <c r="F120" s="45"/>
      <c r="G120" s="45" t="s">
        <v>727</v>
      </c>
      <c r="H120" s="61" t="s">
        <v>729</v>
      </c>
      <c r="I120" s="46"/>
      <c r="J120" s="46">
        <v>100000.0</v>
      </c>
      <c r="K120" s="46">
        <f t="shared" si="10"/>
        <v>129363</v>
      </c>
      <c r="L120" s="62" t="s">
        <v>45</v>
      </c>
      <c r="M120" s="62" t="s">
        <v>94</v>
      </c>
      <c r="N120" s="63"/>
      <c r="O120" s="62" t="s">
        <v>60</v>
      </c>
      <c r="P120" s="30" t="s">
        <v>95</v>
      </c>
      <c r="Q120" s="64" t="s">
        <v>82</v>
      </c>
      <c r="R120" s="36"/>
      <c r="S120" s="36"/>
      <c r="T120" s="36" t="s">
        <v>111</v>
      </c>
      <c r="U120" s="36"/>
      <c r="V120" s="36" t="s">
        <v>358</v>
      </c>
      <c r="W120" s="30" t="str">
        <f t="shared" si="14"/>
        <v>Receipt: For (Apt#: P-071) (Ref: YBP6157565187580) (IMPS: MRIGANKACHAKRABORTY/XXX7113/RRN:615720769510/AXIS BANK) (Type: Customer Collection) (BU: Casa Romana)</v>
      </c>
      <c r="X120" s="30"/>
      <c r="Y120" s="59"/>
      <c r="Z120" s="2"/>
      <c r="AA120" s="2"/>
      <c r="AB120" s="2"/>
      <c r="AC120" s="2"/>
    </row>
    <row r="121" ht="15.75" hidden="1" customHeight="1">
      <c r="A121" s="56">
        <v>116.0</v>
      </c>
      <c r="B121" s="56" t="str">
        <f t="shared" si="12"/>
        <v>#NAME?</v>
      </c>
      <c r="C121" s="56">
        <f t="shared" si="13"/>
        <v>6</v>
      </c>
      <c r="D121" s="66">
        <v>46179.0</v>
      </c>
      <c r="E121" s="66">
        <v>46179.0</v>
      </c>
      <c r="F121" s="45"/>
      <c r="G121" s="45" t="s">
        <v>731</v>
      </c>
      <c r="H121" s="61" t="s">
        <v>306</v>
      </c>
      <c r="I121" s="46">
        <v>576177.0</v>
      </c>
      <c r="J121" s="46"/>
      <c r="K121" s="46">
        <f t="shared" si="10"/>
        <v>29363</v>
      </c>
      <c r="L121" s="62" t="s">
        <v>45</v>
      </c>
      <c r="M121" s="62" t="s">
        <v>47</v>
      </c>
      <c r="N121" s="63"/>
      <c r="O121" s="62" t="s">
        <v>60</v>
      </c>
      <c r="P121" s="30" t="s">
        <v>61</v>
      </c>
      <c r="Q121" s="64" t="s">
        <v>50</v>
      </c>
      <c r="R121" s="36"/>
      <c r="S121" s="36"/>
      <c r="T121" s="36"/>
      <c r="U121" s="36"/>
      <c r="V121" s="36"/>
      <c r="W121" s="30" t="str">
        <f t="shared" si="14"/>
        <v>Fund Transfer: From YES MASTER 0264 to x0377 (Ref: NETPC3811250197852789) (Type: Master 2 RERA) (BU: Casa Romana) (Head: Internal)</v>
      </c>
      <c r="X121" s="30"/>
      <c r="Y121" s="59"/>
      <c r="Z121" s="2"/>
      <c r="AA121" s="2"/>
      <c r="AB121" s="2"/>
      <c r="AC121" s="2"/>
    </row>
    <row r="122" ht="15.75" hidden="1" customHeight="1">
      <c r="A122" s="56">
        <v>115.0</v>
      </c>
      <c r="B122" s="56" t="str">
        <f t="shared" si="12"/>
        <v>#NAME?</v>
      </c>
      <c r="C122" s="56">
        <f t="shared" si="13"/>
        <v>6</v>
      </c>
      <c r="D122" s="66">
        <v>46179.0</v>
      </c>
      <c r="E122" s="66">
        <v>46179.0</v>
      </c>
      <c r="F122" s="45"/>
      <c r="G122" s="45" t="s">
        <v>733</v>
      </c>
      <c r="H122" s="61" t="s">
        <v>671</v>
      </c>
      <c r="I122" s="46">
        <v>246927.0</v>
      </c>
      <c r="J122" s="46"/>
      <c r="K122" s="46">
        <f t="shared" si="10"/>
        <v>605540</v>
      </c>
      <c r="L122" s="62" t="s">
        <v>45</v>
      </c>
      <c r="M122" s="62" t="s">
        <v>47</v>
      </c>
      <c r="N122" s="63"/>
      <c r="O122" s="62" t="s">
        <v>60</v>
      </c>
      <c r="P122" s="30" t="s">
        <v>51</v>
      </c>
      <c r="Q122" s="64" t="s">
        <v>50</v>
      </c>
      <c r="R122" s="36"/>
      <c r="S122" s="36"/>
      <c r="T122" s="36"/>
      <c r="U122" s="36"/>
      <c r="V122" s="36"/>
      <c r="W122" s="30" t="str">
        <f t="shared" si="14"/>
        <v>Fund Transfer: From YES MASTER 0264 to x2477 (Ref: YESME6157003886400) (Type: Master to Free) (BU: Casa Romana) (Head: Internal)</v>
      </c>
      <c r="X122" s="30"/>
      <c r="Y122" s="59"/>
      <c r="Z122" s="2"/>
      <c r="AA122" s="2"/>
      <c r="AB122" s="2"/>
      <c r="AC122" s="2"/>
    </row>
    <row r="123" ht="15.75" customHeight="1">
      <c r="A123" s="56">
        <v>114.0</v>
      </c>
      <c r="B123" s="56" t="str">
        <f t="shared" si="12"/>
        <v>#NAME?</v>
      </c>
      <c r="C123" s="56">
        <f t="shared" si="13"/>
        <v>6</v>
      </c>
      <c r="D123" s="66">
        <v>46179.0</v>
      </c>
      <c r="E123" s="66">
        <v>46179.0</v>
      </c>
      <c r="F123" s="45"/>
      <c r="G123" s="45" t="s">
        <v>736</v>
      </c>
      <c r="H123" s="61" t="s">
        <v>737</v>
      </c>
      <c r="I123" s="46"/>
      <c r="J123" s="46">
        <v>27000.0</v>
      </c>
      <c r="K123" s="46">
        <f t="shared" si="10"/>
        <v>852467</v>
      </c>
      <c r="L123" s="62" t="s">
        <v>45</v>
      </c>
      <c r="M123" s="62" t="s">
        <v>94</v>
      </c>
      <c r="N123" s="63"/>
      <c r="O123" s="62" t="s">
        <v>60</v>
      </c>
      <c r="P123" s="30" t="s">
        <v>95</v>
      </c>
      <c r="Q123" s="64" t="s">
        <v>82</v>
      </c>
      <c r="R123" s="36"/>
      <c r="S123" s="36"/>
      <c r="T123" s="36" t="s">
        <v>738</v>
      </c>
      <c r="U123" s="36"/>
      <c r="V123" s="36" t="s">
        <v>358</v>
      </c>
      <c r="W123" s="30" t="str">
        <f t="shared" si="14"/>
        <v>Receipt: For (Apt#: N-052) (Ref: YES0N6157715640100) (NEFT: GIAN SINGH-DWARKADHIS PROJECTS PRIVA-CNRBH00137463745) (Type: Customer Collection) (BU: Casa Romana)</v>
      </c>
      <c r="X123" s="30"/>
      <c r="Y123" s="59"/>
      <c r="Z123" s="2"/>
      <c r="AA123" s="2"/>
      <c r="AB123" s="2"/>
      <c r="AC123" s="2"/>
    </row>
    <row r="124" ht="15.75" customHeight="1">
      <c r="A124" s="56">
        <v>113.0</v>
      </c>
      <c r="B124" s="56" t="str">
        <f t="shared" si="12"/>
        <v>#NAME?</v>
      </c>
      <c r="C124" s="56">
        <f t="shared" si="13"/>
        <v>6</v>
      </c>
      <c r="D124" s="66">
        <v>46179.0</v>
      </c>
      <c r="E124" s="66">
        <v>46179.0</v>
      </c>
      <c r="F124" s="45"/>
      <c r="G124" s="45" t="s">
        <v>742</v>
      </c>
      <c r="H124" s="61" t="s">
        <v>743</v>
      </c>
      <c r="I124" s="46"/>
      <c r="J124" s="46">
        <v>218756.0</v>
      </c>
      <c r="K124" s="46">
        <f t="shared" si="10"/>
        <v>825467</v>
      </c>
      <c r="L124" s="62" t="s">
        <v>45</v>
      </c>
      <c r="M124" s="62" t="s">
        <v>94</v>
      </c>
      <c r="N124" s="63"/>
      <c r="O124" s="62" t="s">
        <v>60</v>
      </c>
      <c r="P124" s="30" t="s">
        <v>95</v>
      </c>
      <c r="Q124" s="64" t="s">
        <v>82</v>
      </c>
      <c r="R124" s="36"/>
      <c r="S124" s="36"/>
      <c r="T124" s="36" t="s">
        <v>178</v>
      </c>
      <c r="U124" s="36"/>
      <c r="V124" s="36" t="s">
        <v>358</v>
      </c>
      <c r="W124" s="30" t="str">
        <f t="shared" si="14"/>
        <v>Receipt: For (Apt#: L-064) (Ref: YES0R6157893120100) (RTGS: VANDANA KHULLAR-Dwarkadhis Projects Pvt L-HDFCR52026060667520804) (Type: Customer Collection) (BU: Casa Romana)</v>
      </c>
      <c r="X124" s="30"/>
      <c r="Y124" s="59"/>
      <c r="Z124" s="2"/>
      <c r="AA124" s="2"/>
      <c r="AB124" s="2"/>
      <c r="AC124" s="2"/>
    </row>
    <row r="125" ht="15.75" customHeight="1">
      <c r="A125" s="56">
        <v>112.0</v>
      </c>
      <c r="B125" s="56" t="str">
        <f t="shared" si="12"/>
        <v>#NAME?</v>
      </c>
      <c r="C125" s="56">
        <f t="shared" si="13"/>
        <v>6</v>
      </c>
      <c r="D125" s="66">
        <v>46179.0</v>
      </c>
      <c r="E125" s="66">
        <v>46179.0</v>
      </c>
      <c r="F125" s="45"/>
      <c r="G125" s="45" t="s">
        <v>748</v>
      </c>
      <c r="H125" s="61" t="s">
        <v>749</v>
      </c>
      <c r="I125" s="46"/>
      <c r="J125" s="46">
        <v>61110.0</v>
      </c>
      <c r="K125" s="46">
        <f t="shared" si="10"/>
        <v>606711</v>
      </c>
      <c r="L125" s="62" t="s">
        <v>45</v>
      </c>
      <c r="M125" s="62" t="s">
        <v>94</v>
      </c>
      <c r="N125" s="63"/>
      <c r="O125" s="62" t="s">
        <v>60</v>
      </c>
      <c r="P125" s="30" t="s">
        <v>95</v>
      </c>
      <c r="Q125" s="64" t="s">
        <v>82</v>
      </c>
      <c r="R125" s="36"/>
      <c r="S125" s="36"/>
      <c r="T125" s="36" t="s">
        <v>205</v>
      </c>
      <c r="U125" s="36"/>
      <c r="V125" s="36" t="s">
        <v>485</v>
      </c>
      <c r="W125" s="30" t="str">
        <f t="shared" si="14"/>
        <v>Receipt: For (Apt#: L-043) (Ref: YES0N6157694128700) (NEFT: VIDYA DEVI-Dwarkadhis Projects Pvt L-SBIN226157418825) (Type: Customer Collection) (BU: Casa Romana)</v>
      </c>
      <c r="X125" s="65">
        <v>0.05</v>
      </c>
      <c r="Y125" s="59"/>
      <c r="Z125" s="2"/>
      <c r="AA125" s="2"/>
      <c r="AB125" s="2"/>
      <c r="AC125" s="2"/>
    </row>
    <row r="126" ht="15.75" customHeight="1">
      <c r="A126" s="56">
        <v>111.0</v>
      </c>
      <c r="B126" s="56" t="str">
        <f t="shared" si="12"/>
        <v>#NAME?</v>
      </c>
      <c r="C126" s="56">
        <f t="shared" si="13"/>
        <v>6</v>
      </c>
      <c r="D126" s="66">
        <v>46178.0</v>
      </c>
      <c r="E126" s="66">
        <v>46178.0</v>
      </c>
      <c r="F126" s="45"/>
      <c r="G126" s="45" t="s">
        <v>751</v>
      </c>
      <c r="H126" s="61"/>
      <c r="I126" s="46"/>
      <c r="J126" s="46">
        <v>96406.0</v>
      </c>
      <c r="K126" s="46">
        <f t="shared" si="10"/>
        <v>545601</v>
      </c>
      <c r="L126" s="62" t="s">
        <v>45</v>
      </c>
      <c r="M126" s="62" t="s">
        <v>94</v>
      </c>
      <c r="N126" s="63"/>
      <c r="O126" s="62" t="s">
        <v>60</v>
      </c>
      <c r="P126" s="30" t="s">
        <v>95</v>
      </c>
      <c r="Q126" s="64" t="s">
        <v>82</v>
      </c>
      <c r="R126" s="36"/>
      <c r="S126" s="36"/>
      <c r="T126" s="36" t="s">
        <v>755</v>
      </c>
      <c r="U126" s="36"/>
      <c r="V126" s="36" t="s">
        <v>485</v>
      </c>
      <c r="W126" s="30" t="str">
        <f t="shared" si="14"/>
        <v>Receipt: For (Apt#: L-112) (Ref: ) (IMPS: ANIL KUMAR SHARMA/XXX1777/RRN:615621039659/ICICI BANK LIMITED) (Type: Customer Collection) (BU: Casa Romana)</v>
      </c>
      <c r="X126" s="65">
        <v>0.01</v>
      </c>
      <c r="Y126" s="59"/>
      <c r="Z126" s="2"/>
      <c r="AA126" s="2"/>
      <c r="AB126" s="2"/>
      <c r="AC126" s="2"/>
    </row>
    <row r="127" ht="15.75" customHeight="1">
      <c r="A127" s="56">
        <v>110.0</v>
      </c>
      <c r="B127" s="56" t="str">
        <f t="shared" si="12"/>
        <v>#NAME?</v>
      </c>
      <c r="C127" s="56">
        <f t="shared" si="13"/>
        <v>6</v>
      </c>
      <c r="D127" s="66">
        <v>46178.0</v>
      </c>
      <c r="E127" s="66">
        <v>46178.0</v>
      </c>
      <c r="F127" s="45"/>
      <c r="G127" s="45" t="s">
        <v>757</v>
      </c>
      <c r="H127" s="61"/>
      <c r="I127" s="46"/>
      <c r="J127" s="46">
        <v>64942.0</v>
      </c>
      <c r="K127" s="46">
        <f t="shared" si="10"/>
        <v>449195</v>
      </c>
      <c r="L127" s="62" t="s">
        <v>45</v>
      </c>
      <c r="M127" s="62" t="s">
        <v>94</v>
      </c>
      <c r="N127" s="63"/>
      <c r="O127" s="62" t="s">
        <v>60</v>
      </c>
      <c r="P127" s="30" t="s">
        <v>95</v>
      </c>
      <c r="Q127" s="64" t="s">
        <v>82</v>
      </c>
      <c r="R127" s="36"/>
      <c r="S127" s="36"/>
      <c r="T127" s="36" t="s">
        <v>760</v>
      </c>
      <c r="U127" s="36"/>
      <c r="V127" s="36" t="s">
        <v>485</v>
      </c>
      <c r="W127" s="30" t="str">
        <f t="shared" si="14"/>
        <v>Receipt: For (Apt#: L-102) (Ref: ) (IMPS: BHAGIRATHBHARDWAJ/XXX7885/RRN:615620360794/AXIS BANK) (Type: Customer Collection) (BU: Casa Romana)</v>
      </c>
      <c r="X127" s="65">
        <v>0.01</v>
      </c>
      <c r="Y127" s="59"/>
      <c r="Z127" s="2"/>
      <c r="AA127" s="2"/>
      <c r="AB127" s="2"/>
      <c r="AC127" s="2"/>
    </row>
    <row r="128" ht="15.75" customHeight="1">
      <c r="A128" s="56">
        <v>109.0</v>
      </c>
      <c r="B128" s="56" t="str">
        <f t="shared" si="12"/>
        <v>#NAME?</v>
      </c>
      <c r="C128" s="56">
        <f t="shared" si="13"/>
        <v>6</v>
      </c>
      <c r="D128" s="66">
        <v>46178.0</v>
      </c>
      <c r="E128" s="66">
        <v>46178.0</v>
      </c>
      <c r="F128" s="45"/>
      <c r="G128" s="45" t="s">
        <v>763</v>
      </c>
      <c r="H128" s="61"/>
      <c r="I128" s="46"/>
      <c r="J128" s="46">
        <v>32276.0</v>
      </c>
      <c r="K128" s="46">
        <f t="shared" si="10"/>
        <v>384253</v>
      </c>
      <c r="L128" s="62" t="s">
        <v>45</v>
      </c>
      <c r="M128" s="62" t="s">
        <v>94</v>
      </c>
      <c r="N128" s="63"/>
      <c r="O128" s="62" t="s">
        <v>60</v>
      </c>
      <c r="P128" s="30" t="s">
        <v>95</v>
      </c>
      <c r="Q128" s="64" t="s">
        <v>82</v>
      </c>
      <c r="R128" s="36"/>
      <c r="S128" s="36"/>
      <c r="T128" s="36" t="s">
        <v>508</v>
      </c>
      <c r="U128" s="36"/>
      <c r="V128" s="36" t="s">
        <v>358</v>
      </c>
      <c r="W128" s="30" t="str">
        <f t="shared" si="14"/>
        <v>Receipt: For (Apt#: M-128) (Ref: ) (IMPS: MANISH ANAND/XXX7556/RRN:615667295148/HDFC BANK) (Type: Customer Collection) (BU: Casa Romana)</v>
      </c>
      <c r="X128" s="30"/>
      <c r="Y128" s="59"/>
      <c r="Z128" s="2"/>
      <c r="AA128" s="2"/>
      <c r="AB128" s="2"/>
      <c r="AC128" s="2"/>
    </row>
    <row r="129" ht="15.75" customHeight="1">
      <c r="A129" s="56">
        <v>108.0</v>
      </c>
      <c r="B129" s="56" t="str">
        <f t="shared" si="12"/>
        <v>#NAME?</v>
      </c>
      <c r="C129" s="56">
        <f t="shared" si="13"/>
        <v>6</v>
      </c>
      <c r="D129" s="66">
        <v>46178.0</v>
      </c>
      <c r="E129" s="66">
        <v>46178.0</v>
      </c>
      <c r="F129" s="45"/>
      <c r="G129" s="45" t="s">
        <v>768</v>
      </c>
      <c r="H129" s="61"/>
      <c r="I129" s="46"/>
      <c r="J129" s="126">
        <v>10600.0</v>
      </c>
      <c r="K129" s="46">
        <f t="shared" si="10"/>
        <v>351977</v>
      </c>
      <c r="L129" s="62" t="s">
        <v>45</v>
      </c>
      <c r="M129" s="62" t="s">
        <v>94</v>
      </c>
      <c r="N129" s="63"/>
      <c r="O129" s="62" t="s">
        <v>60</v>
      </c>
      <c r="P129" s="30" t="s">
        <v>95</v>
      </c>
      <c r="Q129" s="64" t="s">
        <v>82</v>
      </c>
      <c r="R129" s="36"/>
      <c r="S129" s="36"/>
      <c r="T129" s="36" t="s">
        <v>244</v>
      </c>
      <c r="U129" s="36"/>
      <c r="V129" s="36" t="s">
        <v>501</v>
      </c>
      <c r="W129" s="30" t="str">
        <f t="shared" si="14"/>
        <v>Receipt: For (Apt#: R-064) (Ref: ) (IMPS: AMITKUMAR/XXX3986/RRN:615619312708/AXIS BANK) (Type: Customer Collection) (BU: Casa Romana)</v>
      </c>
      <c r="X129" s="65">
        <v>0.01</v>
      </c>
      <c r="Y129" s="59"/>
      <c r="Z129" s="2"/>
      <c r="AA129" s="2"/>
      <c r="AB129" s="2"/>
      <c r="AC129" s="2"/>
    </row>
    <row r="130" ht="15.75" customHeight="1">
      <c r="A130" s="56">
        <v>107.0</v>
      </c>
      <c r="B130" s="56" t="str">
        <f t="shared" si="12"/>
        <v>#NAME?</v>
      </c>
      <c r="C130" s="56">
        <f t="shared" si="13"/>
        <v>6</v>
      </c>
      <c r="D130" s="66">
        <v>46178.0</v>
      </c>
      <c r="E130" s="66">
        <v>46178.0</v>
      </c>
      <c r="F130" s="45"/>
      <c r="G130" s="45" t="s">
        <v>167</v>
      </c>
      <c r="H130" s="61"/>
      <c r="I130" s="46"/>
      <c r="J130" s="46">
        <v>25000.0</v>
      </c>
      <c r="K130" s="46">
        <f t="shared" si="10"/>
        <v>341377</v>
      </c>
      <c r="L130" s="62" t="s">
        <v>45</v>
      </c>
      <c r="M130" s="62" t="s">
        <v>94</v>
      </c>
      <c r="N130" s="63"/>
      <c r="O130" s="62" t="s">
        <v>60</v>
      </c>
      <c r="P130" s="30" t="s">
        <v>95</v>
      </c>
      <c r="Q130" s="64" t="s">
        <v>82</v>
      </c>
      <c r="R130" s="36"/>
      <c r="S130" s="36"/>
      <c r="T130" s="36" t="s">
        <v>170</v>
      </c>
      <c r="U130" s="36"/>
      <c r="V130" s="36" t="s">
        <v>485</v>
      </c>
      <c r="W130" s="30" t="str">
        <f t="shared" si="14"/>
        <v>Receipt: For (Apt#: T-052) (Ref: ) ( ASHISH SHUKLA-071691900001571) (Type: Customer Collection) (BU: Casa Romana)</v>
      </c>
      <c r="X130" s="65">
        <v>0.05</v>
      </c>
      <c r="Y130" s="59"/>
      <c r="Z130" s="2"/>
      <c r="AA130" s="2"/>
      <c r="AB130" s="2"/>
      <c r="AC130" s="2"/>
    </row>
    <row r="131" ht="15.75" hidden="1" customHeight="1">
      <c r="A131" s="56">
        <v>106.0</v>
      </c>
      <c r="B131" s="56" t="str">
        <f t="shared" si="12"/>
        <v>#NAME?</v>
      </c>
      <c r="C131" s="56">
        <f t="shared" si="13"/>
        <v>6</v>
      </c>
      <c r="D131" s="66">
        <v>46178.0</v>
      </c>
      <c r="E131" s="66">
        <v>46178.0</v>
      </c>
      <c r="F131" s="45"/>
      <c r="G131" s="45" t="s">
        <v>778</v>
      </c>
      <c r="H131" s="61"/>
      <c r="I131" s="46">
        <v>219511.2</v>
      </c>
      <c r="J131" s="46"/>
      <c r="K131" s="46">
        <f t="shared" si="10"/>
        <v>316377</v>
      </c>
      <c r="L131" s="62" t="s">
        <v>45</v>
      </c>
      <c r="M131" s="62" t="s">
        <v>47</v>
      </c>
      <c r="N131" s="63"/>
      <c r="O131" s="62" t="s">
        <v>60</v>
      </c>
      <c r="P131" s="30" t="s">
        <v>51</v>
      </c>
      <c r="Q131" s="64" t="s">
        <v>50</v>
      </c>
      <c r="R131" s="36"/>
      <c r="S131" s="36"/>
      <c r="T131" s="36" t="s">
        <v>75</v>
      </c>
      <c r="U131" s="36"/>
      <c r="V131" s="36"/>
      <c r="W131" s="30" t="str">
        <f t="shared" si="14"/>
        <v>Fund Transfer: From YES MASTER 0264 to x2477 (Ref: ) (Type: Master to Free) (BU: Casa Romana) (Head: Internal)</v>
      </c>
      <c r="X131" s="30"/>
      <c r="Y131" s="59"/>
      <c r="Z131" s="2"/>
      <c r="AA131" s="2"/>
      <c r="AB131" s="2"/>
      <c r="AC131" s="2"/>
    </row>
    <row r="132" ht="15.75" hidden="1" customHeight="1">
      <c r="A132" s="56">
        <v>105.0</v>
      </c>
      <c r="B132" s="56" t="str">
        <f t="shared" si="12"/>
        <v>#NAME?</v>
      </c>
      <c r="C132" s="56">
        <f t="shared" si="13"/>
        <v>6</v>
      </c>
      <c r="D132" s="66">
        <v>46178.0</v>
      </c>
      <c r="E132" s="66">
        <v>46178.0</v>
      </c>
      <c r="F132" s="45"/>
      <c r="G132" s="45" t="s">
        <v>783</v>
      </c>
      <c r="H132" s="61"/>
      <c r="I132" s="46">
        <v>512192.8</v>
      </c>
      <c r="J132" s="46"/>
      <c r="K132" s="46">
        <f t="shared" si="10"/>
        <v>535888.2</v>
      </c>
      <c r="L132" s="62" t="s">
        <v>45</v>
      </c>
      <c r="M132" s="62" t="s">
        <v>47</v>
      </c>
      <c r="N132" s="63"/>
      <c r="O132" s="62" t="s">
        <v>60</v>
      </c>
      <c r="P132" s="30" t="s">
        <v>61</v>
      </c>
      <c r="Q132" s="64" t="s">
        <v>50</v>
      </c>
      <c r="R132" s="36"/>
      <c r="S132" s="36"/>
      <c r="T132" s="36" t="s">
        <v>75</v>
      </c>
      <c r="U132" s="36"/>
      <c r="V132" s="36"/>
      <c r="W132" s="30" t="str">
        <f t="shared" si="14"/>
        <v>Fund Transfer: From YES MASTER 0264 to x0377 (Ref: ) (Type: Master 2 RERA) (BU: Casa Romana) (Head: Internal)</v>
      </c>
      <c r="X132" s="30"/>
      <c r="Y132" s="59"/>
      <c r="Z132" s="2"/>
      <c r="AA132" s="2"/>
      <c r="AB132" s="2"/>
      <c r="AC132" s="2"/>
    </row>
    <row r="133" ht="15.75" customHeight="1">
      <c r="A133" s="56">
        <v>104.0</v>
      </c>
      <c r="B133" s="56" t="str">
        <f t="shared" si="12"/>
        <v>#NAME?</v>
      </c>
      <c r="C133" s="56">
        <f t="shared" si="13"/>
        <v>6</v>
      </c>
      <c r="D133" s="66">
        <v>46178.0</v>
      </c>
      <c r="E133" s="66">
        <v>46178.0</v>
      </c>
      <c r="F133" s="45"/>
      <c r="G133" s="45" t="s">
        <v>789</v>
      </c>
      <c r="H133" s="61"/>
      <c r="I133" s="46"/>
      <c r="J133" s="46">
        <v>27000.0</v>
      </c>
      <c r="K133" s="46">
        <f t="shared" si="10"/>
        <v>1048081</v>
      </c>
      <c r="L133" s="62" t="s">
        <v>45</v>
      </c>
      <c r="M133" s="62" t="s">
        <v>94</v>
      </c>
      <c r="N133" s="63"/>
      <c r="O133" s="62" t="s">
        <v>60</v>
      </c>
      <c r="P133" s="30" t="s">
        <v>95</v>
      </c>
      <c r="Q133" s="64" t="s">
        <v>82</v>
      </c>
      <c r="R133" s="36"/>
      <c r="S133" s="36"/>
      <c r="T133" s="36" t="s">
        <v>738</v>
      </c>
      <c r="U133" s="36"/>
      <c r="V133" s="36" t="s">
        <v>358</v>
      </c>
      <c r="W133" s="30" t="str">
        <f t="shared" si="14"/>
        <v>Receipt: For (Apt#: N-052) (Ref: ) (IMPS: MOHINDER SINGH/XXX7409/RRN:615617721669/PUNJAB NATIONAL BANK) (Type: Customer Collection) (BU: Casa Romana)</v>
      </c>
      <c r="X133" s="30"/>
      <c r="Y133" s="59"/>
      <c r="Z133" s="2"/>
      <c r="AA133" s="2"/>
      <c r="AB133" s="2"/>
      <c r="AC133" s="2"/>
    </row>
    <row r="134" ht="15.75" customHeight="1">
      <c r="A134" s="56">
        <v>103.0</v>
      </c>
      <c r="B134" s="56" t="str">
        <f t="shared" si="12"/>
        <v>#NAME?</v>
      </c>
      <c r="C134" s="56">
        <f t="shared" si="13"/>
        <v>6</v>
      </c>
      <c r="D134" s="66">
        <v>46178.0</v>
      </c>
      <c r="E134" s="66">
        <v>46178.0</v>
      </c>
      <c r="F134" s="45"/>
      <c r="G134" s="45" t="s">
        <v>794</v>
      </c>
      <c r="H134" s="61"/>
      <c r="I134" s="46"/>
      <c r="J134" s="46">
        <v>260000.0</v>
      </c>
      <c r="K134" s="46">
        <f t="shared" si="10"/>
        <v>1021081</v>
      </c>
      <c r="L134" s="62" t="s">
        <v>45</v>
      </c>
      <c r="M134" s="62" t="s">
        <v>94</v>
      </c>
      <c r="N134" s="63"/>
      <c r="O134" s="62" t="s">
        <v>60</v>
      </c>
      <c r="P134" s="30" t="s">
        <v>95</v>
      </c>
      <c r="Q134" s="64" t="s">
        <v>82</v>
      </c>
      <c r="R134" s="36"/>
      <c r="S134" s="36"/>
      <c r="T134" s="36" t="s">
        <v>585</v>
      </c>
      <c r="U134" s="36"/>
      <c r="V134" s="36" t="s">
        <v>358</v>
      </c>
      <c r="W134" s="30" t="str">
        <f t="shared" si="14"/>
        <v>Receipt: For (Apt#: N-112) (Ref: ) (NEFT: DEVENDER KUMAR-Dwarkadhis Projects Pvt L-AXOMB15602129055) (Type: Customer Collection) (BU: Casa Romana)</v>
      </c>
      <c r="X134" s="30"/>
      <c r="Y134" s="59"/>
      <c r="Z134" s="2"/>
      <c r="AA134" s="2"/>
      <c r="AB134" s="2"/>
      <c r="AC134" s="2"/>
    </row>
    <row r="135" ht="15.75" customHeight="1">
      <c r="A135" s="56">
        <v>102.0</v>
      </c>
      <c r="B135" s="56" t="str">
        <f t="shared" si="12"/>
        <v>#NAME?</v>
      </c>
      <c r="C135" s="56">
        <f t="shared" si="13"/>
        <v>6</v>
      </c>
      <c r="D135" s="66">
        <v>46178.0</v>
      </c>
      <c r="E135" s="66">
        <v>46178.0</v>
      </c>
      <c r="F135" s="45"/>
      <c r="G135" s="45" t="s">
        <v>799</v>
      </c>
      <c r="H135" s="61" t="s">
        <v>800</v>
      </c>
      <c r="I135" s="46"/>
      <c r="J135" s="46">
        <v>35000.0</v>
      </c>
      <c r="K135" s="46">
        <f t="shared" si="10"/>
        <v>761081</v>
      </c>
      <c r="L135" s="62" t="s">
        <v>45</v>
      </c>
      <c r="M135" s="62" t="s">
        <v>94</v>
      </c>
      <c r="N135" s="63"/>
      <c r="O135" s="62" t="s">
        <v>60</v>
      </c>
      <c r="P135" s="30" t="s">
        <v>95</v>
      </c>
      <c r="Q135" s="64" t="s">
        <v>82</v>
      </c>
      <c r="R135" s="36"/>
      <c r="S135" s="36"/>
      <c r="T135" s="36" t="s">
        <v>802</v>
      </c>
      <c r="U135" s="36"/>
      <c r="V135" s="36" t="s">
        <v>358</v>
      </c>
      <c r="W135" s="30" t="str">
        <f t="shared" si="14"/>
        <v>Receipt: For (Apt#: M-124) (Ref: YES0N6156585527200) (NEFT: GAURAV KHANNA-Dwarkadhis Projects Pvt L-HDFCH01040961920) (Type: Customer Collection) (BU: Casa Romana)</v>
      </c>
      <c r="X135" s="30"/>
      <c r="Y135" s="59"/>
      <c r="Z135" s="2"/>
      <c r="AA135" s="2"/>
      <c r="AB135" s="2"/>
      <c r="AC135" s="2"/>
    </row>
    <row r="136" ht="15.75" customHeight="1">
      <c r="A136" s="56">
        <v>101.0</v>
      </c>
      <c r="B136" s="56" t="str">
        <f t="shared" si="12"/>
        <v>#NAME?</v>
      </c>
      <c r="C136" s="56">
        <f t="shared" si="13"/>
        <v>6</v>
      </c>
      <c r="D136" s="66">
        <v>46178.0</v>
      </c>
      <c r="E136" s="66">
        <v>46178.0</v>
      </c>
      <c r="F136" s="45"/>
      <c r="G136" s="45" t="s">
        <v>805</v>
      </c>
      <c r="H136" s="61" t="s">
        <v>806</v>
      </c>
      <c r="I136" s="46"/>
      <c r="J136" s="46">
        <v>47360.0</v>
      </c>
      <c r="K136" s="46">
        <f t="shared" si="10"/>
        <v>726081</v>
      </c>
      <c r="L136" s="62" t="s">
        <v>45</v>
      </c>
      <c r="M136" s="62" t="s">
        <v>94</v>
      </c>
      <c r="N136" s="63"/>
      <c r="O136" s="62" t="s">
        <v>60</v>
      </c>
      <c r="P136" s="30" t="s">
        <v>95</v>
      </c>
      <c r="Q136" s="64" t="s">
        <v>82</v>
      </c>
      <c r="R136" s="36"/>
      <c r="S136" s="36"/>
      <c r="T136" s="36" t="s">
        <v>531</v>
      </c>
      <c r="U136" s="36"/>
      <c r="V136" s="36" t="s">
        <v>358</v>
      </c>
      <c r="W136" s="30" t="str">
        <f t="shared" si="14"/>
        <v>Receipt: For (Apt#: M-096) (Ref: YBP6156563551362) (IMPS: Mr Jayant Raitani/XXX0348/RRN:615615045043/) (Type: Customer Collection) (BU: Casa Romana)</v>
      </c>
      <c r="X136" s="30"/>
      <c r="Y136" s="59"/>
      <c r="Z136" s="2"/>
      <c r="AA136" s="2"/>
      <c r="AB136" s="2"/>
      <c r="AC136" s="2"/>
    </row>
    <row r="137" ht="15.75" customHeight="1">
      <c r="A137" s="56">
        <v>100.0</v>
      </c>
      <c r="B137" s="56" t="str">
        <f t="shared" si="12"/>
        <v>#NAME?</v>
      </c>
      <c r="C137" s="56">
        <f t="shared" si="13"/>
        <v>6</v>
      </c>
      <c r="D137" s="66">
        <v>46178.0</v>
      </c>
      <c r="E137" s="66">
        <v>46178.0</v>
      </c>
      <c r="F137" s="45"/>
      <c r="G137" s="45" t="s">
        <v>810</v>
      </c>
      <c r="H137" s="61" t="s">
        <v>812</v>
      </c>
      <c r="I137" s="46"/>
      <c r="J137" s="46">
        <v>30000.0</v>
      </c>
      <c r="K137" s="46">
        <f t="shared" si="10"/>
        <v>678721</v>
      </c>
      <c r="L137" s="62" t="s">
        <v>45</v>
      </c>
      <c r="M137" s="62" t="s">
        <v>94</v>
      </c>
      <c r="N137" s="63"/>
      <c r="O137" s="62" t="s">
        <v>60</v>
      </c>
      <c r="P137" s="30" t="s">
        <v>95</v>
      </c>
      <c r="Q137" s="64" t="s">
        <v>82</v>
      </c>
      <c r="R137" s="36"/>
      <c r="S137" s="36"/>
      <c r="T137" s="36" t="s">
        <v>551</v>
      </c>
      <c r="U137" s="36"/>
      <c r="V137" s="36" t="s">
        <v>358</v>
      </c>
      <c r="W137" s="30" t="str">
        <f t="shared" si="14"/>
        <v>Receipt: For (Apt#: S-083) (Ref: YBP6156563322702) (IMPS: RENUYADAV/XXX2338/RRN:615612303793/) (Type: Customer Collection) (BU: Casa Romana)</v>
      </c>
      <c r="X137" s="30"/>
      <c r="Y137" s="59"/>
      <c r="Z137" s="2"/>
      <c r="AA137" s="2"/>
      <c r="AB137" s="2"/>
      <c r="AC137" s="2"/>
    </row>
    <row r="138" ht="15.75" customHeight="1">
      <c r="A138" s="56">
        <v>99.0</v>
      </c>
      <c r="B138" s="56" t="str">
        <f t="shared" si="12"/>
        <v>#NAME?</v>
      </c>
      <c r="C138" s="56">
        <f t="shared" si="13"/>
        <v>6</v>
      </c>
      <c r="D138" s="66">
        <v>46178.0</v>
      </c>
      <c r="E138" s="66">
        <v>46178.0</v>
      </c>
      <c r="F138" s="45"/>
      <c r="G138" s="45" t="s">
        <v>815</v>
      </c>
      <c r="H138" s="61" t="s">
        <v>816</v>
      </c>
      <c r="I138" s="46"/>
      <c r="J138" s="46">
        <v>50000.0</v>
      </c>
      <c r="K138" s="46">
        <f t="shared" si="10"/>
        <v>648721</v>
      </c>
      <c r="L138" s="62" t="s">
        <v>45</v>
      </c>
      <c r="M138" s="62" t="s">
        <v>94</v>
      </c>
      <c r="N138" s="63"/>
      <c r="O138" s="62" t="s">
        <v>60</v>
      </c>
      <c r="P138" s="30" t="s">
        <v>95</v>
      </c>
      <c r="Q138" s="64" t="s">
        <v>82</v>
      </c>
      <c r="R138" s="36"/>
      <c r="S138" s="36"/>
      <c r="T138" s="36" t="s">
        <v>596</v>
      </c>
      <c r="U138" s="36"/>
      <c r="V138" s="36" t="s">
        <v>485</v>
      </c>
      <c r="W138" s="30" t="str">
        <f t="shared" si="14"/>
        <v>Receipt: For (Apt#: M-007) (Ref: YBS6156634281144) ( UPI/287354718952/From:madaankanwalnain@ybl/To:045563200000264@YESB0000455.ifsc.npci/Payment from PhonePe) (Type: Customer Collection) (BU: Casa Romana)</v>
      </c>
      <c r="X138" s="68">
        <v>0.01</v>
      </c>
      <c r="Y138" s="59"/>
      <c r="Z138" s="2"/>
      <c r="AA138" s="2"/>
      <c r="AB138" s="2"/>
      <c r="AC138" s="2"/>
    </row>
    <row r="139" ht="15.75" customHeight="1">
      <c r="A139" s="56">
        <v>98.0</v>
      </c>
      <c r="B139" s="56" t="str">
        <f t="shared" si="12"/>
        <v>#NAME?</v>
      </c>
      <c r="C139" s="56">
        <f t="shared" si="13"/>
        <v>6</v>
      </c>
      <c r="D139" s="66">
        <v>46178.0</v>
      </c>
      <c r="E139" s="66">
        <v>46178.0</v>
      </c>
      <c r="F139" s="45"/>
      <c r="G139" s="45" t="s">
        <v>822</v>
      </c>
      <c r="H139" s="61" t="s">
        <v>823</v>
      </c>
      <c r="I139" s="46"/>
      <c r="J139" s="46">
        <v>45000.0</v>
      </c>
      <c r="K139" s="46">
        <f t="shared" si="10"/>
        <v>598721</v>
      </c>
      <c r="L139" s="62" t="s">
        <v>45</v>
      </c>
      <c r="M139" s="62" t="s">
        <v>94</v>
      </c>
      <c r="N139" s="63"/>
      <c r="O139" s="62" t="s">
        <v>60</v>
      </c>
      <c r="P139" s="30" t="s">
        <v>95</v>
      </c>
      <c r="Q139" s="64" t="s">
        <v>82</v>
      </c>
      <c r="R139" s="36"/>
      <c r="S139" s="36"/>
      <c r="T139" s="36" t="s">
        <v>222</v>
      </c>
      <c r="U139" s="36"/>
      <c r="V139" s="36" t="s">
        <v>358</v>
      </c>
      <c r="W139" s="30" t="str">
        <f t="shared" si="14"/>
        <v>Receipt: For (Apt#: U-092) (Ref: YES0N6156558875000) (NEFT: POONAM KAUR-DWARKADHIS PROJECTS PRIVA-IN12615640773855) (Type: Customer Collection) (BU: Casa Romana)</v>
      </c>
      <c r="X139" s="30"/>
      <c r="Y139" s="59"/>
      <c r="Z139" s="2"/>
      <c r="AA139" s="2"/>
      <c r="AB139" s="2"/>
      <c r="AC139" s="2"/>
    </row>
    <row r="140" ht="15.75" customHeight="1">
      <c r="A140" s="56">
        <v>97.0</v>
      </c>
      <c r="B140" s="56" t="str">
        <f t="shared" si="12"/>
        <v>#NAME?</v>
      </c>
      <c r="C140" s="56">
        <f t="shared" si="13"/>
        <v>6</v>
      </c>
      <c r="D140" s="66">
        <v>46177.0</v>
      </c>
      <c r="E140" s="66">
        <v>46177.0</v>
      </c>
      <c r="F140" s="45"/>
      <c r="G140" s="45" t="s">
        <v>828</v>
      </c>
      <c r="H140" s="61" t="s">
        <v>829</v>
      </c>
      <c r="I140" s="46"/>
      <c r="J140" s="46">
        <v>196415.0</v>
      </c>
      <c r="K140" s="46">
        <f t="shared" si="10"/>
        <v>553721</v>
      </c>
      <c r="L140" s="62" t="s">
        <v>45</v>
      </c>
      <c r="M140" s="62" t="s">
        <v>94</v>
      </c>
      <c r="N140" s="63"/>
      <c r="O140" s="62" t="s">
        <v>60</v>
      </c>
      <c r="P140" s="30" t="s">
        <v>95</v>
      </c>
      <c r="Q140" s="64" t="s">
        <v>82</v>
      </c>
      <c r="R140" s="36"/>
      <c r="S140" s="36"/>
      <c r="T140" s="36" t="s">
        <v>565</v>
      </c>
      <c r="U140" s="36"/>
      <c r="V140" s="36" t="s">
        <v>485</v>
      </c>
      <c r="W140" s="30" t="str">
        <f t="shared" si="14"/>
        <v>Receipt: For (Apt#: N-034) (Ref: YES0N6155482347200) (NEFT: RAJEEV SAINI-DWARKADHIS PROJECTS PRIVA-IN12615540653042) (Type: Customer Collection) (BU: Casa Romana)</v>
      </c>
      <c r="X140" s="68">
        <v>0.01</v>
      </c>
      <c r="Y140" s="59"/>
      <c r="Z140" s="2"/>
      <c r="AA140" s="2"/>
      <c r="AB140" s="2"/>
      <c r="AC140" s="2"/>
    </row>
    <row r="141" ht="15.75" customHeight="1">
      <c r="A141" s="56">
        <v>96.0</v>
      </c>
      <c r="B141" s="56" t="str">
        <f t="shared" si="12"/>
        <v>#NAME?</v>
      </c>
      <c r="C141" s="56">
        <f t="shared" si="13"/>
        <v>6</v>
      </c>
      <c r="D141" s="66">
        <v>46177.0</v>
      </c>
      <c r="E141" s="66">
        <v>46177.0</v>
      </c>
      <c r="F141" s="45"/>
      <c r="G141" s="45" t="s">
        <v>832</v>
      </c>
      <c r="H141" s="61" t="s">
        <v>833</v>
      </c>
      <c r="I141" s="46"/>
      <c r="J141" s="46">
        <v>229259.0</v>
      </c>
      <c r="K141" s="46">
        <f t="shared" si="10"/>
        <v>357306</v>
      </c>
      <c r="L141" s="62" t="s">
        <v>45</v>
      </c>
      <c r="M141" s="62" t="s">
        <v>94</v>
      </c>
      <c r="N141" s="63"/>
      <c r="O141" s="62" t="s">
        <v>60</v>
      </c>
      <c r="P141" s="30" t="s">
        <v>95</v>
      </c>
      <c r="Q141" s="64" t="s">
        <v>82</v>
      </c>
      <c r="R141" s="36"/>
      <c r="S141" s="36"/>
      <c r="T141" s="36" t="s">
        <v>835</v>
      </c>
      <c r="U141" s="36"/>
      <c r="V141" s="36" t="s">
        <v>485</v>
      </c>
      <c r="W141" s="30" t="str">
        <f t="shared" si="14"/>
        <v>Receipt: For (Apt#: L-082) (Ref: YES0R6155889413700) (RTGS: PAWAN KUMAR BHARDWAJ-DWARKADHIS CRIP-HDFCR52026060466789770) (Type: Customer Collection) (BU: Casa Romana)</v>
      </c>
      <c r="X141" s="65">
        <v>0.01</v>
      </c>
      <c r="Y141" s="59"/>
      <c r="Z141" s="2"/>
      <c r="AA141" s="2"/>
      <c r="AB141" s="2"/>
      <c r="AC141" s="2"/>
    </row>
    <row r="142" ht="15.75" hidden="1" customHeight="1">
      <c r="A142" s="56">
        <v>95.0</v>
      </c>
      <c r="B142" s="56" t="str">
        <f t="shared" si="12"/>
        <v>#NAME?</v>
      </c>
      <c r="C142" s="56">
        <f t="shared" si="13"/>
        <v>6</v>
      </c>
      <c r="D142" s="66">
        <v>46177.0</v>
      </c>
      <c r="E142" s="66">
        <v>46177.0</v>
      </c>
      <c r="F142" s="45"/>
      <c r="G142" s="45" t="s">
        <v>838</v>
      </c>
      <c r="H142" s="61" t="s">
        <v>839</v>
      </c>
      <c r="I142" s="46">
        <v>39623.1</v>
      </c>
      <c r="J142" s="46"/>
      <c r="K142" s="46">
        <f t="shared" si="10"/>
        <v>128047</v>
      </c>
      <c r="L142" s="62" t="s">
        <v>45</v>
      </c>
      <c r="M142" s="62" t="s">
        <v>47</v>
      </c>
      <c r="N142" s="63"/>
      <c r="O142" s="62" t="s">
        <v>60</v>
      </c>
      <c r="P142" s="30" t="s">
        <v>51</v>
      </c>
      <c r="Q142" s="64" t="s">
        <v>50</v>
      </c>
      <c r="R142" s="36"/>
      <c r="S142" s="36"/>
      <c r="T142" s="36" t="s">
        <v>75</v>
      </c>
      <c r="U142" s="36"/>
      <c r="V142" s="36"/>
      <c r="W142" s="30" t="str">
        <f t="shared" si="14"/>
        <v>Fund Transfer: From YES MASTER 0264 to xHTRA (Ref: YESME6155005250200) (Type: Master to Free) (BU: Casa Romana) (Head: Internal)</v>
      </c>
      <c r="X142" s="30"/>
      <c r="Y142" s="59"/>
      <c r="Z142" s="2"/>
      <c r="AA142" s="2"/>
      <c r="AB142" s="2"/>
      <c r="AC142" s="2"/>
    </row>
    <row r="143" ht="15.75" hidden="1" customHeight="1">
      <c r="A143" s="56">
        <v>94.0</v>
      </c>
      <c r="B143" s="56" t="str">
        <f t="shared" si="12"/>
        <v>#NAME?</v>
      </c>
      <c r="C143" s="56">
        <f t="shared" si="13"/>
        <v>6</v>
      </c>
      <c r="D143" s="66">
        <v>46177.0</v>
      </c>
      <c r="E143" s="66">
        <v>46177.0</v>
      </c>
      <c r="F143" s="45"/>
      <c r="G143" s="45" t="s">
        <v>783</v>
      </c>
      <c r="H143" s="61" t="s">
        <v>320</v>
      </c>
      <c r="I143" s="46">
        <v>92453.9</v>
      </c>
      <c r="J143" s="46"/>
      <c r="K143" s="46">
        <f t="shared" si="10"/>
        <v>167670.1</v>
      </c>
      <c r="L143" s="62" t="s">
        <v>45</v>
      </c>
      <c r="M143" s="62" t="s">
        <v>47</v>
      </c>
      <c r="N143" s="63"/>
      <c r="O143" s="62" t="s">
        <v>60</v>
      </c>
      <c r="P143" s="30" t="s">
        <v>61</v>
      </c>
      <c r="Q143" s="64" t="s">
        <v>50</v>
      </c>
      <c r="R143" s="36"/>
      <c r="S143" s="36"/>
      <c r="T143" s="36"/>
      <c r="U143" s="36"/>
      <c r="V143" s="36"/>
      <c r="W143" s="30" t="str">
        <f t="shared" si="14"/>
        <v>Fund Transfer: From YES MASTER 0264 to x0377 (Ref: YESME6155005150500) (Type: Master 2 RERA) (BU: Casa Romana) (Head: Internal)</v>
      </c>
      <c r="X143" s="30"/>
      <c r="Y143" s="59"/>
      <c r="Z143" s="2"/>
      <c r="AA143" s="2"/>
      <c r="AB143" s="2"/>
      <c r="AC143" s="2"/>
    </row>
    <row r="144" ht="15.75" customHeight="1">
      <c r="A144" s="56">
        <v>93.0</v>
      </c>
      <c r="B144" s="56" t="str">
        <f t="shared" si="12"/>
        <v>#NAME?</v>
      </c>
      <c r="C144" s="56">
        <f t="shared" si="13"/>
        <v>6</v>
      </c>
      <c r="D144" s="66">
        <v>46177.0</v>
      </c>
      <c r="E144" s="66">
        <v>46177.0</v>
      </c>
      <c r="F144" s="45"/>
      <c r="G144" s="45" t="s">
        <v>847</v>
      </c>
      <c r="H144" s="61" t="s">
        <v>848</v>
      </c>
      <c r="I144" s="46"/>
      <c r="J144" s="46">
        <v>35200.0</v>
      </c>
      <c r="K144" s="46">
        <f t="shared" si="10"/>
        <v>260124</v>
      </c>
      <c r="L144" s="62" t="s">
        <v>45</v>
      </c>
      <c r="M144" s="62" t="s">
        <v>94</v>
      </c>
      <c r="N144" s="63"/>
      <c r="O144" s="62" t="s">
        <v>60</v>
      </c>
      <c r="P144" s="30" t="s">
        <v>95</v>
      </c>
      <c r="Q144" s="64" t="s">
        <v>82</v>
      </c>
      <c r="R144" s="36"/>
      <c r="S144" s="36"/>
      <c r="T144" s="36" t="s">
        <v>272</v>
      </c>
      <c r="U144" s="36"/>
      <c r="V144" s="36" t="s">
        <v>485</v>
      </c>
      <c r="W144" s="30" t="str">
        <f t="shared" si="14"/>
        <v>Receipt: For (Apt#: M-118) (Ref: YES0N6155468736600) (NEFT: ARUNABH SINGH-Dwarkadhis Projects Priva-HDFCH01038491058) (Type: Customer Collection) (BU: Casa Romana)</v>
      </c>
      <c r="X144" s="65">
        <v>0.01</v>
      </c>
      <c r="Y144" s="59"/>
      <c r="Z144" s="2"/>
      <c r="AA144" s="2"/>
      <c r="AB144" s="2"/>
      <c r="AC144" s="2"/>
    </row>
    <row r="145" ht="15.75" customHeight="1">
      <c r="A145" s="56">
        <v>92.0</v>
      </c>
      <c r="B145" s="56" t="str">
        <f t="shared" si="12"/>
        <v>#NAME?</v>
      </c>
      <c r="C145" s="56">
        <f t="shared" si="13"/>
        <v>6</v>
      </c>
      <c r="D145" s="66">
        <v>46177.0</v>
      </c>
      <c r="E145" s="66">
        <v>46177.0</v>
      </c>
      <c r="F145" s="45"/>
      <c r="G145" s="45" t="s">
        <v>853</v>
      </c>
      <c r="H145" s="61" t="s">
        <v>854</v>
      </c>
      <c r="I145" s="46"/>
      <c r="J145" s="46">
        <v>63470.0</v>
      </c>
      <c r="K145" s="46">
        <f t="shared" si="10"/>
        <v>224924</v>
      </c>
      <c r="L145" s="62" t="s">
        <v>45</v>
      </c>
      <c r="M145" s="62" t="s">
        <v>94</v>
      </c>
      <c r="N145" s="63"/>
      <c r="O145" s="62" t="s">
        <v>60</v>
      </c>
      <c r="P145" s="30" t="s">
        <v>95</v>
      </c>
      <c r="Q145" s="64" t="s">
        <v>82</v>
      </c>
      <c r="R145" s="36"/>
      <c r="S145" s="36"/>
      <c r="T145" s="36" t="s">
        <v>272</v>
      </c>
      <c r="U145" s="36"/>
      <c r="V145" s="36" t="s">
        <v>485</v>
      </c>
      <c r="W145" s="30" t="str">
        <f t="shared" si="14"/>
        <v>Receipt: For (Apt#: M-118) (Ref: YES0N6155468653300) (NEFT: ARUNABH SINGH-Dwarkadhis Projects Priva-HDFCH01038483421) (Type: Customer Collection) (BU: Casa Romana)</v>
      </c>
      <c r="X145" s="65">
        <v>0.01</v>
      </c>
      <c r="Y145" s="59"/>
      <c r="Z145" s="2"/>
      <c r="AA145" s="2"/>
      <c r="AB145" s="2"/>
      <c r="AC145" s="2"/>
    </row>
    <row r="146" ht="15.75" customHeight="1">
      <c r="A146" s="56">
        <v>91.0</v>
      </c>
      <c r="B146" s="56" t="str">
        <f t="shared" si="12"/>
        <v>#NAME?</v>
      </c>
      <c r="C146" s="56">
        <f t="shared" si="13"/>
        <v>6</v>
      </c>
      <c r="D146" s="66">
        <v>46177.0</v>
      </c>
      <c r="E146" s="66">
        <v>46177.0</v>
      </c>
      <c r="F146" s="45"/>
      <c r="G146" s="45" t="s">
        <v>860</v>
      </c>
      <c r="H146" s="61" t="s">
        <v>861</v>
      </c>
      <c r="I146" s="46"/>
      <c r="J146" s="46">
        <v>25000.0</v>
      </c>
      <c r="K146" s="46">
        <f t="shared" si="10"/>
        <v>161454</v>
      </c>
      <c r="L146" s="62" t="s">
        <v>45</v>
      </c>
      <c r="M146" s="62" t="s">
        <v>94</v>
      </c>
      <c r="N146" s="63"/>
      <c r="O146" s="62" t="s">
        <v>60</v>
      </c>
      <c r="P146" s="30" t="s">
        <v>95</v>
      </c>
      <c r="Q146" s="64" t="s">
        <v>82</v>
      </c>
      <c r="R146" s="36"/>
      <c r="S146" s="36"/>
      <c r="T146" s="36" t="s">
        <v>265</v>
      </c>
      <c r="U146" s="36"/>
      <c r="V146" s="36" t="s">
        <v>485</v>
      </c>
      <c r="W146" s="30" t="str">
        <f t="shared" si="14"/>
        <v>Receipt: For (Apt#: N-104) (Ref: YBP6155561667380) (IMPS: ANJANJEET SINGH DHAL/XXX5487/RRN:615510918595/ICICI BANK LIMITED) (Type: Customer Collection) (BU: Casa Romana)</v>
      </c>
      <c r="X146" s="68">
        <v>0.01</v>
      </c>
      <c r="Y146" s="59"/>
      <c r="Z146" s="2"/>
      <c r="AA146" s="2"/>
      <c r="AB146" s="2"/>
      <c r="AC146" s="2"/>
    </row>
    <row r="147" ht="15.75" customHeight="1">
      <c r="A147" s="56">
        <v>90.0</v>
      </c>
      <c r="B147" s="56" t="str">
        <f t="shared" si="12"/>
        <v>#NAME?</v>
      </c>
      <c r="C147" s="56">
        <f t="shared" si="13"/>
        <v>6</v>
      </c>
      <c r="D147" s="66">
        <v>46177.0</v>
      </c>
      <c r="E147" s="66">
        <v>46177.0</v>
      </c>
      <c r="F147" s="45"/>
      <c r="G147" s="45" t="s">
        <v>868</v>
      </c>
      <c r="H147" s="61" t="s">
        <v>869</v>
      </c>
      <c r="I147" s="46"/>
      <c r="J147" s="46">
        <v>53300.0</v>
      </c>
      <c r="K147" s="46">
        <f t="shared" si="10"/>
        <v>136454</v>
      </c>
      <c r="L147" s="62" t="s">
        <v>45</v>
      </c>
      <c r="M147" s="62" t="s">
        <v>94</v>
      </c>
      <c r="N147" s="63"/>
      <c r="O147" s="62" t="s">
        <v>60</v>
      </c>
      <c r="P147" s="30" t="s">
        <v>95</v>
      </c>
      <c r="Q147" s="64" t="s">
        <v>82</v>
      </c>
      <c r="R147" s="36"/>
      <c r="S147" s="36"/>
      <c r="T147" s="36" t="s">
        <v>561</v>
      </c>
      <c r="U147" s="36"/>
      <c r="V147" s="36" t="s">
        <v>485</v>
      </c>
      <c r="W147" s="30" t="str">
        <f t="shared" si="14"/>
        <v>Receipt: For (Apt#: L-074) (Ref: YES0N6155432302700) (NEFT: Avnish Singh-DWARKADHIS PROJECTS PRIVA-SBIN426155403145) (Type: Customer Collection) (BU: Casa Romana)</v>
      </c>
      <c r="X147" s="68">
        <v>0.05</v>
      </c>
      <c r="Y147" s="59"/>
      <c r="Z147" s="2"/>
      <c r="AA147" s="2"/>
      <c r="AB147" s="2"/>
      <c r="AC147" s="2"/>
    </row>
    <row r="148" ht="15.75" customHeight="1">
      <c r="A148" s="56">
        <v>89.0</v>
      </c>
      <c r="B148" s="56" t="str">
        <f t="shared" si="12"/>
        <v>#NAME?</v>
      </c>
      <c r="C148" s="56">
        <f t="shared" si="13"/>
        <v>6</v>
      </c>
      <c r="D148" s="66">
        <v>46176.0</v>
      </c>
      <c r="E148" s="66">
        <v>46176.0</v>
      </c>
      <c r="F148" s="45"/>
      <c r="G148" s="45" t="s">
        <v>874</v>
      </c>
      <c r="H148" s="61" t="s">
        <v>875</v>
      </c>
      <c r="I148" s="46"/>
      <c r="J148" s="46">
        <v>53777.0</v>
      </c>
      <c r="K148" s="46">
        <f t="shared" si="10"/>
        <v>83154</v>
      </c>
      <c r="L148" s="62" t="s">
        <v>45</v>
      </c>
      <c r="M148" s="62" t="s">
        <v>94</v>
      </c>
      <c r="N148" s="63"/>
      <c r="O148" s="62" t="s">
        <v>60</v>
      </c>
      <c r="P148" s="30" t="s">
        <v>95</v>
      </c>
      <c r="Q148" s="64" t="s">
        <v>82</v>
      </c>
      <c r="R148" s="36"/>
      <c r="S148" s="36"/>
      <c r="T148" s="36" t="s">
        <v>661</v>
      </c>
      <c r="U148" s="36"/>
      <c r="V148" s="36" t="s">
        <v>358</v>
      </c>
      <c r="W148" s="30" t="str">
        <f t="shared" si="14"/>
        <v>Receipt: For (Apt#: M-12A2) (Ref: YBP6154523454739) (IMPS: ABHIJIT SHARMA/XXX2427/RRN:615423454739/ICICI BANK LIMITED) (Type: Customer Collection) (BU: Casa Romana)</v>
      </c>
      <c r="X148" s="30"/>
      <c r="Y148" s="59"/>
      <c r="Z148" s="2"/>
      <c r="AA148" s="2"/>
      <c r="AB148" s="2"/>
      <c r="AC148" s="2"/>
    </row>
    <row r="149" ht="15.75" hidden="1" customHeight="1">
      <c r="A149" s="56">
        <v>88.0</v>
      </c>
      <c r="B149" s="56" t="str">
        <f t="shared" si="12"/>
        <v>#NAME?</v>
      </c>
      <c r="C149" s="56">
        <f t="shared" si="13"/>
        <v>6</v>
      </c>
      <c r="D149" s="66">
        <v>46175.0</v>
      </c>
      <c r="E149" s="66">
        <v>46175.0</v>
      </c>
      <c r="F149" s="45"/>
      <c r="G149" s="45" t="s">
        <v>783</v>
      </c>
      <c r="H149" s="61" t="s">
        <v>325</v>
      </c>
      <c r="I149" s="46">
        <v>219324.7</v>
      </c>
      <c r="J149" s="46"/>
      <c r="K149" s="46">
        <f t="shared" si="10"/>
        <v>29377</v>
      </c>
      <c r="L149" s="62" t="s">
        <v>45</v>
      </c>
      <c r="M149" s="62" t="s">
        <v>47</v>
      </c>
      <c r="N149" s="63"/>
      <c r="O149" s="62" t="s">
        <v>60</v>
      </c>
      <c r="P149" s="30" t="s">
        <v>61</v>
      </c>
      <c r="Q149" s="64" t="s">
        <v>50</v>
      </c>
      <c r="R149" s="36"/>
      <c r="S149" s="36"/>
      <c r="T149" s="36"/>
      <c r="U149" s="36"/>
      <c r="V149" s="36"/>
      <c r="W149" s="30" t="str">
        <f t="shared" si="14"/>
        <v>Fund Transfer: From YES MASTER 0264 to x0377 (Ref: YESME6153004400900) (Type: Master 2 RERA) (BU: Casa Romana) (Head: Internal)</v>
      </c>
      <c r="X149" s="30"/>
      <c r="Y149" s="59"/>
      <c r="Z149" s="2"/>
      <c r="AA149" s="2"/>
      <c r="AB149" s="2"/>
      <c r="AC149" s="2"/>
    </row>
    <row r="150" ht="15.75" hidden="1" customHeight="1">
      <c r="A150" s="56">
        <v>87.0</v>
      </c>
      <c r="B150" s="56" t="str">
        <f t="shared" si="12"/>
        <v>#NAME?</v>
      </c>
      <c r="C150" s="56">
        <f t="shared" si="13"/>
        <v>6</v>
      </c>
      <c r="D150" s="66">
        <v>46175.0</v>
      </c>
      <c r="E150" s="66">
        <v>46175.0</v>
      </c>
      <c r="F150" s="45"/>
      <c r="G150" s="45" t="s">
        <v>885</v>
      </c>
      <c r="H150" s="61" t="s">
        <v>886</v>
      </c>
      <c r="I150" s="46">
        <v>93996.3</v>
      </c>
      <c r="J150" s="46"/>
      <c r="K150" s="46">
        <f t="shared" si="10"/>
        <v>248701.7</v>
      </c>
      <c r="L150" s="62" t="s">
        <v>45</v>
      </c>
      <c r="M150" s="62" t="s">
        <v>47</v>
      </c>
      <c r="N150" s="63"/>
      <c r="O150" s="62" t="s">
        <v>60</v>
      </c>
      <c r="P150" s="30" t="s">
        <v>51</v>
      </c>
      <c r="Q150" s="64" t="s">
        <v>50</v>
      </c>
      <c r="R150" s="36"/>
      <c r="S150" s="36"/>
      <c r="T150" s="36"/>
      <c r="U150" s="36"/>
      <c r="V150" s="36"/>
      <c r="W150" s="30" t="str">
        <f t="shared" si="14"/>
        <v>Fund Transfer: From YES MASTER 0264 to xHTRA (Ref: YESME6153004275500) (Type: Master to Free) (BU: Casa Romana) (Head: Internal)</v>
      </c>
      <c r="X150" s="30"/>
      <c r="Y150" s="59"/>
      <c r="Z150" s="2"/>
      <c r="AA150" s="2"/>
      <c r="AB150" s="2"/>
      <c r="AC150" s="2"/>
    </row>
    <row r="151" ht="15.75" customHeight="1">
      <c r="A151" s="56">
        <v>86.0</v>
      </c>
      <c r="B151" s="56" t="str">
        <f t="shared" si="12"/>
        <v>#NAME?</v>
      </c>
      <c r="C151" s="56">
        <f t="shared" si="13"/>
        <v>6</v>
      </c>
      <c r="D151" s="66">
        <v>46174.0</v>
      </c>
      <c r="E151" s="66">
        <v>46174.0</v>
      </c>
      <c r="F151" s="45"/>
      <c r="G151" s="45" t="s">
        <v>889</v>
      </c>
      <c r="H151" s="61" t="s">
        <v>890</v>
      </c>
      <c r="I151" s="46"/>
      <c r="J151" s="46">
        <v>145057.0</v>
      </c>
      <c r="K151" s="46">
        <f t="shared" si="10"/>
        <v>342698</v>
      </c>
      <c r="L151" s="62" t="s">
        <v>45</v>
      </c>
      <c r="M151" s="62" t="s">
        <v>94</v>
      </c>
      <c r="N151" s="63"/>
      <c r="O151" s="62" t="s">
        <v>60</v>
      </c>
      <c r="P151" s="30" t="s">
        <v>95</v>
      </c>
      <c r="Q151" s="64" t="s">
        <v>82</v>
      </c>
      <c r="R151" s="36"/>
      <c r="S151" s="36"/>
      <c r="T151" s="36" t="s">
        <v>288</v>
      </c>
      <c r="U151" s="36"/>
      <c r="V151" s="36" t="s">
        <v>98</v>
      </c>
      <c r="W151" s="30" t="str">
        <f t="shared" si="14"/>
        <v>Receipt: For (Apt#: R-052) (Ref: YBP6152557524467) (IMPS: Mrs BHAVNA MAHIPAL/XXX6701/RRN:615211209650/) (Type: Customer Collection) (BU: Casa Romana)</v>
      </c>
      <c r="X151" s="30"/>
      <c r="Y151" s="59"/>
      <c r="Z151" s="2"/>
      <c r="AA151" s="2"/>
      <c r="AB151" s="2"/>
      <c r="AC151" s="2"/>
    </row>
    <row r="152" ht="15.75" customHeight="1">
      <c r="A152" s="56">
        <v>85.0</v>
      </c>
      <c r="B152" s="56" t="str">
        <f t="shared" si="12"/>
        <v>#NAME?</v>
      </c>
      <c r="C152" s="56">
        <f t="shared" si="13"/>
        <v>6</v>
      </c>
      <c r="D152" s="66">
        <v>46174.0</v>
      </c>
      <c r="E152" s="66">
        <v>46174.0</v>
      </c>
      <c r="F152" s="45"/>
      <c r="G152" s="45" t="s">
        <v>895</v>
      </c>
      <c r="H152" s="61" t="s">
        <v>896</v>
      </c>
      <c r="I152" s="46"/>
      <c r="J152" s="46">
        <v>68264.0</v>
      </c>
      <c r="K152" s="71">
        <f t="shared" si="10"/>
        <v>197641</v>
      </c>
      <c r="L152" s="62" t="s">
        <v>45</v>
      </c>
      <c r="M152" s="62" t="s">
        <v>94</v>
      </c>
      <c r="N152" s="63"/>
      <c r="O152" s="62" t="s">
        <v>60</v>
      </c>
      <c r="P152" s="30" t="s">
        <v>95</v>
      </c>
      <c r="Q152" s="64" t="s">
        <v>82</v>
      </c>
      <c r="R152" s="36"/>
      <c r="S152" s="36"/>
      <c r="T152" s="36" t="s">
        <v>311</v>
      </c>
      <c r="U152" s="36"/>
      <c r="V152" s="36" t="s">
        <v>98</v>
      </c>
      <c r="W152" s="30" t="str">
        <f t="shared" si="14"/>
        <v>Receipt: For (Apt#: R-123) (Ref: YES0N6152057122600) (NEFT: ANKIT NAHAR-DWARKADHIS PROJECTS PRIVA-AXOMB15202026320) (Type: Customer Collection) (BU: Casa Romana)</v>
      </c>
      <c r="X152" s="30"/>
      <c r="Y152" s="59"/>
      <c r="Z152" s="2"/>
      <c r="AA152" s="2"/>
      <c r="AB152" s="2"/>
      <c r="AC152" s="2"/>
    </row>
    <row r="153" ht="15.75" customHeight="1">
      <c r="A153" s="56">
        <v>84.0</v>
      </c>
      <c r="B153" s="56" t="str">
        <f t="shared" si="12"/>
        <v>#NAME?</v>
      </c>
      <c r="C153" s="56">
        <f t="shared" si="13"/>
        <v>5</v>
      </c>
      <c r="D153" s="66">
        <v>46173.0</v>
      </c>
      <c r="E153" s="66">
        <v>46173.0</v>
      </c>
      <c r="F153" s="45"/>
      <c r="G153" s="45" t="s">
        <v>902</v>
      </c>
      <c r="H153" s="61" t="s">
        <v>903</v>
      </c>
      <c r="I153" s="46"/>
      <c r="J153" s="46">
        <v>100000.0</v>
      </c>
      <c r="K153" s="71">
        <f t="shared" si="10"/>
        <v>129377</v>
      </c>
      <c r="L153" s="62" t="s">
        <v>45</v>
      </c>
      <c r="M153" s="62" t="s">
        <v>94</v>
      </c>
      <c r="N153" s="63"/>
      <c r="O153" s="62" t="s">
        <v>60</v>
      </c>
      <c r="P153" s="30" t="s">
        <v>95</v>
      </c>
      <c r="Q153" s="64" t="s">
        <v>82</v>
      </c>
      <c r="R153" s="36"/>
      <c r="S153" s="36"/>
      <c r="T153" s="36" t="s">
        <v>296</v>
      </c>
      <c r="U153" s="36"/>
      <c r="V153" s="36" t="s">
        <v>98</v>
      </c>
      <c r="W153" s="30" t="str">
        <f t="shared" si="14"/>
        <v>Receipt: For (Apt#: P-022) (Ref: YES0N6151) (NEFT: VIJAY YADAV-Dwarkadhis projects pvt l-HDFCH01027911443) (Type: Customer Collection) (BU: Casa Romana)</v>
      </c>
      <c r="X153" s="30"/>
      <c r="Y153" s="59"/>
      <c r="Z153" s="2"/>
      <c r="AA153" s="2"/>
      <c r="AB153" s="2"/>
      <c r="AC153" s="2"/>
    </row>
    <row r="154" ht="15.75" hidden="1" customHeight="1">
      <c r="A154" s="56">
        <v>83.0</v>
      </c>
      <c r="B154" s="56" t="str">
        <f t="shared" si="12"/>
        <v>#NAME?</v>
      </c>
      <c r="C154" s="56">
        <f t="shared" si="13"/>
        <v>5</v>
      </c>
      <c r="D154" s="66">
        <v>46171.0</v>
      </c>
      <c r="E154" s="66">
        <v>46171.0</v>
      </c>
      <c r="F154" s="45"/>
      <c r="G154" s="45" t="s">
        <v>908</v>
      </c>
      <c r="H154" s="61" t="s">
        <v>909</v>
      </c>
      <c r="I154" s="46">
        <v>15612.0</v>
      </c>
      <c r="J154" s="46"/>
      <c r="K154" s="71">
        <f t="shared" si="10"/>
        <v>29377</v>
      </c>
      <c r="L154" s="62" t="s">
        <v>45</v>
      </c>
      <c r="M154" s="62" t="s">
        <v>47</v>
      </c>
      <c r="N154" s="63"/>
      <c r="O154" s="62" t="s">
        <v>60</v>
      </c>
      <c r="P154" s="30" t="s">
        <v>51</v>
      </c>
      <c r="Q154" s="64" t="s">
        <v>50</v>
      </c>
      <c r="R154" s="36"/>
      <c r="S154" s="36"/>
      <c r="T154" s="36"/>
      <c r="U154" s="36"/>
      <c r="V154" s="36"/>
      <c r="W154" s="30" t="str">
        <f t="shared" si="14"/>
        <v>Fund Transfer: From YES MASTER 0264 to xHTRA (Ref: YESME6149006119000) (Type: Master to Free) (BU: Casa Romana) (Head: Internal)</v>
      </c>
      <c r="X154" s="30"/>
      <c r="Y154" s="59"/>
      <c r="Z154" s="2"/>
      <c r="AA154" s="2"/>
      <c r="AB154" s="2"/>
      <c r="AC154" s="2"/>
    </row>
    <row r="155" ht="15.75" hidden="1" customHeight="1">
      <c r="A155" s="56">
        <v>82.0</v>
      </c>
      <c r="B155" s="56" t="str">
        <f t="shared" si="12"/>
        <v>#NAME?</v>
      </c>
      <c r="C155" s="56">
        <f t="shared" si="13"/>
        <v>5</v>
      </c>
      <c r="D155" s="66">
        <v>46171.0</v>
      </c>
      <c r="E155" s="66">
        <v>46171.0</v>
      </c>
      <c r="F155" s="45"/>
      <c r="G155" s="45" t="s">
        <v>783</v>
      </c>
      <c r="H155" s="61" t="s">
        <v>339</v>
      </c>
      <c r="I155" s="46">
        <v>36428.0</v>
      </c>
      <c r="J155" s="46"/>
      <c r="K155" s="71">
        <f t="shared" si="10"/>
        <v>44989</v>
      </c>
      <c r="L155" s="62" t="s">
        <v>45</v>
      </c>
      <c r="M155" s="62" t="s">
        <v>47</v>
      </c>
      <c r="N155" s="63"/>
      <c r="O155" s="62" t="s">
        <v>60</v>
      </c>
      <c r="P155" s="30" t="s">
        <v>61</v>
      </c>
      <c r="Q155" s="64" t="s">
        <v>50</v>
      </c>
      <c r="R155" s="36"/>
      <c r="S155" s="36"/>
      <c r="T155" s="36"/>
      <c r="U155" s="36"/>
      <c r="V155" s="36"/>
      <c r="W155" s="30" t="str">
        <f t="shared" si="14"/>
        <v>Fund Transfer: From YES MASTER 0264 to x0377 (Ref: YESME6149006118900) (Type: Master 2 RERA) (BU: Casa Romana) (Head: Internal)</v>
      </c>
      <c r="X155" s="30"/>
      <c r="Y155" s="59"/>
      <c r="Z155" s="2"/>
      <c r="AA155" s="2"/>
      <c r="AB155" s="2"/>
      <c r="AC155" s="2"/>
    </row>
    <row r="156" ht="15.75" customHeight="1">
      <c r="A156" s="56">
        <v>81.0</v>
      </c>
      <c r="B156" s="56" t="str">
        <f t="shared" si="12"/>
        <v>#NAME?</v>
      </c>
      <c r="C156" s="56">
        <f t="shared" si="13"/>
        <v>5</v>
      </c>
      <c r="D156" s="66">
        <v>46170.0</v>
      </c>
      <c r="E156" s="66">
        <v>46170.0</v>
      </c>
      <c r="F156" s="45"/>
      <c r="G156" s="45" t="s">
        <v>917</v>
      </c>
      <c r="H156" s="61" t="s">
        <v>918</v>
      </c>
      <c r="I156" s="46"/>
      <c r="J156" s="46">
        <v>52040.0</v>
      </c>
      <c r="K156" s="71">
        <f t="shared" si="10"/>
        <v>81417</v>
      </c>
      <c r="L156" s="62" t="s">
        <v>45</v>
      </c>
      <c r="M156" s="62" t="s">
        <v>94</v>
      </c>
      <c r="N156" s="63"/>
      <c r="O156" s="62" t="s">
        <v>60</v>
      </c>
      <c r="P156" s="30" t="s">
        <v>95</v>
      </c>
      <c r="Q156" s="64" t="s">
        <v>82</v>
      </c>
      <c r="R156" s="36"/>
      <c r="S156" s="36"/>
      <c r="T156" s="36" t="s">
        <v>921</v>
      </c>
      <c r="U156" s="36"/>
      <c r="V156" s="36" t="s">
        <v>485</v>
      </c>
      <c r="W156" s="30" t="str">
        <f t="shared" si="14"/>
        <v>Receipt: For (Apt#: L-023) (Ref: YBP6148552004871) (IMPS: RISHI BHATIA/XXX8877/RRN:614807892809/ICICI BANK LIMITED) (Type: Customer Collection) (BU: Casa Romana)</v>
      </c>
      <c r="X156" s="68">
        <v>0.01</v>
      </c>
      <c r="Y156" s="59"/>
      <c r="Z156" s="2"/>
      <c r="AA156" s="2"/>
      <c r="AB156" s="2"/>
      <c r="AC156" s="2"/>
    </row>
    <row r="157" ht="15.75" hidden="1" customHeight="1">
      <c r="A157" s="56">
        <v>80.0</v>
      </c>
      <c r="B157" s="56" t="str">
        <f t="shared" si="12"/>
        <v>#NAME?</v>
      </c>
      <c r="C157" s="56">
        <f t="shared" si="13"/>
        <v>5</v>
      </c>
      <c r="D157" s="66">
        <v>46169.0</v>
      </c>
      <c r="E157" s="66">
        <v>46169.0</v>
      </c>
      <c r="F157" s="45"/>
      <c r="G157" s="45" t="s">
        <v>924</v>
      </c>
      <c r="H157" s="61" t="s">
        <v>925</v>
      </c>
      <c r="I157" s="46">
        <v>15612.0</v>
      </c>
      <c r="J157" s="46"/>
      <c r="K157" s="71">
        <f t="shared" si="10"/>
        <v>29377</v>
      </c>
      <c r="L157" s="62" t="s">
        <v>45</v>
      </c>
      <c r="M157" s="62" t="s">
        <v>47</v>
      </c>
      <c r="N157" s="63"/>
      <c r="O157" s="62" t="s">
        <v>60</v>
      </c>
      <c r="P157" s="30" t="s">
        <v>51</v>
      </c>
      <c r="Q157" s="64" t="s">
        <v>50</v>
      </c>
      <c r="R157" s="36"/>
      <c r="S157" s="36"/>
      <c r="T157" s="36"/>
      <c r="U157" s="36"/>
      <c r="V157" s="36"/>
      <c r="W157" s="30" t="str">
        <f t="shared" si="14"/>
        <v>Fund Transfer: From YES MASTER 0264 to xHTRA (Ref: YESME6147006265800) (Type: Master to Free) (BU: Casa Romana) (Head: Internal)</v>
      </c>
      <c r="X157" s="30"/>
      <c r="Y157" s="59"/>
      <c r="Z157" s="2"/>
      <c r="AA157" s="2"/>
      <c r="AB157" s="2"/>
      <c r="AC157" s="2"/>
    </row>
    <row r="158" ht="15.75" hidden="1" customHeight="1">
      <c r="A158" s="56">
        <v>79.0</v>
      </c>
      <c r="B158" s="56" t="str">
        <f t="shared" si="12"/>
        <v>#NAME?</v>
      </c>
      <c r="C158" s="56">
        <f t="shared" si="13"/>
        <v>5</v>
      </c>
      <c r="D158" s="66">
        <v>46169.0</v>
      </c>
      <c r="E158" s="66">
        <v>46169.0</v>
      </c>
      <c r="F158" s="45"/>
      <c r="G158" s="45" t="s">
        <v>783</v>
      </c>
      <c r="H158" s="61" t="s">
        <v>345</v>
      </c>
      <c r="I158" s="46">
        <v>36428.0</v>
      </c>
      <c r="J158" s="46"/>
      <c r="K158" s="71">
        <f t="shared" si="10"/>
        <v>44989</v>
      </c>
      <c r="L158" s="62" t="s">
        <v>45</v>
      </c>
      <c r="M158" s="62" t="s">
        <v>47</v>
      </c>
      <c r="N158" s="63"/>
      <c r="O158" s="62" t="s">
        <v>60</v>
      </c>
      <c r="P158" s="30" t="s">
        <v>61</v>
      </c>
      <c r="Q158" s="64" t="s">
        <v>50</v>
      </c>
      <c r="R158" s="36"/>
      <c r="S158" s="36"/>
      <c r="T158" s="36"/>
      <c r="U158" s="36"/>
      <c r="V158" s="36"/>
      <c r="W158" s="30" t="str">
        <f t="shared" si="14"/>
        <v>Fund Transfer: From YES MASTER 0264 to x0377 (Ref: YESME6147006265700) (Type: Master 2 RERA) (BU: Casa Romana) (Head: Internal)</v>
      </c>
      <c r="X158" s="30"/>
      <c r="Y158" s="59"/>
      <c r="Z158" s="2"/>
      <c r="AA158" s="2"/>
      <c r="AB158" s="2"/>
      <c r="AC158" s="2"/>
    </row>
    <row r="159" ht="15.75" customHeight="1">
      <c r="A159" s="56">
        <v>78.0</v>
      </c>
      <c r="B159" s="56" t="str">
        <f t="shared" si="12"/>
        <v>#NAME?</v>
      </c>
      <c r="C159" s="56">
        <f t="shared" si="13"/>
        <v>5</v>
      </c>
      <c r="D159" s="66">
        <v>46168.0</v>
      </c>
      <c r="E159" s="66">
        <v>46168.0</v>
      </c>
      <c r="F159" s="45"/>
      <c r="G159" s="45" t="s">
        <v>935</v>
      </c>
      <c r="H159" s="61" t="s">
        <v>936</v>
      </c>
      <c r="I159" s="46"/>
      <c r="J159" s="46">
        <v>52040.0</v>
      </c>
      <c r="K159" s="71">
        <f t="shared" si="10"/>
        <v>81417</v>
      </c>
      <c r="L159" s="62" t="s">
        <v>45</v>
      </c>
      <c r="M159" s="62" t="s">
        <v>94</v>
      </c>
      <c r="N159" s="63"/>
      <c r="O159" s="62" t="s">
        <v>60</v>
      </c>
      <c r="P159" s="30" t="s">
        <v>95</v>
      </c>
      <c r="Q159" s="64" t="s">
        <v>82</v>
      </c>
      <c r="R159" s="36"/>
      <c r="S159" s="36"/>
      <c r="T159" s="36" t="s">
        <v>921</v>
      </c>
      <c r="U159" s="36"/>
      <c r="V159" s="36" t="s">
        <v>485</v>
      </c>
      <c r="W159" s="30" t="str">
        <f t="shared" si="14"/>
        <v>Receipt: For (Apt#: L-023) (Ref: YBP6146550391073) (IMPS: RISHI BHATIA/XXX8877/RRN:614623837550/ICICI BANK LIMITED) (Type: Customer Collection) (BU: Casa Romana)</v>
      </c>
      <c r="X159" s="68">
        <v>0.01</v>
      </c>
      <c r="Y159" s="59"/>
      <c r="Z159" s="2"/>
      <c r="AA159" s="2"/>
      <c r="AB159" s="2"/>
      <c r="AC159" s="2"/>
    </row>
    <row r="160" ht="15.75" hidden="1" customHeight="1">
      <c r="A160" s="56">
        <v>77.0</v>
      </c>
      <c r="B160" s="56" t="str">
        <f t="shared" si="12"/>
        <v>#NAME?</v>
      </c>
      <c r="C160" s="56">
        <f t="shared" si="13"/>
        <v>5</v>
      </c>
      <c r="D160" s="66">
        <v>46168.0</v>
      </c>
      <c r="E160" s="66">
        <v>46168.0</v>
      </c>
      <c r="F160" s="45"/>
      <c r="G160" s="45" t="s">
        <v>941</v>
      </c>
      <c r="H160" s="61" t="s">
        <v>942</v>
      </c>
      <c r="I160" s="46">
        <v>125.0</v>
      </c>
      <c r="J160" s="46"/>
      <c r="K160" s="71">
        <f t="shared" si="10"/>
        <v>29377</v>
      </c>
      <c r="L160" s="62" t="s">
        <v>45</v>
      </c>
      <c r="M160" s="62" t="s">
        <v>328</v>
      </c>
      <c r="N160" s="63"/>
      <c r="O160" s="62" t="s">
        <v>60</v>
      </c>
      <c r="P160" s="30" t="s">
        <v>43</v>
      </c>
      <c r="Q160" s="64" t="s">
        <v>329</v>
      </c>
      <c r="R160" s="36"/>
      <c r="S160" s="36"/>
      <c r="T160" s="36"/>
      <c r="U160" s="36"/>
      <c r="V160" s="36"/>
      <c r="W160" s="30" t="str">
        <f t="shared" si="14"/>
        <v>Payment: Disbursement for (Ref: SCREF01283548931) (Type: HO - Admin) (BU: Casa Romana) (Head: Bank Charges)</v>
      </c>
      <c r="X160" s="30"/>
      <c r="Y160" s="59"/>
      <c r="Z160" s="2"/>
      <c r="AA160" s="2"/>
      <c r="AB160" s="2"/>
      <c r="AC160" s="2"/>
    </row>
    <row r="161" ht="15.75" hidden="1" customHeight="1">
      <c r="A161" s="56">
        <v>76.0</v>
      </c>
      <c r="B161" s="56" t="str">
        <f t="shared" si="12"/>
        <v>#NAME?</v>
      </c>
      <c r="C161" s="56">
        <f t="shared" si="13"/>
        <v>5</v>
      </c>
      <c r="D161" s="66">
        <v>46168.0</v>
      </c>
      <c r="E161" s="66">
        <v>46168.0</v>
      </c>
      <c r="F161" s="45"/>
      <c r="G161" s="45" t="s">
        <v>326</v>
      </c>
      <c r="H161" s="61" t="s">
        <v>942</v>
      </c>
      <c r="I161" s="46">
        <v>22.5</v>
      </c>
      <c r="J161" s="46"/>
      <c r="K161" s="71">
        <f t="shared" si="10"/>
        <v>29502</v>
      </c>
      <c r="L161" s="62" t="s">
        <v>45</v>
      </c>
      <c r="M161" s="62" t="s">
        <v>328</v>
      </c>
      <c r="N161" s="63"/>
      <c r="O161" s="62" t="s">
        <v>60</v>
      </c>
      <c r="P161" s="30" t="s">
        <v>43</v>
      </c>
      <c r="Q161" s="64" t="s">
        <v>329</v>
      </c>
      <c r="R161" s="36"/>
      <c r="S161" s="36"/>
      <c r="T161" s="36"/>
      <c r="U161" s="36"/>
      <c r="V161" s="36"/>
      <c r="W161" s="30" t="str">
        <f t="shared" si="14"/>
        <v>Payment: Disbursement for (Ref: SCREF01283548931) (Type: HO - Admin) (BU: Casa Romana) (Head: Bank Charges)</v>
      </c>
      <c r="X161" s="30"/>
      <c r="Y161" s="59"/>
      <c r="Z161" s="2"/>
      <c r="AA161" s="2"/>
      <c r="AB161" s="2"/>
      <c r="AC161" s="2"/>
    </row>
    <row r="162" ht="15.75" hidden="1" customHeight="1">
      <c r="A162" s="56">
        <v>75.0</v>
      </c>
      <c r="B162" s="56" t="str">
        <f t="shared" si="12"/>
        <v>#NAME?</v>
      </c>
      <c r="C162" s="56">
        <f t="shared" si="13"/>
        <v>5</v>
      </c>
      <c r="D162" s="66">
        <v>46167.0</v>
      </c>
      <c r="E162" s="66">
        <v>46167.0</v>
      </c>
      <c r="F162" s="45"/>
      <c r="G162" s="45" t="s">
        <v>949</v>
      </c>
      <c r="H162" s="61" t="s">
        <v>950</v>
      </c>
      <c r="I162" s="46">
        <v>47664.0</v>
      </c>
      <c r="J162" s="46"/>
      <c r="K162" s="71">
        <f t="shared" si="10"/>
        <v>29524.5</v>
      </c>
      <c r="L162" s="62" t="s">
        <v>45</v>
      </c>
      <c r="M162" s="62" t="s">
        <v>47</v>
      </c>
      <c r="N162" s="63"/>
      <c r="O162" s="62" t="s">
        <v>60</v>
      </c>
      <c r="P162" s="30" t="s">
        <v>51</v>
      </c>
      <c r="Q162" s="64" t="s">
        <v>50</v>
      </c>
      <c r="R162" s="36"/>
      <c r="S162" s="36"/>
      <c r="T162" s="36"/>
      <c r="U162" s="36"/>
      <c r="V162" s="36"/>
      <c r="W162" s="30" t="str">
        <f t="shared" si="14"/>
        <v>Fund Transfer: From YES MASTER 0264 to xHTRA (Ref: YESME6145006493600) (Type: Master to Free) (BU: Casa Romana) (Head: Internal)</v>
      </c>
      <c r="X162" s="30"/>
      <c r="Y162" s="59"/>
      <c r="Z162" s="2"/>
      <c r="AA162" s="2"/>
      <c r="AB162" s="2"/>
      <c r="AC162" s="2"/>
    </row>
    <row r="163" ht="15.75" hidden="1" customHeight="1">
      <c r="A163" s="56">
        <v>74.0</v>
      </c>
      <c r="B163" s="56" t="str">
        <f t="shared" si="12"/>
        <v>#NAME?</v>
      </c>
      <c r="C163" s="56">
        <f t="shared" si="13"/>
        <v>5</v>
      </c>
      <c r="D163" s="66">
        <v>46167.0</v>
      </c>
      <c r="E163" s="66">
        <v>46167.0</v>
      </c>
      <c r="F163" s="45"/>
      <c r="G163" s="45" t="s">
        <v>783</v>
      </c>
      <c r="H163" s="61" t="s">
        <v>953</v>
      </c>
      <c r="I163" s="46">
        <v>111216.0</v>
      </c>
      <c r="J163" s="46"/>
      <c r="K163" s="71">
        <f t="shared" si="10"/>
        <v>77188.5</v>
      </c>
      <c r="L163" s="62" t="s">
        <v>45</v>
      </c>
      <c r="M163" s="62" t="s">
        <v>47</v>
      </c>
      <c r="N163" s="63"/>
      <c r="O163" s="62" t="s">
        <v>60</v>
      </c>
      <c r="P163" s="30" t="s">
        <v>61</v>
      </c>
      <c r="Q163" s="64" t="s">
        <v>50</v>
      </c>
      <c r="R163" s="36"/>
      <c r="S163" s="36"/>
      <c r="T163" s="36"/>
      <c r="U163" s="36"/>
      <c r="V163" s="36"/>
      <c r="W163" s="30" t="str">
        <f t="shared" si="14"/>
        <v>Fund Transfer: From YES MASTER 0264 to x0377 (Ref: YESME6145006493700) (Type: Master 2 RERA) (BU: Casa Romana) (Head: Internal)</v>
      </c>
      <c r="X163" s="30"/>
      <c r="Y163" s="59"/>
      <c r="Z163" s="2"/>
      <c r="AA163" s="2"/>
      <c r="AB163" s="2"/>
      <c r="AC163" s="2"/>
    </row>
    <row r="164" ht="15.75" customHeight="1">
      <c r="A164" s="56">
        <v>73.0</v>
      </c>
      <c r="B164" s="56" t="str">
        <f t="shared" si="12"/>
        <v>#NAME?</v>
      </c>
      <c r="C164" s="56">
        <f t="shared" si="13"/>
        <v>5</v>
      </c>
      <c r="D164" s="66">
        <v>46167.0</v>
      </c>
      <c r="E164" s="66">
        <v>46167.0</v>
      </c>
      <c r="F164" s="45"/>
      <c r="G164" s="45" t="s">
        <v>954</v>
      </c>
      <c r="H164" s="61" t="s">
        <v>957</v>
      </c>
      <c r="I164" s="46"/>
      <c r="J164" s="46">
        <v>113880.0</v>
      </c>
      <c r="K164" s="71">
        <f t="shared" si="10"/>
        <v>188404.5</v>
      </c>
      <c r="L164" s="62" t="s">
        <v>45</v>
      </c>
      <c r="M164" s="62" t="s">
        <v>94</v>
      </c>
      <c r="N164" s="63"/>
      <c r="O164" s="62" t="s">
        <v>60</v>
      </c>
      <c r="P164" s="30" t="s">
        <v>95</v>
      </c>
      <c r="Q164" s="64" t="s">
        <v>82</v>
      </c>
      <c r="R164" s="36"/>
      <c r="S164" s="36"/>
      <c r="T164" s="36" t="s">
        <v>231</v>
      </c>
      <c r="U164" s="36"/>
      <c r="V164" s="36" t="s">
        <v>358</v>
      </c>
      <c r="W164" s="30" t="str">
        <f t="shared" si="14"/>
        <v>Receipt: For (Apt#: T-103) (Ref: YBP6145548463885) (IMPS: SOUMEN MUKHERJEE/XXX4401/RRN:614561758165/HDFC BANK) (Type: Customer Collection) (BU: Casa Romana)</v>
      </c>
      <c r="X164" s="30"/>
      <c r="Y164" s="59"/>
      <c r="Z164" s="2"/>
      <c r="AA164" s="2"/>
      <c r="AB164" s="2"/>
      <c r="AC164" s="2"/>
    </row>
    <row r="165" ht="15.75" customHeight="1">
      <c r="A165" s="56">
        <v>72.0</v>
      </c>
      <c r="B165" s="56" t="str">
        <f t="shared" si="12"/>
        <v>#NAME?</v>
      </c>
      <c r="C165" s="56">
        <f t="shared" si="13"/>
        <v>5</v>
      </c>
      <c r="D165" s="66">
        <v>46166.0</v>
      </c>
      <c r="E165" s="66">
        <v>46166.0</v>
      </c>
      <c r="F165" s="45"/>
      <c r="G165" s="45" t="s">
        <v>962</v>
      </c>
      <c r="H165" s="61" t="s">
        <v>964</v>
      </c>
      <c r="I165" s="46"/>
      <c r="J165" s="46">
        <v>45000.0</v>
      </c>
      <c r="K165" s="71">
        <f t="shared" si="10"/>
        <v>74524.5</v>
      </c>
      <c r="L165" s="62" t="s">
        <v>45</v>
      </c>
      <c r="M165" s="62" t="s">
        <v>94</v>
      </c>
      <c r="N165" s="63"/>
      <c r="O165" s="62" t="s">
        <v>60</v>
      </c>
      <c r="P165" s="30" t="s">
        <v>95</v>
      </c>
      <c r="Q165" s="64" t="s">
        <v>82</v>
      </c>
      <c r="R165" s="36"/>
      <c r="S165" s="36"/>
      <c r="T165" s="36" t="s">
        <v>142</v>
      </c>
      <c r="U165" s="36"/>
      <c r="V165" s="36" t="s">
        <v>485</v>
      </c>
      <c r="W165" s="30" t="str">
        <f t="shared" si="14"/>
        <v>Receipt: For (Apt#: M-105) (Ref: YES0N6144267025900) (NEFT: AMIT JAIN-LEKH RAJ BAJAJ-HDFCH01014071313) (Type: Customer Collection) (BU: Casa Romana)</v>
      </c>
      <c r="X165" s="65">
        <v>0.01</v>
      </c>
      <c r="Y165" s="59"/>
      <c r="Z165" s="2"/>
      <c r="AA165" s="2"/>
      <c r="AB165" s="2"/>
      <c r="AC165" s="2"/>
    </row>
    <row r="166" ht="15.75" hidden="1" customHeight="1">
      <c r="A166" s="56">
        <v>71.0</v>
      </c>
      <c r="B166" s="56" t="str">
        <f t="shared" si="12"/>
        <v>#NAME?</v>
      </c>
      <c r="C166" s="56">
        <f t="shared" si="13"/>
        <v>5</v>
      </c>
      <c r="D166" s="66">
        <v>46157.0</v>
      </c>
      <c r="E166" s="66">
        <v>46157.0</v>
      </c>
      <c r="F166" s="45"/>
      <c r="G166" s="45" t="s">
        <v>966</v>
      </c>
      <c r="H166" s="61" t="s">
        <v>968</v>
      </c>
      <c r="I166" s="46">
        <v>74512.0</v>
      </c>
      <c r="J166" s="46"/>
      <c r="K166" s="71">
        <f t="shared" si="10"/>
        <v>29524.5</v>
      </c>
      <c r="L166" s="62" t="s">
        <v>45</v>
      </c>
      <c r="M166" s="62" t="s">
        <v>47</v>
      </c>
      <c r="N166" s="63"/>
      <c r="O166" s="62" t="s">
        <v>60</v>
      </c>
      <c r="P166" s="30" t="s">
        <v>51</v>
      </c>
      <c r="Q166" s="64" t="s">
        <v>50</v>
      </c>
      <c r="R166" s="36"/>
      <c r="S166" s="36"/>
      <c r="T166" s="36"/>
      <c r="U166" s="36"/>
      <c r="V166" s="36"/>
      <c r="W166" s="30" t="str">
        <f t="shared" si="14"/>
        <v>Fund Transfer: From YES MASTER 0264 to xHTRA (Ref: YESME6135005369200) (Type: Master to Free) (BU: Casa Romana) (Head: Internal)</v>
      </c>
      <c r="X166" s="30"/>
      <c r="Y166" s="59"/>
      <c r="Z166" s="2"/>
      <c r="AA166" s="2"/>
      <c r="AB166" s="2"/>
      <c r="AC166" s="2"/>
    </row>
    <row r="167" ht="15.75" hidden="1" customHeight="1">
      <c r="A167" s="56">
        <v>70.0</v>
      </c>
      <c r="B167" s="56" t="str">
        <f t="shared" si="12"/>
        <v>#NAME?</v>
      </c>
      <c r="C167" s="56">
        <f t="shared" si="13"/>
        <v>5</v>
      </c>
      <c r="D167" s="66">
        <v>46157.0</v>
      </c>
      <c r="E167" s="66">
        <v>46157.0</v>
      </c>
      <c r="F167" s="45"/>
      <c r="G167" s="45" t="s">
        <v>970</v>
      </c>
      <c r="H167" s="61" t="s">
        <v>371</v>
      </c>
      <c r="I167" s="46">
        <v>173860.0</v>
      </c>
      <c r="J167" s="46"/>
      <c r="K167" s="71">
        <f t="shared" si="10"/>
        <v>104036.5</v>
      </c>
      <c r="L167" s="62" t="s">
        <v>45</v>
      </c>
      <c r="M167" s="62" t="s">
        <v>47</v>
      </c>
      <c r="N167" s="63"/>
      <c r="O167" s="62" t="s">
        <v>60</v>
      </c>
      <c r="P167" s="30" t="s">
        <v>61</v>
      </c>
      <c r="Q167" s="64" t="s">
        <v>50</v>
      </c>
      <c r="R167" s="36"/>
      <c r="S167" s="36"/>
      <c r="T167" s="36"/>
      <c r="U167" s="36"/>
      <c r="V167" s="36"/>
      <c r="W167" s="30" t="str">
        <f t="shared" si="14"/>
        <v>Fund Transfer: From YES MASTER 0264 to x0377 (Ref: YESME6135005445900) (Type: Master 2 RERA) (BU: Casa Romana) (Head: Internal)</v>
      </c>
      <c r="X167" s="30"/>
      <c r="Y167" s="59"/>
      <c r="Z167" s="2"/>
      <c r="AA167" s="2"/>
      <c r="AB167" s="2"/>
      <c r="AC167" s="2"/>
    </row>
    <row r="168" ht="15.75" customHeight="1">
      <c r="A168" s="56">
        <v>69.0</v>
      </c>
      <c r="B168" s="56" t="str">
        <f t="shared" si="12"/>
        <v>#NAME?</v>
      </c>
      <c r="C168" s="56">
        <f t="shared" si="13"/>
        <v>5</v>
      </c>
      <c r="D168" s="66">
        <v>46155.0</v>
      </c>
      <c r="E168" s="66">
        <v>46155.0</v>
      </c>
      <c r="F168" s="45"/>
      <c r="G168" s="45" t="s">
        <v>974</v>
      </c>
      <c r="H168" s="61" t="s">
        <v>975</v>
      </c>
      <c r="I168" s="46"/>
      <c r="J168" s="46">
        <v>148372.0</v>
      </c>
      <c r="K168" s="71">
        <f t="shared" si="10"/>
        <v>277896.5</v>
      </c>
      <c r="L168" s="62" t="s">
        <v>45</v>
      </c>
      <c r="M168" s="62" t="s">
        <v>94</v>
      </c>
      <c r="N168" s="63"/>
      <c r="O168" s="62" t="s">
        <v>60</v>
      </c>
      <c r="P168" s="30" t="s">
        <v>95</v>
      </c>
      <c r="Q168" s="64" t="s">
        <v>82</v>
      </c>
      <c r="R168" s="36"/>
      <c r="S168" s="36"/>
      <c r="T168" s="36" t="s">
        <v>408</v>
      </c>
      <c r="U168" s="36"/>
      <c r="V168" s="36" t="s">
        <v>485</v>
      </c>
      <c r="W168" s="30" t="str">
        <f t="shared" si="14"/>
        <v>Receipt: For (Apt#: U-102) (Ref: YES0N6133148954500) (NEFT: NEELKANT GUMMALLA-DWARKADHIS PROJECTS PRIVA-IN12613337484665) (Type: Customer Collection) (BU: Casa Romana)</v>
      </c>
      <c r="X168" s="65">
        <v>0.05</v>
      </c>
      <c r="Y168" s="59"/>
      <c r="Z168" s="2"/>
      <c r="AA168" s="2"/>
      <c r="AB168" s="2"/>
      <c r="AC168" s="2"/>
    </row>
    <row r="169" ht="15.75" customHeight="1">
      <c r="A169" s="56">
        <v>68.0</v>
      </c>
      <c r="B169" s="56" t="str">
        <f t="shared" si="12"/>
        <v>#NAME?</v>
      </c>
      <c r="C169" s="56">
        <f t="shared" si="13"/>
        <v>5</v>
      </c>
      <c r="D169" s="66">
        <v>46155.0</v>
      </c>
      <c r="E169" s="66">
        <v>46155.0</v>
      </c>
      <c r="F169" s="45"/>
      <c r="G169" s="45" t="s">
        <v>980</v>
      </c>
      <c r="H169" s="61" t="s">
        <v>981</v>
      </c>
      <c r="I169" s="46"/>
      <c r="J169" s="46">
        <v>100000.0</v>
      </c>
      <c r="K169" s="71">
        <f t="shared" si="10"/>
        <v>129524.5</v>
      </c>
      <c r="L169" s="62" t="s">
        <v>45</v>
      </c>
      <c r="M169" s="62" t="s">
        <v>94</v>
      </c>
      <c r="N169" s="63"/>
      <c r="O169" s="62" t="s">
        <v>60</v>
      </c>
      <c r="P169" s="30" t="s">
        <v>95</v>
      </c>
      <c r="Q169" s="64" t="s">
        <v>82</v>
      </c>
      <c r="R169" s="36"/>
      <c r="S169" s="36"/>
      <c r="T169" s="36" t="s">
        <v>240</v>
      </c>
      <c r="U169" s="36"/>
      <c r="V169" s="36" t="s">
        <v>485</v>
      </c>
      <c r="W169" s="30" t="str">
        <f t="shared" si="14"/>
        <v>Receipt: For (Apt#: P-054) (Ref: YES0N6133120028900) (NEFT: SANJAY YADAV-DWARKADHIS PROJECTS PRIVA-IN12613337433200) (Type: Customer Collection) (BU: Casa Romana)</v>
      </c>
      <c r="X169" s="30"/>
      <c r="Y169" s="59"/>
      <c r="Z169" s="2"/>
      <c r="AA169" s="2"/>
      <c r="AB169" s="2"/>
      <c r="AC169" s="2"/>
    </row>
    <row r="170" ht="15.75" hidden="1" customHeight="1">
      <c r="A170" s="56">
        <v>67.0</v>
      </c>
      <c r="B170" s="56" t="str">
        <f t="shared" si="12"/>
        <v>#NAME?</v>
      </c>
      <c r="C170" s="56">
        <f t="shared" si="13"/>
        <v>5</v>
      </c>
      <c r="D170" s="66">
        <v>46153.0</v>
      </c>
      <c r="E170" s="66">
        <v>46153.0</v>
      </c>
      <c r="F170" s="45"/>
      <c r="G170" s="45" t="s">
        <v>985</v>
      </c>
      <c r="H170" s="61" t="s">
        <v>384</v>
      </c>
      <c r="I170" s="46">
        <v>70000.0</v>
      </c>
      <c r="J170" s="46"/>
      <c r="K170" s="71">
        <f t="shared" si="10"/>
        <v>29524.5</v>
      </c>
      <c r="L170" s="62" t="s">
        <v>45</v>
      </c>
      <c r="M170" s="62" t="s">
        <v>47</v>
      </c>
      <c r="N170" s="63"/>
      <c r="O170" s="62" t="s">
        <v>60</v>
      </c>
      <c r="P170" s="30" t="s">
        <v>61</v>
      </c>
      <c r="Q170" s="64" t="s">
        <v>50</v>
      </c>
      <c r="R170" s="36"/>
      <c r="S170" s="36"/>
      <c r="T170" s="36"/>
      <c r="U170" s="36"/>
      <c r="V170" s="36"/>
      <c r="W170" s="30" t="str">
        <f t="shared" si="14"/>
        <v>Fund Transfer: From YES MASTER 0264 to x0377 (Ref: YESME6131008786800) (Type: Master 2 RERA) (BU: Casa Romana) (Head: Internal)</v>
      </c>
      <c r="X170" s="30"/>
      <c r="Y170" s="59"/>
      <c r="Z170" s="2"/>
      <c r="AA170" s="2"/>
      <c r="AB170" s="2"/>
      <c r="AC170" s="2"/>
    </row>
    <row r="171" ht="15.75" hidden="1" customHeight="1">
      <c r="A171" s="56">
        <v>66.0</v>
      </c>
      <c r="B171" s="56" t="str">
        <f t="shared" si="12"/>
        <v>#NAME?</v>
      </c>
      <c r="C171" s="56">
        <f t="shared" si="13"/>
        <v>5</v>
      </c>
      <c r="D171" s="66">
        <v>46153.0</v>
      </c>
      <c r="E171" s="66">
        <v>46153.0</v>
      </c>
      <c r="F171" s="45"/>
      <c r="G171" s="45" t="s">
        <v>987</v>
      </c>
      <c r="H171" s="61" t="s">
        <v>989</v>
      </c>
      <c r="I171" s="46">
        <v>30000.0</v>
      </c>
      <c r="J171" s="46"/>
      <c r="K171" s="71">
        <f t="shared" si="10"/>
        <v>99524.5</v>
      </c>
      <c r="L171" s="62" t="s">
        <v>45</v>
      </c>
      <c r="M171" s="62" t="s">
        <v>47</v>
      </c>
      <c r="N171" s="63"/>
      <c r="O171" s="62" t="s">
        <v>60</v>
      </c>
      <c r="P171" s="30" t="s">
        <v>51</v>
      </c>
      <c r="Q171" s="64" t="s">
        <v>50</v>
      </c>
      <c r="R171" s="36"/>
      <c r="S171" s="36"/>
      <c r="T171" s="36"/>
      <c r="U171" s="36"/>
      <c r="V171" s="36"/>
      <c r="W171" s="30" t="str">
        <f t="shared" si="14"/>
        <v>Fund Transfer: From YES MASTER 0264 to xHTRA (Ref: YESME6131008918700) (Type: Master to Free) (BU: Casa Romana) (Head: Internal)</v>
      </c>
      <c r="X171" s="30"/>
      <c r="Y171" s="59"/>
      <c r="Z171" s="2"/>
      <c r="AA171" s="2"/>
      <c r="AB171" s="2"/>
      <c r="AC171" s="2"/>
    </row>
    <row r="172" ht="15.75" customHeight="1">
      <c r="A172" s="56">
        <v>65.0</v>
      </c>
      <c r="B172" s="56" t="str">
        <f t="shared" si="12"/>
        <v>#NAME?</v>
      </c>
      <c r="C172" s="56">
        <f t="shared" si="13"/>
        <v>5</v>
      </c>
      <c r="D172" s="66">
        <v>46153.0</v>
      </c>
      <c r="E172" s="66">
        <v>46153.0</v>
      </c>
      <c r="F172" s="45"/>
      <c r="G172" s="45" t="s">
        <v>991</v>
      </c>
      <c r="H172" s="61">
        <v>61.0</v>
      </c>
      <c r="I172" s="46"/>
      <c r="J172" s="46">
        <v>100000.0</v>
      </c>
      <c r="K172" s="71">
        <f t="shared" si="10"/>
        <v>129524.5</v>
      </c>
      <c r="L172" s="62" t="s">
        <v>45</v>
      </c>
      <c r="M172" s="62" t="s">
        <v>94</v>
      </c>
      <c r="N172" s="63"/>
      <c r="O172" s="62" t="s">
        <v>60</v>
      </c>
      <c r="P172" s="30" t="s">
        <v>95</v>
      </c>
      <c r="Q172" s="64" t="s">
        <v>82</v>
      </c>
      <c r="R172" s="36"/>
      <c r="S172" s="36"/>
      <c r="T172" s="36" t="s">
        <v>341</v>
      </c>
      <c r="U172" s="36"/>
      <c r="V172" s="36" t="s">
        <v>358</v>
      </c>
      <c r="W172" s="30" t="str">
        <f t="shared" si="14"/>
        <v>Receipt: For (Apt#: R-063) (Ref: 61) ( ) (Type: Customer Collection) (BU: Casa Romana)</v>
      </c>
      <c r="X172" s="30"/>
      <c r="Y172" s="59"/>
      <c r="Z172" s="2"/>
      <c r="AA172" s="2"/>
      <c r="AB172" s="2"/>
      <c r="AC172" s="2"/>
    </row>
    <row r="173" ht="15.75" hidden="1" customHeight="1">
      <c r="A173" s="56">
        <v>64.0</v>
      </c>
      <c r="B173" s="56" t="str">
        <f t="shared" si="12"/>
        <v>#NAME?</v>
      </c>
      <c r="C173" s="56">
        <f t="shared" si="13"/>
        <v>5</v>
      </c>
      <c r="D173" s="66">
        <v>46151.0</v>
      </c>
      <c r="E173" s="66">
        <v>46151.0</v>
      </c>
      <c r="F173" s="45"/>
      <c r="G173" s="45" t="s">
        <v>970</v>
      </c>
      <c r="H173" s="61" t="s">
        <v>390</v>
      </c>
      <c r="I173" s="46">
        <v>223129.0</v>
      </c>
      <c r="J173" s="46"/>
      <c r="K173" s="71">
        <f t="shared" si="10"/>
        <v>29524.5</v>
      </c>
      <c r="L173" s="62" t="s">
        <v>45</v>
      </c>
      <c r="M173" s="62" t="s">
        <v>47</v>
      </c>
      <c r="N173" s="63"/>
      <c r="O173" s="62" t="s">
        <v>60</v>
      </c>
      <c r="P173" s="30" t="s">
        <v>61</v>
      </c>
      <c r="Q173" s="64" t="s">
        <v>50</v>
      </c>
      <c r="R173" s="36"/>
      <c r="S173" s="36"/>
      <c r="T173" s="36"/>
      <c r="U173" s="36"/>
      <c r="V173" s="36"/>
      <c r="W173" s="30" t="str">
        <f t="shared" si="14"/>
        <v>Fund Transfer: From YES MASTER 0264 to x0377 (Ref: YESME6129003685800) (Type: Master 2 RERA) (BU: Casa Romana) (Head: Internal)</v>
      </c>
      <c r="X173" s="30"/>
      <c r="Y173" s="59"/>
      <c r="Z173" s="2"/>
      <c r="AA173" s="2"/>
      <c r="AB173" s="2"/>
      <c r="AC173" s="2"/>
    </row>
    <row r="174" ht="15.75" hidden="1" customHeight="1">
      <c r="A174" s="56">
        <v>63.0</v>
      </c>
      <c r="B174" s="56" t="str">
        <f t="shared" si="12"/>
        <v>#NAME?</v>
      </c>
      <c r="C174" s="56">
        <f t="shared" si="13"/>
        <v>5</v>
      </c>
      <c r="D174" s="66">
        <v>46151.0</v>
      </c>
      <c r="E174" s="66">
        <v>46151.0</v>
      </c>
      <c r="F174" s="45"/>
      <c r="G174" s="45" t="s">
        <v>970</v>
      </c>
      <c r="H174" s="61" t="s">
        <v>395</v>
      </c>
      <c r="I174" s="46">
        <v>127490.0</v>
      </c>
      <c r="J174" s="46"/>
      <c r="K174" s="71">
        <f t="shared" si="10"/>
        <v>252653.5</v>
      </c>
      <c r="L174" s="62" t="s">
        <v>45</v>
      </c>
      <c r="M174" s="62" t="s">
        <v>47</v>
      </c>
      <c r="N174" s="63"/>
      <c r="O174" s="62" t="s">
        <v>60</v>
      </c>
      <c r="P174" s="30" t="s">
        <v>61</v>
      </c>
      <c r="Q174" s="64" t="s">
        <v>50</v>
      </c>
      <c r="R174" s="36"/>
      <c r="S174" s="36"/>
      <c r="T174" s="36"/>
      <c r="U174" s="36"/>
      <c r="V174" s="36"/>
      <c r="W174" s="30" t="str">
        <f t="shared" si="14"/>
        <v>Fund Transfer: From YES MASTER 0264 to x0377 (Ref: YESME6129003685400) (Type: Master 2 RERA) (BU: Casa Romana) (Head: Internal)</v>
      </c>
      <c r="X174" s="30"/>
      <c r="Y174" s="59"/>
      <c r="Z174" s="2"/>
      <c r="AA174" s="2"/>
      <c r="AB174" s="2"/>
      <c r="AC174" s="2"/>
    </row>
    <row r="175" ht="15.75" hidden="1" customHeight="1">
      <c r="A175" s="56">
        <v>62.0</v>
      </c>
      <c r="B175" s="56" t="str">
        <f t="shared" si="12"/>
        <v>#NAME?</v>
      </c>
      <c r="C175" s="56">
        <f t="shared" si="13"/>
        <v>5</v>
      </c>
      <c r="D175" s="66">
        <v>46151.0</v>
      </c>
      <c r="E175" s="66">
        <v>46151.0</v>
      </c>
      <c r="F175" s="45"/>
      <c r="G175" s="45" t="s">
        <v>999</v>
      </c>
      <c r="H175" s="61" t="s">
        <v>1000</v>
      </c>
      <c r="I175" s="46">
        <v>95627.0</v>
      </c>
      <c r="J175" s="46"/>
      <c r="K175" s="71">
        <f t="shared" si="10"/>
        <v>380143.5</v>
      </c>
      <c r="L175" s="62" t="s">
        <v>45</v>
      </c>
      <c r="M175" s="62" t="s">
        <v>47</v>
      </c>
      <c r="N175" s="63"/>
      <c r="O175" s="62" t="s">
        <v>60</v>
      </c>
      <c r="P175" s="30" t="s">
        <v>51</v>
      </c>
      <c r="Q175" s="64" t="s">
        <v>50</v>
      </c>
      <c r="R175" s="36"/>
      <c r="S175" s="36"/>
      <c r="T175" s="36"/>
      <c r="U175" s="36"/>
      <c r="V175" s="36"/>
      <c r="W175" s="30" t="str">
        <f t="shared" si="14"/>
        <v>Fund Transfer: From YES MASTER 0264 to xHTRA (Ref: YESME6129003685600) (Type: Master to Free) (BU: Casa Romana) (Head: Internal)</v>
      </c>
      <c r="X175" s="30"/>
      <c r="Y175" s="59"/>
      <c r="Z175" s="2"/>
      <c r="AA175" s="2"/>
      <c r="AB175" s="2"/>
      <c r="AC175" s="2"/>
    </row>
    <row r="176" ht="15.75" hidden="1" customHeight="1">
      <c r="A176" s="56">
        <v>61.0</v>
      </c>
      <c r="B176" s="56" t="str">
        <f t="shared" si="12"/>
        <v>#NAME?</v>
      </c>
      <c r="C176" s="56">
        <f t="shared" si="13"/>
        <v>5</v>
      </c>
      <c r="D176" s="66">
        <v>46151.0</v>
      </c>
      <c r="E176" s="66">
        <v>46151.0</v>
      </c>
      <c r="F176" s="45"/>
      <c r="G176" s="45" t="s">
        <v>1004</v>
      </c>
      <c r="H176" s="61" t="s">
        <v>1005</v>
      </c>
      <c r="I176" s="46">
        <v>54639.0</v>
      </c>
      <c r="J176" s="46"/>
      <c r="K176" s="71">
        <f t="shared" si="10"/>
        <v>475770.5</v>
      </c>
      <c r="L176" s="62" t="s">
        <v>45</v>
      </c>
      <c r="M176" s="62" t="s">
        <v>47</v>
      </c>
      <c r="N176" s="63"/>
      <c r="O176" s="62" t="s">
        <v>60</v>
      </c>
      <c r="P176" s="30" t="s">
        <v>51</v>
      </c>
      <c r="Q176" s="64" t="s">
        <v>50</v>
      </c>
      <c r="R176" s="36"/>
      <c r="S176" s="36"/>
      <c r="T176" s="36"/>
      <c r="U176" s="36"/>
      <c r="V176" s="36"/>
      <c r="W176" s="30" t="str">
        <f t="shared" si="14"/>
        <v>Fund Transfer: From YES MASTER 0264 to xHTRA (Ref: YESME6129003685700) (Type: Master to Free) (BU: Casa Romana) (Head: Internal)</v>
      </c>
      <c r="X176" s="30"/>
      <c r="Y176" s="59"/>
      <c r="Z176" s="2"/>
      <c r="AA176" s="2"/>
      <c r="AB176" s="2"/>
      <c r="AC176" s="2"/>
    </row>
    <row r="177" ht="15.75" customHeight="1">
      <c r="A177" s="56">
        <v>60.0</v>
      </c>
      <c r="B177" s="56" t="str">
        <f t="shared" si="12"/>
        <v>#NAME?</v>
      </c>
      <c r="C177" s="56">
        <f t="shared" si="13"/>
        <v>5</v>
      </c>
      <c r="D177" s="66">
        <v>46151.0</v>
      </c>
      <c r="E177" s="66">
        <v>46151.0</v>
      </c>
      <c r="F177" s="45"/>
      <c r="G177" s="45" t="s">
        <v>1009</v>
      </c>
      <c r="H177" s="61" t="s">
        <v>1010</v>
      </c>
      <c r="I177" s="46"/>
      <c r="J177" s="46">
        <v>182129.0</v>
      </c>
      <c r="K177" s="71">
        <f t="shared" si="10"/>
        <v>530409.5</v>
      </c>
      <c r="L177" s="62" t="s">
        <v>45</v>
      </c>
      <c r="M177" s="62" t="s">
        <v>94</v>
      </c>
      <c r="N177" s="63"/>
      <c r="O177" s="62" t="s">
        <v>60</v>
      </c>
      <c r="P177" s="30" t="s">
        <v>95</v>
      </c>
      <c r="Q177" s="64" t="s">
        <v>82</v>
      </c>
      <c r="R177" s="36"/>
      <c r="S177" s="36"/>
      <c r="T177" s="36" t="s">
        <v>1014</v>
      </c>
      <c r="U177" s="36"/>
      <c r="V177" s="36" t="s">
        <v>143</v>
      </c>
      <c r="W177" s="30" t="str">
        <f t="shared" si="14"/>
        <v>Receipt: For (Apt#: M-104) (Ref: YES0N6129706992200) (NEFT: MEENAKSHI VIJH-DWARKADHIS PROJECTS PRIVA-HDFCH00987859519) (Type: Customer Collection) (BU: Casa Romana)</v>
      </c>
      <c r="X177" s="30"/>
      <c r="Y177" s="59"/>
      <c r="Z177" s="2"/>
      <c r="AA177" s="2"/>
      <c r="AB177" s="2"/>
      <c r="AC177" s="2"/>
    </row>
    <row r="178" ht="15.75" customHeight="1">
      <c r="A178" s="56">
        <v>59.0</v>
      </c>
      <c r="B178" s="56" t="str">
        <f t="shared" si="12"/>
        <v>#NAME?</v>
      </c>
      <c r="C178" s="56">
        <f t="shared" si="13"/>
        <v>5</v>
      </c>
      <c r="D178" s="66">
        <v>46149.0</v>
      </c>
      <c r="E178" s="66">
        <v>46149.0</v>
      </c>
      <c r="F178" s="45"/>
      <c r="G178" s="45" t="s">
        <v>1019</v>
      </c>
      <c r="H178" s="61" t="s">
        <v>1020</v>
      </c>
      <c r="I178" s="46"/>
      <c r="J178" s="46">
        <v>218756.0</v>
      </c>
      <c r="K178" s="71">
        <f t="shared" si="10"/>
        <v>348280.5</v>
      </c>
      <c r="L178" s="62" t="s">
        <v>45</v>
      </c>
      <c r="M178" s="62" t="s">
        <v>94</v>
      </c>
      <c r="N178" s="63"/>
      <c r="O178" s="62" t="s">
        <v>60</v>
      </c>
      <c r="P178" s="30" t="s">
        <v>95</v>
      </c>
      <c r="Q178" s="64" t="s">
        <v>82</v>
      </c>
      <c r="R178" s="36"/>
      <c r="S178" s="36"/>
      <c r="T178" s="36" t="s">
        <v>178</v>
      </c>
      <c r="U178" s="36"/>
      <c r="V178" s="36" t="s">
        <v>98</v>
      </c>
      <c r="W178" s="30" t="str">
        <f t="shared" si="14"/>
        <v>Receipt: For (Apt#: L-064) (Ref: YES0R6127821868200) (RTGS: VANDANA KHULLAR-Dwarkadhis Projects Pvt L-HDFCR52026050755329048) (Type: Customer Collection) (BU: Casa Romana)</v>
      </c>
      <c r="X178" s="30"/>
      <c r="Y178" s="59"/>
      <c r="Z178" s="2"/>
      <c r="AA178" s="2"/>
      <c r="AB178" s="2"/>
      <c r="AC178" s="2"/>
    </row>
    <row r="179" ht="15.75" hidden="1" customHeight="1">
      <c r="A179" s="56">
        <v>58.0</v>
      </c>
      <c r="B179" s="56" t="str">
        <f t="shared" si="12"/>
        <v>#NAME?</v>
      </c>
      <c r="C179" s="56">
        <f t="shared" si="13"/>
        <v>5</v>
      </c>
      <c r="D179" s="66">
        <v>46149.0</v>
      </c>
      <c r="E179" s="66">
        <v>46149.0</v>
      </c>
      <c r="F179" s="45"/>
      <c r="G179" s="45" t="s">
        <v>1023</v>
      </c>
      <c r="H179" s="61" t="s">
        <v>1024</v>
      </c>
      <c r="I179" s="46">
        <v>3180.0</v>
      </c>
      <c r="J179" s="46"/>
      <c r="K179" s="46">
        <f t="shared" si="10"/>
        <v>129524.5</v>
      </c>
      <c r="L179" s="62" t="s">
        <v>45</v>
      </c>
      <c r="M179" s="62" t="s">
        <v>47</v>
      </c>
      <c r="N179" s="63"/>
      <c r="O179" s="62" t="s">
        <v>60</v>
      </c>
      <c r="P179" s="30" t="s">
        <v>51</v>
      </c>
      <c r="Q179" s="64" t="s">
        <v>50</v>
      </c>
      <c r="R179" s="36"/>
      <c r="S179" s="36"/>
      <c r="T179" s="36"/>
      <c r="U179" s="36"/>
      <c r="V179" s="36"/>
      <c r="W179" s="30" t="str">
        <f t="shared" si="14"/>
        <v>Fund Transfer: From YES MASTER 0264 to xHTRA (Ref: YESME6127006715400) (Type: Master to Free) (BU: Casa Romana) (Head: Internal)</v>
      </c>
      <c r="X179" s="30"/>
      <c r="Y179" s="59"/>
      <c r="Z179" s="2"/>
      <c r="AA179" s="2"/>
      <c r="AB179" s="2"/>
      <c r="AC179" s="2"/>
    </row>
    <row r="180" ht="15.75" hidden="1" customHeight="1">
      <c r="A180" s="56">
        <v>57.0</v>
      </c>
      <c r="B180" s="56" t="str">
        <f t="shared" si="12"/>
        <v>#NAME?</v>
      </c>
      <c r="C180" s="56">
        <f t="shared" si="13"/>
        <v>5</v>
      </c>
      <c r="D180" s="66">
        <v>46149.0</v>
      </c>
      <c r="E180" s="66">
        <v>46149.0</v>
      </c>
      <c r="F180" s="45"/>
      <c r="G180" s="45" t="s">
        <v>1028</v>
      </c>
      <c r="H180" s="61" t="s">
        <v>402</v>
      </c>
      <c r="I180" s="46">
        <v>7420.0</v>
      </c>
      <c r="J180" s="46"/>
      <c r="K180" s="46">
        <f t="shared" si="10"/>
        <v>132704.5</v>
      </c>
      <c r="L180" s="62" t="s">
        <v>45</v>
      </c>
      <c r="M180" s="62" t="s">
        <v>47</v>
      </c>
      <c r="N180" s="63"/>
      <c r="O180" s="62" t="s">
        <v>60</v>
      </c>
      <c r="P180" s="30" t="s">
        <v>61</v>
      </c>
      <c r="Q180" s="64" t="s">
        <v>50</v>
      </c>
      <c r="R180" s="36"/>
      <c r="S180" s="36"/>
      <c r="T180" s="36"/>
      <c r="U180" s="36"/>
      <c r="V180" s="36"/>
      <c r="W180" s="30" t="str">
        <f t="shared" si="14"/>
        <v>Fund Transfer: From YES MASTER 0264 to x0377 (Ref: YESME6127006561800) (Type: Master 2 RERA) (BU: Casa Romana) (Head: Internal)</v>
      </c>
      <c r="X180" s="30"/>
      <c r="Y180" s="59"/>
      <c r="Z180" s="2"/>
      <c r="AA180" s="2"/>
      <c r="AB180" s="2"/>
      <c r="AC180" s="2"/>
    </row>
    <row r="181" ht="15.75" customHeight="1">
      <c r="A181" s="56">
        <v>56.0</v>
      </c>
      <c r="B181" s="56" t="str">
        <f t="shared" si="12"/>
        <v>#NAME?</v>
      </c>
      <c r="C181" s="56">
        <f t="shared" si="13"/>
        <v>5</v>
      </c>
      <c r="D181" s="66">
        <v>46149.0</v>
      </c>
      <c r="E181" s="66">
        <v>46149.0</v>
      </c>
      <c r="F181" s="45"/>
      <c r="G181" s="45" t="s">
        <v>1032</v>
      </c>
      <c r="H181" s="61" t="s">
        <v>1033</v>
      </c>
      <c r="I181" s="46"/>
      <c r="J181" s="46">
        <v>100000.0</v>
      </c>
      <c r="K181" s="46">
        <f t="shared" si="10"/>
        <v>140124.5</v>
      </c>
      <c r="L181" s="62" t="s">
        <v>45</v>
      </c>
      <c r="M181" s="62" t="s">
        <v>94</v>
      </c>
      <c r="N181" s="63"/>
      <c r="O181" s="62" t="s">
        <v>60</v>
      </c>
      <c r="P181" s="30" t="s">
        <v>95</v>
      </c>
      <c r="Q181" s="64" t="s">
        <v>82</v>
      </c>
      <c r="R181" s="36"/>
      <c r="S181" s="36"/>
      <c r="T181" s="36" t="s">
        <v>111</v>
      </c>
      <c r="U181" s="36"/>
      <c r="V181" s="36" t="s">
        <v>98</v>
      </c>
      <c r="W181" s="30" t="str">
        <f t="shared" si="14"/>
        <v>Receipt: For (Apt#: P-071) (Ref: YES0N6127480565900) (NEFT: MRIGANKA CHAKRABORTY-Dwarkadhis projects priva-AXOMB12702121165) (Type: Customer Collection) (BU: Casa Romana)</v>
      </c>
      <c r="X181" s="30"/>
      <c r="Y181" s="59"/>
      <c r="Z181" s="2"/>
      <c r="AA181" s="2"/>
      <c r="AB181" s="2"/>
      <c r="AC181" s="2"/>
    </row>
    <row r="182" ht="15.75" customHeight="1">
      <c r="A182" s="56">
        <v>55.0</v>
      </c>
      <c r="B182" s="56" t="str">
        <f t="shared" si="12"/>
        <v>#NAME?</v>
      </c>
      <c r="C182" s="56">
        <f t="shared" si="13"/>
        <v>5</v>
      </c>
      <c r="D182" s="66">
        <v>46148.0</v>
      </c>
      <c r="E182" s="66">
        <v>46148.0</v>
      </c>
      <c r="F182" s="45"/>
      <c r="G182" s="45" t="s">
        <v>1038</v>
      </c>
      <c r="H182" s="61" t="s">
        <v>1039</v>
      </c>
      <c r="I182" s="46"/>
      <c r="J182" s="46">
        <v>10600.0</v>
      </c>
      <c r="K182" s="46">
        <f t="shared" si="10"/>
        <v>40124.5</v>
      </c>
      <c r="L182" s="62" t="s">
        <v>45</v>
      </c>
      <c r="M182" s="62" t="s">
        <v>94</v>
      </c>
      <c r="N182" s="63"/>
      <c r="O182" s="62" t="s">
        <v>60</v>
      </c>
      <c r="P182" s="30" t="s">
        <v>95</v>
      </c>
      <c r="Q182" s="64" t="s">
        <v>82</v>
      </c>
      <c r="R182" s="36"/>
      <c r="S182" s="36"/>
      <c r="T182" s="36" t="s">
        <v>244</v>
      </c>
      <c r="U182" s="36"/>
      <c r="V182" s="36" t="s">
        <v>501</v>
      </c>
      <c r="W182" s="30" t="str">
        <f t="shared" si="14"/>
        <v>Receipt: For (Apt#: R-064) (Ref: YBP6126526592015) (IMPS: AMITKUMAR/XXX3986/RRN:612622675562/AXIS BANK) (Type: Customer Collection) (BU: Casa Romana)</v>
      </c>
      <c r="X182" s="68">
        <v>0.05</v>
      </c>
      <c r="Y182" s="59"/>
      <c r="Z182" s="2"/>
      <c r="AA182" s="2"/>
      <c r="AB182" s="2"/>
      <c r="AC182" s="2"/>
    </row>
    <row r="183" ht="15.75" hidden="1" customHeight="1">
      <c r="A183" s="56">
        <v>54.0</v>
      </c>
      <c r="B183" s="56" t="str">
        <f t="shared" si="12"/>
        <v>#NAME?</v>
      </c>
      <c r="C183" s="56">
        <f t="shared" si="13"/>
        <v>5</v>
      </c>
      <c r="D183" s="66">
        <v>46148.0</v>
      </c>
      <c r="E183" s="66">
        <v>46148.0</v>
      </c>
      <c r="F183" s="45"/>
      <c r="G183" s="45" t="s">
        <v>1028</v>
      </c>
      <c r="H183" s="61" t="s">
        <v>418</v>
      </c>
      <c r="I183" s="46">
        <v>177447.0</v>
      </c>
      <c r="J183" s="46"/>
      <c r="K183" s="46">
        <f t="shared" si="10"/>
        <v>29524.5</v>
      </c>
      <c r="L183" s="62" t="s">
        <v>45</v>
      </c>
      <c r="M183" s="62" t="s">
        <v>47</v>
      </c>
      <c r="N183" s="63"/>
      <c r="O183" s="62" t="s">
        <v>60</v>
      </c>
      <c r="P183" s="30" t="s">
        <v>61</v>
      </c>
      <c r="Q183" s="64" t="s">
        <v>50</v>
      </c>
      <c r="R183" s="36"/>
      <c r="S183" s="36"/>
      <c r="T183" s="36"/>
      <c r="U183" s="36"/>
      <c r="V183" s="36"/>
      <c r="W183" s="30" t="str">
        <f t="shared" si="14"/>
        <v>Fund Transfer: From YES MASTER 0264 to x0377 (Ref: YESME6126005382800) (Type: Master 2 RERA) (BU: Casa Romana) (Head: Internal)</v>
      </c>
      <c r="X183" s="30"/>
      <c r="Y183" s="59"/>
      <c r="Z183" s="2"/>
      <c r="AA183" s="2"/>
      <c r="AB183" s="2"/>
      <c r="AC183" s="2"/>
    </row>
    <row r="184" ht="15.75" hidden="1" customHeight="1">
      <c r="A184" s="56">
        <v>53.0</v>
      </c>
      <c r="B184" s="56" t="str">
        <f t="shared" si="12"/>
        <v>#NAME?</v>
      </c>
      <c r="C184" s="56">
        <f t="shared" si="13"/>
        <v>5</v>
      </c>
      <c r="D184" s="66">
        <v>46148.0</v>
      </c>
      <c r="E184" s="66">
        <v>46148.0</v>
      </c>
      <c r="F184" s="45"/>
      <c r="G184" s="45" t="s">
        <v>1050</v>
      </c>
      <c r="H184" s="61" t="s">
        <v>1051</v>
      </c>
      <c r="I184" s="46">
        <v>76049.0</v>
      </c>
      <c r="J184" s="46"/>
      <c r="K184" s="46">
        <f t="shared" si="10"/>
        <v>206971.5</v>
      </c>
      <c r="L184" s="62" t="s">
        <v>45</v>
      </c>
      <c r="M184" s="62" t="s">
        <v>47</v>
      </c>
      <c r="N184" s="63"/>
      <c r="O184" s="62" t="s">
        <v>60</v>
      </c>
      <c r="P184" s="30" t="s">
        <v>51</v>
      </c>
      <c r="Q184" s="64" t="s">
        <v>50</v>
      </c>
      <c r="R184" s="36"/>
      <c r="S184" s="36"/>
      <c r="T184" s="36"/>
      <c r="U184" s="36"/>
      <c r="V184" s="36"/>
      <c r="W184" s="30" t="str">
        <f t="shared" si="14"/>
        <v>Fund Transfer: From YES MASTER 0264 to xHTRA (Ref: YESME6126005567500) (Type: Master to Free) (BU: Casa Romana) (Head: Internal)</v>
      </c>
      <c r="X184" s="30"/>
      <c r="Y184" s="59"/>
      <c r="Z184" s="2"/>
      <c r="AA184" s="2"/>
      <c r="AB184" s="2"/>
      <c r="AC184" s="2"/>
    </row>
    <row r="185" ht="15.75" customHeight="1">
      <c r="A185" s="56">
        <v>52.0</v>
      </c>
      <c r="B185" s="56" t="str">
        <f t="shared" si="12"/>
        <v>#NAME?</v>
      </c>
      <c r="C185" s="56">
        <f t="shared" si="13"/>
        <v>5</v>
      </c>
      <c r="D185" s="66">
        <v>46148.0</v>
      </c>
      <c r="E185" s="66">
        <v>46148.0</v>
      </c>
      <c r="F185" s="45"/>
      <c r="G185" s="45" t="s">
        <v>1056</v>
      </c>
      <c r="H185" s="61" t="s">
        <v>1057</v>
      </c>
      <c r="I185" s="46"/>
      <c r="J185" s="46">
        <v>150000.0</v>
      </c>
      <c r="K185" s="46">
        <f t="shared" si="10"/>
        <v>283020.5</v>
      </c>
      <c r="L185" s="62" t="s">
        <v>45</v>
      </c>
      <c r="M185" s="62" t="s">
        <v>94</v>
      </c>
      <c r="N185" s="63"/>
      <c r="O185" s="62" t="s">
        <v>60</v>
      </c>
      <c r="P185" s="30" t="s">
        <v>95</v>
      </c>
      <c r="Q185" s="64" t="s">
        <v>82</v>
      </c>
      <c r="R185" s="36"/>
      <c r="S185" s="36"/>
      <c r="T185" s="36" t="s">
        <v>149</v>
      </c>
      <c r="U185" s="36"/>
      <c r="V185" s="36" t="s">
        <v>98</v>
      </c>
      <c r="W185" s="30" t="str">
        <f t="shared" si="14"/>
        <v>Receipt: For (Apt#: U-013) (Ref: YES0N6126325320200) (NEFT: RAHULENTERPRISES-dwarkadhis projects priva-KVBLH00260858988) (Type: Customer Collection) (BU: Casa Romana)</v>
      </c>
      <c r="X185" s="30"/>
      <c r="Y185" s="59"/>
      <c r="Z185" s="2"/>
      <c r="AA185" s="2"/>
      <c r="AB185" s="2"/>
      <c r="AC185" s="2"/>
    </row>
    <row r="186" ht="15.75" customHeight="1">
      <c r="A186" s="56">
        <v>51.0</v>
      </c>
      <c r="B186" s="56" t="str">
        <f t="shared" si="12"/>
        <v>#NAME?</v>
      </c>
      <c r="C186" s="56">
        <f t="shared" si="13"/>
        <v>5</v>
      </c>
      <c r="D186" s="66">
        <v>46147.0</v>
      </c>
      <c r="E186" s="66">
        <v>46147.0</v>
      </c>
      <c r="F186" s="45"/>
      <c r="G186" s="45" t="s">
        <v>1062</v>
      </c>
      <c r="H186" s="61" t="s">
        <v>1063</v>
      </c>
      <c r="I186" s="46"/>
      <c r="J186" s="46">
        <v>103495.0</v>
      </c>
      <c r="K186" s="46">
        <f t="shared" si="10"/>
        <v>133020.5</v>
      </c>
      <c r="L186" s="62" t="s">
        <v>45</v>
      </c>
      <c r="M186" s="62" t="s">
        <v>94</v>
      </c>
      <c r="N186" s="63"/>
      <c r="O186" s="62" t="s">
        <v>60</v>
      </c>
      <c r="P186" s="30" t="s">
        <v>95</v>
      </c>
      <c r="Q186" s="64" t="s">
        <v>82</v>
      </c>
      <c r="R186" s="36"/>
      <c r="S186" s="36"/>
      <c r="T186" s="36" t="s">
        <v>1065</v>
      </c>
      <c r="U186" s="36"/>
      <c r="V186" s="36" t="s">
        <v>98</v>
      </c>
      <c r="W186" s="30" t="str">
        <f t="shared" si="14"/>
        <v>Receipt: For (Apt#: R-032) (Ref: YES0N6125253064400) (NEFT: RAJIV PAWAR-Dwarkadhis projectsPvt Lt-HDFCH00976823057) (Type: Customer Collection) (BU: Casa Romana)</v>
      </c>
      <c r="X186" s="30"/>
      <c r="Y186" s="59"/>
      <c r="Z186" s="2"/>
      <c r="AA186" s="2"/>
      <c r="AB186" s="2"/>
      <c r="AC186" s="2"/>
    </row>
    <row r="187" ht="15.75" hidden="1" customHeight="1">
      <c r="A187" s="56">
        <v>50.0</v>
      </c>
      <c r="B187" s="56" t="str">
        <f t="shared" si="12"/>
        <v>#NAME?</v>
      </c>
      <c r="C187" s="56">
        <f t="shared" si="13"/>
        <v>5</v>
      </c>
      <c r="D187" s="66">
        <v>46147.0</v>
      </c>
      <c r="E187" s="66">
        <v>46147.0</v>
      </c>
      <c r="F187" s="45"/>
      <c r="G187" s="45" t="s">
        <v>1070</v>
      </c>
      <c r="H187" s="61" t="s">
        <v>1071</v>
      </c>
      <c r="I187" s="46">
        <v>163592.0</v>
      </c>
      <c r="J187" s="46"/>
      <c r="K187" s="46">
        <f t="shared" si="10"/>
        <v>29525.5</v>
      </c>
      <c r="L187" s="62" t="s">
        <v>45</v>
      </c>
      <c r="M187" s="62" t="s">
        <v>47</v>
      </c>
      <c r="N187" s="63"/>
      <c r="O187" s="62" t="s">
        <v>60</v>
      </c>
      <c r="P187" s="30" t="s">
        <v>51</v>
      </c>
      <c r="Q187" s="64" t="s">
        <v>50</v>
      </c>
      <c r="R187" s="36"/>
      <c r="S187" s="36"/>
      <c r="T187" s="36"/>
      <c r="U187" s="36"/>
      <c r="V187" s="36"/>
      <c r="W187" s="30" t="str">
        <f t="shared" si="14"/>
        <v>Fund Transfer: From YES MASTER 0264 to xHTRA (Ref: YESME6125006751700) (Type: Master to Free) (BU: Casa Romana) (Head: Internal)</v>
      </c>
      <c r="X187" s="30"/>
      <c r="Y187" s="59"/>
      <c r="Z187" s="2"/>
      <c r="AA187" s="2"/>
      <c r="AB187" s="2"/>
      <c r="AC187" s="2"/>
    </row>
    <row r="188" ht="15.75" hidden="1" customHeight="1">
      <c r="A188" s="56">
        <v>49.0</v>
      </c>
      <c r="B188" s="56" t="str">
        <f t="shared" si="12"/>
        <v>#NAME?</v>
      </c>
      <c r="C188" s="56">
        <f t="shared" si="13"/>
        <v>5</v>
      </c>
      <c r="D188" s="66">
        <v>46147.0</v>
      </c>
      <c r="E188" s="66">
        <v>46147.0</v>
      </c>
      <c r="F188" s="45"/>
      <c r="G188" s="45" t="s">
        <v>970</v>
      </c>
      <c r="H188" s="61" t="s">
        <v>426</v>
      </c>
      <c r="I188" s="46">
        <v>381714.0</v>
      </c>
      <c r="J188" s="46"/>
      <c r="K188" s="46">
        <f t="shared" si="10"/>
        <v>193117.5</v>
      </c>
      <c r="L188" s="62" t="s">
        <v>45</v>
      </c>
      <c r="M188" s="62" t="s">
        <v>47</v>
      </c>
      <c r="N188" s="63"/>
      <c r="O188" s="62" t="s">
        <v>60</v>
      </c>
      <c r="P188" s="30" t="s">
        <v>61</v>
      </c>
      <c r="Q188" s="64" t="s">
        <v>50</v>
      </c>
      <c r="R188" s="36"/>
      <c r="S188" s="36"/>
      <c r="T188" s="36"/>
      <c r="U188" s="36"/>
      <c r="V188" s="36"/>
      <c r="W188" s="30" t="str">
        <f t="shared" si="14"/>
        <v>Fund Transfer: From YES MASTER 0264 to x0377 (Ref: YESME6125006751600) (Type: Master 2 RERA) (BU: Casa Romana) (Head: Internal)</v>
      </c>
      <c r="X188" s="30"/>
      <c r="Y188" s="59"/>
      <c r="Z188" s="2"/>
      <c r="AA188" s="2"/>
      <c r="AB188" s="2"/>
      <c r="AC188" s="2"/>
    </row>
    <row r="189" ht="15.75" customHeight="1">
      <c r="A189" s="56">
        <v>48.0</v>
      </c>
      <c r="B189" s="56" t="str">
        <f t="shared" si="12"/>
        <v>#NAME?</v>
      </c>
      <c r="C189" s="56">
        <f t="shared" si="13"/>
        <v>5</v>
      </c>
      <c r="D189" s="66">
        <v>46147.0</v>
      </c>
      <c r="E189" s="66">
        <v>46147.0</v>
      </c>
      <c r="F189" s="45"/>
      <c r="G189" s="45" t="s">
        <v>1078</v>
      </c>
      <c r="H189" s="61" t="s">
        <v>1080</v>
      </c>
      <c r="I189" s="46"/>
      <c r="J189" s="46">
        <v>47360.0</v>
      </c>
      <c r="K189" s="46">
        <f t="shared" si="10"/>
        <v>574831.5</v>
      </c>
      <c r="L189" s="62" t="s">
        <v>45</v>
      </c>
      <c r="M189" s="62" t="s">
        <v>94</v>
      </c>
      <c r="N189" s="63"/>
      <c r="O189" s="62" t="s">
        <v>60</v>
      </c>
      <c r="P189" s="30" t="s">
        <v>95</v>
      </c>
      <c r="Q189" s="64" t="s">
        <v>82</v>
      </c>
      <c r="R189" s="36"/>
      <c r="S189" s="36"/>
      <c r="T189" s="36" t="s">
        <v>531</v>
      </c>
      <c r="U189" s="36"/>
      <c r="V189" s="36" t="s">
        <v>98</v>
      </c>
      <c r="W189" s="30" t="str">
        <f t="shared" si="14"/>
        <v>Receipt: For (Apt#: M-096) (Ref: YES0N6125224390600) (NEFT: Mr. Jayant Raitani-DWARKADHIS PROJECTS PRIVA-IDFB612581820432) (Type: Customer Collection) (BU: Casa Romana)</v>
      </c>
      <c r="X189" s="30"/>
      <c r="Y189" s="59"/>
      <c r="Z189" s="2"/>
      <c r="AA189" s="2"/>
      <c r="AB189" s="2"/>
      <c r="AC189" s="2"/>
    </row>
    <row r="190" ht="15.75" customHeight="1">
      <c r="A190" s="56">
        <v>47.0</v>
      </c>
      <c r="B190" s="56" t="str">
        <f t="shared" si="12"/>
        <v>#NAME?</v>
      </c>
      <c r="C190" s="56">
        <f t="shared" si="13"/>
        <v>5</v>
      </c>
      <c r="D190" s="66">
        <v>46147.0</v>
      </c>
      <c r="E190" s="66">
        <v>46147.0</v>
      </c>
      <c r="F190" s="45"/>
      <c r="G190" s="45" t="s">
        <v>1085</v>
      </c>
      <c r="H190" s="61" t="s">
        <v>1086</v>
      </c>
      <c r="I190" s="46"/>
      <c r="J190" s="46">
        <v>32276.0</v>
      </c>
      <c r="K190" s="46">
        <f t="shared" si="10"/>
        <v>527471.5</v>
      </c>
      <c r="L190" s="62" t="s">
        <v>45</v>
      </c>
      <c r="M190" s="62" t="s">
        <v>94</v>
      </c>
      <c r="N190" s="63"/>
      <c r="O190" s="62" t="s">
        <v>60</v>
      </c>
      <c r="P190" s="30" t="s">
        <v>95</v>
      </c>
      <c r="Q190" s="64" t="s">
        <v>82</v>
      </c>
      <c r="R190" s="36"/>
      <c r="S190" s="36"/>
      <c r="T190" s="36" t="s">
        <v>508</v>
      </c>
      <c r="U190" s="36"/>
      <c r="V190" s="36" t="s">
        <v>98</v>
      </c>
      <c r="W190" s="30" t="str">
        <f t="shared" si="14"/>
        <v>Receipt: For (Apt#: M-128) (Ref: YES0N6125222905300) (NEFT: MANISH ANAND-DWARKADHIS PROJECTS PRIVA-HDFCH00975369665) (Type: Customer Collection) (BU: Casa Romana)</v>
      </c>
      <c r="X190" s="30"/>
      <c r="Y190" s="59"/>
      <c r="Z190" s="2"/>
      <c r="AA190" s="2"/>
      <c r="AB190" s="2"/>
      <c r="AC190" s="2"/>
    </row>
    <row r="191" ht="15.75" customHeight="1">
      <c r="A191" s="56">
        <v>46.0</v>
      </c>
      <c r="B191" s="56" t="str">
        <f t="shared" si="12"/>
        <v>#NAME?</v>
      </c>
      <c r="C191" s="56">
        <f t="shared" si="13"/>
        <v>5</v>
      </c>
      <c r="D191" s="66">
        <v>46147.0</v>
      </c>
      <c r="E191" s="66">
        <v>46147.0</v>
      </c>
      <c r="F191" s="45"/>
      <c r="G191" s="45" t="s">
        <v>1090</v>
      </c>
      <c r="H191" s="61" t="s">
        <v>1091</v>
      </c>
      <c r="I191" s="46"/>
      <c r="J191" s="46">
        <v>61110.0</v>
      </c>
      <c r="K191" s="46">
        <f t="shared" si="10"/>
        <v>495195.5</v>
      </c>
      <c r="L191" s="62" t="s">
        <v>45</v>
      </c>
      <c r="M191" s="62" t="s">
        <v>94</v>
      </c>
      <c r="N191" s="63"/>
      <c r="O191" s="62" t="s">
        <v>60</v>
      </c>
      <c r="P191" s="30" t="s">
        <v>95</v>
      </c>
      <c r="Q191" s="64" t="s">
        <v>82</v>
      </c>
      <c r="R191" s="36"/>
      <c r="S191" s="36"/>
      <c r="T191" s="36" t="s">
        <v>205</v>
      </c>
      <c r="U191" s="36"/>
      <c r="V191" s="36" t="s">
        <v>501</v>
      </c>
      <c r="W191" s="30" t="str">
        <f t="shared" si="14"/>
        <v>Receipt: For (Apt#: L-043) (Ref: YBP6125524781537) (IMPS: VIDYA DEVI/XXX7419/RRN:612514851842/STATE BANK OF INDIA) (Type: Customer Collection) (BU: Casa Romana)</v>
      </c>
      <c r="X191" s="65">
        <v>0.05</v>
      </c>
      <c r="Y191" s="59"/>
      <c r="Z191" s="2"/>
      <c r="AA191" s="2"/>
      <c r="AB191" s="2"/>
      <c r="AC191" s="2"/>
    </row>
    <row r="192" ht="15.75" customHeight="1">
      <c r="A192" s="56">
        <v>45.0</v>
      </c>
      <c r="B192" s="56" t="str">
        <f t="shared" si="12"/>
        <v>#NAME?</v>
      </c>
      <c r="C192" s="56">
        <f t="shared" si="13"/>
        <v>5</v>
      </c>
      <c r="D192" s="66">
        <v>46147.0</v>
      </c>
      <c r="E192" s="66">
        <v>46147.0</v>
      </c>
      <c r="F192" s="45"/>
      <c r="G192" s="45" t="s">
        <v>1096</v>
      </c>
      <c r="H192" s="61" t="s">
        <v>1097</v>
      </c>
      <c r="I192" s="46"/>
      <c r="J192" s="46">
        <v>25000.0</v>
      </c>
      <c r="K192" s="46">
        <f t="shared" si="10"/>
        <v>434085.5</v>
      </c>
      <c r="L192" s="62" t="s">
        <v>45</v>
      </c>
      <c r="M192" s="62" t="s">
        <v>94</v>
      </c>
      <c r="N192" s="63"/>
      <c r="O192" s="62" t="s">
        <v>60</v>
      </c>
      <c r="P192" s="30" t="s">
        <v>95</v>
      </c>
      <c r="Q192" s="64" t="s">
        <v>82</v>
      </c>
      <c r="R192" s="36"/>
      <c r="S192" s="36"/>
      <c r="T192" s="36" t="s">
        <v>222</v>
      </c>
      <c r="U192" s="30"/>
      <c r="V192" s="36" t="s">
        <v>98</v>
      </c>
      <c r="W192" s="30" t="str">
        <f t="shared" ref="W192:W235" si="15">TRIM(IF(M192="Internal", IF(ISBLANK(G192), IF(LEN(G192)-LEN(SUBSTITUTE(G192,"-",""))&gt;=3, "Fund Transfer: From x" &amp; RIGHT(MID(G192, FIND("|", SUBSTITUTE(G192, "-", "|", 3)) + 1, LEN(G192)), 4) &amp; " to YES MASTER 0264 (Ref: " &amp; H192 &amp; ") (Type: " &amp; P192 &amp; ") (BU: " &amp; L192 &amp; ") (Head: " &amp; M192 &amp; ")", "Fund Transfer: To YES MASTER 0264 (Ref: " &amp; H192 &amp; ") (Type: " &amp; P192 &amp; ") (BU: " &amp; L192 &amp; ") (Head: " &amp; M192 &amp; ")"), IF(LEN(G192)-LEN(SUBSTITUTE(G192,"-",""))&gt;=3, "Fund Transfer: From YES MASTER 0264 to x" &amp; RIGHT(MID(G192, FIND("|", SUBSTITUTE(G192, "-", "|", 3)) + 1, LEN(G192)), 4) &amp; " (Ref: " &amp; H192 &amp; ") (Type: " &amp; P192 &amp; ") (BU: " &amp; L192 &amp; ") (Head: " &amp; M192 &amp; ")", "Fund Transfer: From YES MASTER 0264 (Ref: " &amp; H192 &amp; ") (Type: " &amp; P192 &amp; ") (BU: " &amp; L192 &amp; ") (Head: " &amp; M192 &amp; ")")), IF(NOT(ISBLANK(J192)), IF(P192="Customer Collection", "Receipt: For " &amp; IF(ISBLANK(T192), "", "(Apt#: " &amp; T192 &amp; ") ") &amp; "(Ref: " &amp; H192 &amp; ") (" &amp; IF(ISNUMBER(SEARCH("NEFT",G192)), "NEFT:", IF(ISNUMBER(SEARCH("RTGS",G192)), "RTGS:", IF(ISNUMBER(SEARCH("IMPS",G192)), "IMPS:", ""))) &amp; " " &amp; IF(ISNUMBER(SEARCH("SOHNA ROAD", G192)), "", IFERROR(MID(G192, FIND("-", G192, FIND("-", G192) + 1) + 1, LEN(G192)), SUBSTITUTE(SUBSTITUTE(SUBSTITUTE(G192, "IMPS/", ""), "NEFT/", ""), "RTGS/", ""))) &amp; ") (Type: " &amp; P192 &amp; ") (BU: " &amp; L192 &amp; ")", IF(LEN(G192)-LEN(SUBSTITUTE(G192,"-",""))&gt;=3, "Receipt: From x" &amp; RIGHT(MID(G192, FIND("|", SUBSTITUTE(G192, "-", "|", 3)) + 1, LEN(G192)), 4) &amp; " towards " &amp; IF(ISBLANK(U192), L192, U192) &amp; IF(OR(L192="Cancellation", L192="Collection"), " Apt No " &amp; T192, "") &amp; " (Ref: " &amp; H192 &amp; ") (Type: " &amp; P192 &amp; ") (BU: " &amp; L192 &amp; ") (Head: " &amp; M192 &amp; ")" &amp; IF(ISBLANK(T192), "", " (Apt#: " &amp; T192 &amp; ")"), "Receipt: Against " &amp; IF(ISBLANK(U192), L192, U192) &amp; IF(OR(L192="Cancellation", L192="Collection"), " Apt No " &amp; T192, "") &amp; " (Ref: " &amp; H192 &amp; ") (Type: " &amp; P192 &amp; ") (BU: " &amp; L192 &amp; ") (Head: " &amp; M192 &amp; ")" &amp; IF(ISBLANK(T192), "", " (Apt#: " &amp; T192 &amp; ")"))), IF(LEN(G192)-LEN(SUBSTITUTE(G192,"-",""))&gt;=3, "Payment: To x" &amp; RIGHT(MID(G192, FIND("|", SUBSTITUTE(G192, "-", "|", 3)) + 1, LEN(G192)), 4) &amp; " for " &amp; IF(ISBLANK(U192), L192, U192) &amp; " (Ref: " &amp; H192 &amp; ") (Type: " &amp; P192 &amp; ") (BU: " &amp; L192 &amp; ") (Head: " &amp; M192 &amp; ")" &amp; IF(ISBLANK(T192), "", " (Apt#: " &amp; T192 &amp; ")"), "Payment: Disbursement for " &amp; IF(ISBLANK(U192), "", IF(ISBLANK(U192), "", U192) &amp; " ") &amp; "(Ref: " &amp; H192 &amp; ") (Type: " &amp; P192 &amp; ") (BU: " &amp; L192 &amp; ") (Head: " &amp; M192 &amp; ")" &amp; IF(ISBLANK(T192), "", " (Apt#: " &amp; T192 &amp; ")")))))</f>
        <v>Receipt: For (Apt#: U-092) (Ref: YES0N6125218081200) (NEFT: POONAM KAUR-DWARKADHIS PROJECTS PRIVA-IN12612536214211) (Type: Customer Collection) (BU: Casa Romana)</v>
      </c>
      <c r="X192" s="36"/>
      <c r="Y192" s="59"/>
      <c r="Z192" s="2"/>
      <c r="AA192" s="2"/>
      <c r="AB192" s="2"/>
      <c r="AC192" s="2"/>
    </row>
    <row r="193" ht="15.75" customHeight="1">
      <c r="A193" s="56">
        <v>44.0</v>
      </c>
      <c r="B193" s="56" t="str">
        <f t="shared" si="12"/>
        <v>#NAME?</v>
      </c>
      <c r="C193" s="56">
        <f t="shared" si="13"/>
        <v>5</v>
      </c>
      <c r="D193" s="66">
        <v>46147.0</v>
      </c>
      <c r="E193" s="66">
        <v>46147.0</v>
      </c>
      <c r="F193" s="45"/>
      <c r="G193" s="45" t="s">
        <v>1113</v>
      </c>
      <c r="H193" s="61" t="s">
        <v>1114</v>
      </c>
      <c r="I193" s="46"/>
      <c r="J193" s="46">
        <v>40148.0</v>
      </c>
      <c r="K193" s="46">
        <f t="shared" si="10"/>
        <v>409085.5</v>
      </c>
      <c r="L193" s="62" t="s">
        <v>45</v>
      </c>
      <c r="M193" s="62" t="s">
        <v>94</v>
      </c>
      <c r="N193" s="63"/>
      <c r="O193" s="62" t="s">
        <v>60</v>
      </c>
      <c r="P193" s="30" t="s">
        <v>95</v>
      </c>
      <c r="Q193" s="64" t="s">
        <v>82</v>
      </c>
      <c r="R193" s="36"/>
      <c r="S193" s="36"/>
      <c r="T193" s="36" t="s">
        <v>1117</v>
      </c>
      <c r="U193" s="30"/>
      <c r="V193" s="36" t="s">
        <v>501</v>
      </c>
      <c r="W193" s="30" t="str">
        <f t="shared" si="15"/>
        <v>Receipt: For (Apt#: M-048) (Ref: YES0N6125215887400) (NEFT: PARVATHY KALESHBABU ANITH-DWARKADHIS PROJECTS PVT L-SCBLH12500698872) (Type: Customer Collection) (BU: Casa Romana)</v>
      </c>
      <c r="X193" s="68">
        <v>0.01</v>
      </c>
      <c r="Y193" s="59"/>
      <c r="Z193" s="2"/>
      <c r="AA193" s="2"/>
      <c r="AB193" s="2"/>
      <c r="AC193" s="2"/>
    </row>
    <row r="194" ht="15.75" customHeight="1">
      <c r="A194" s="56">
        <v>43.0</v>
      </c>
      <c r="B194" s="56" t="str">
        <f t="shared" si="12"/>
        <v>#NAME?</v>
      </c>
      <c r="C194" s="56">
        <f t="shared" si="13"/>
        <v>5</v>
      </c>
      <c r="D194" s="66">
        <v>46147.0</v>
      </c>
      <c r="E194" s="66">
        <v>46147.0</v>
      </c>
      <c r="F194" s="45"/>
      <c r="G194" s="45" t="s">
        <v>1123</v>
      </c>
      <c r="H194" s="61" t="s">
        <v>1124</v>
      </c>
      <c r="I194" s="46"/>
      <c r="J194" s="46">
        <v>4100.0</v>
      </c>
      <c r="K194" s="46">
        <f t="shared" si="10"/>
        <v>368937.5</v>
      </c>
      <c r="L194" s="62" t="s">
        <v>45</v>
      </c>
      <c r="M194" s="62" t="s">
        <v>94</v>
      </c>
      <c r="N194" s="63"/>
      <c r="O194" s="62" t="s">
        <v>60</v>
      </c>
      <c r="P194" s="30" t="s">
        <v>95</v>
      </c>
      <c r="Q194" s="64" t="s">
        <v>82</v>
      </c>
      <c r="R194" s="36"/>
      <c r="S194" s="36"/>
      <c r="T194" s="36" t="s">
        <v>1126</v>
      </c>
      <c r="U194" s="30"/>
      <c r="V194" s="36" t="s">
        <v>98</v>
      </c>
      <c r="W194" s="30" t="str">
        <f t="shared" si="15"/>
        <v>Receipt: For (Apt#: M-122) (Ref: YES0N6125205498100) (NEFT: MUKESH KIRAR-DWARKADHIS PROJECTS PRIVA-HDFCH00974466038) (Type: Customer Collection) (BU: Casa Romana)</v>
      </c>
      <c r="X194" s="36"/>
      <c r="Y194" s="59"/>
      <c r="Z194" s="2"/>
      <c r="AA194" s="2"/>
      <c r="AB194" s="2"/>
      <c r="AC194" s="2"/>
    </row>
    <row r="195" ht="15.75" customHeight="1">
      <c r="A195" s="56">
        <v>42.0</v>
      </c>
      <c r="B195" s="56" t="str">
        <f t="shared" si="12"/>
        <v>#NAME?</v>
      </c>
      <c r="C195" s="56">
        <f t="shared" si="13"/>
        <v>5</v>
      </c>
      <c r="D195" s="66">
        <v>46147.0</v>
      </c>
      <c r="E195" s="66">
        <v>46147.0</v>
      </c>
      <c r="F195" s="45"/>
      <c r="G195" s="45" t="s">
        <v>1131</v>
      </c>
      <c r="H195" s="61" t="s">
        <v>1132</v>
      </c>
      <c r="I195" s="46"/>
      <c r="J195" s="46">
        <v>52040.0</v>
      </c>
      <c r="K195" s="46">
        <f t="shared" si="10"/>
        <v>364837.5</v>
      </c>
      <c r="L195" s="62" t="s">
        <v>45</v>
      </c>
      <c r="M195" s="62" t="s">
        <v>94</v>
      </c>
      <c r="N195" s="63"/>
      <c r="O195" s="62" t="s">
        <v>60</v>
      </c>
      <c r="P195" s="30" t="s">
        <v>95</v>
      </c>
      <c r="Q195" s="64" t="s">
        <v>82</v>
      </c>
      <c r="R195" s="36"/>
      <c r="S195" s="36"/>
      <c r="T195" s="36" t="s">
        <v>921</v>
      </c>
      <c r="U195" s="30"/>
      <c r="V195" s="36" t="s">
        <v>501</v>
      </c>
      <c r="W195" s="30" t="str">
        <f t="shared" si="15"/>
        <v>Receipt: For (Apt#: L-023) (Ref: YBP6125524539844) (IMPS: RISHI BHATIA/XXX8877/RRN:612511403468/ICICI BANK LIMITED) (Type: Customer Collection) (BU: Casa Romana)</v>
      </c>
      <c r="X195" s="68">
        <v>0.01</v>
      </c>
      <c r="Y195" s="59"/>
      <c r="Z195" s="2"/>
      <c r="AA195" s="2"/>
      <c r="AB195" s="2"/>
      <c r="AC195" s="2"/>
    </row>
    <row r="196" ht="15.75" customHeight="1">
      <c r="A196" s="56">
        <v>41.0</v>
      </c>
      <c r="B196" s="56" t="str">
        <f t="shared" si="12"/>
        <v>#NAME?</v>
      </c>
      <c r="C196" s="56">
        <f t="shared" si="13"/>
        <v>5</v>
      </c>
      <c r="D196" s="66">
        <v>46147.0</v>
      </c>
      <c r="E196" s="66">
        <v>46147.0</v>
      </c>
      <c r="F196" s="45"/>
      <c r="G196" s="45" t="s">
        <v>1139</v>
      </c>
      <c r="H196" s="61" t="s">
        <v>1140</v>
      </c>
      <c r="I196" s="46"/>
      <c r="J196" s="46">
        <v>95000.0</v>
      </c>
      <c r="K196" s="46">
        <f t="shared" si="10"/>
        <v>312797.5</v>
      </c>
      <c r="L196" s="62" t="s">
        <v>45</v>
      </c>
      <c r="M196" s="62" t="s">
        <v>94</v>
      </c>
      <c r="N196" s="63"/>
      <c r="O196" s="62" t="s">
        <v>60</v>
      </c>
      <c r="P196" s="30" t="s">
        <v>95</v>
      </c>
      <c r="Q196" s="64" t="s">
        <v>82</v>
      </c>
      <c r="R196" s="36"/>
      <c r="S196" s="36"/>
      <c r="T196" s="36" t="s">
        <v>461</v>
      </c>
      <c r="U196" s="30"/>
      <c r="V196" s="36" t="s">
        <v>98</v>
      </c>
      <c r="W196" s="30" t="str">
        <f t="shared" si="15"/>
        <v>Receipt: For (Apt#: U-072) (Ref: YBS6125352149073) ( UPI/012216184317/From:9811295007@ybl/To:045563200000264@YESB0000455.ifsc.npci/Payment from PhonePe) (Type: Customer Collection) (BU: Casa Romana)</v>
      </c>
      <c r="X196" s="36"/>
      <c r="Y196" s="59"/>
      <c r="Z196" s="2"/>
      <c r="AA196" s="2"/>
      <c r="AB196" s="2"/>
      <c r="AC196" s="2"/>
    </row>
    <row r="197" ht="15.75" customHeight="1">
      <c r="A197" s="56">
        <v>40.0</v>
      </c>
      <c r="B197" s="56" t="str">
        <f t="shared" si="12"/>
        <v>#NAME?</v>
      </c>
      <c r="C197" s="56">
        <f t="shared" si="13"/>
        <v>5</v>
      </c>
      <c r="D197" s="66">
        <v>46146.0</v>
      </c>
      <c r="E197" s="66">
        <v>46146.0</v>
      </c>
      <c r="F197" s="45"/>
      <c r="G197" s="45" t="s">
        <v>1147</v>
      </c>
      <c r="H197" s="61" t="s">
        <v>1148</v>
      </c>
      <c r="I197" s="46"/>
      <c r="J197" s="46">
        <v>30000.0</v>
      </c>
      <c r="K197" s="46">
        <f t="shared" si="10"/>
        <v>217797.5</v>
      </c>
      <c r="L197" s="62" t="s">
        <v>45</v>
      </c>
      <c r="M197" s="62" t="s">
        <v>94</v>
      </c>
      <c r="N197" s="63"/>
      <c r="O197" s="62" t="s">
        <v>60</v>
      </c>
      <c r="P197" s="30" t="s">
        <v>95</v>
      </c>
      <c r="Q197" s="64" t="s">
        <v>82</v>
      </c>
      <c r="R197" s="36"/>
      <c r="S197" s="36"/>
      <c r="T197" s="36" t="s">
        <v>551</v>
      </c>
      <c r="U197" s="30"/>
      <c r="V197" s="36" t="s">
        <v>98</v>
      </c>
      <c r="W197" s="30" t="str">
        <f t="shared" si="15"/>
        <v>Receipt: For (Apt#: S-083) (Ref: YBP6124524037717) (IMPS: RENUYADAV/XXX2338/RRN:612421139258/) (Type: Customer Collection) (BU: Casa Romana)</v>
      </c>
      <c r="X197" s="36"/>
      <c r="Y197" s="59"/>
      <c r="Z197" s="2"/>
      <c r="AA197" s="2"/>
      <c r="AB197" s="2"/>
      <c r="AC197" s="2"/>
    </row>
    <row r="198" ht="15.75" customHeight="1">
      <c r="A198" s="56">
        <v>39.0</v>
      </c>
      <c r="B198" s="56" t="str">
        <f t="shared" si="12"/>
        <v>#NAME?</v>
      </c>
      <c r="C198" s="56">
        <f t="shared" si="13"/>
        <v>5</v>
      </c>
      <c r="D198" s="66">
        <v>46146.0</v>
      </c>
      <c r="E198" s="66">
        <v>46146.0</v>
      </c>
      <c r="F198" s="45"/>
      <c r="G198" s="45" t="s">
        <v>1152</v>
      </c>
      <c r="H198" s="61" t="s">
        <v>1153</v>
      </c>
      <c r="I198" s="46"/>
      <c r="J198" s="46">
        <v>53777.0</v>
      </c>
      <c r="K198" s="46">
        <f t="shared" si="10"/>
        <v>187797.5</v>
      </c>
      <c r="L198" s="62" t="s">
        <v>45</v>
      </c>
      <c r="M198" s="62" t="s">
        <v>94</v>
      </c>
      <c r="N198" s="63"/>
      <c r="O198" s="62" t="s">
        <v>60</v>
      </c>
      <c r="P198" s="30" t="s">
        <v>95</v>
      </c>
      <c r="Q198" s="64" t="s">
        <v>82</v>
      </c>
      <c r="R198" s="36"/>
      <c r="S198" s="36"/>
      <c r="T198" s="36" t="s">
        <v>661</v>
      </c>
      <c r="U198" s="30"/>
      <c r="V198" s="36" t="s">
        <v>98</v>
      </c>
      <c r="W198" s="30" t="str">
        <f t="shared" si="15"/>
        <v>Receipt: For (Apt#: M-12A2) (Ref: YBP6124523960708) (IMPS: ABHIJIT SHARMA/XXX2427/RRN:612420388589/ICICI BANK LIMITED) (Type: Customer Collection) (BU: Casa Romana)</v>
      </c>
      <c r="X198" s="36"/>
      <c r="Y198" s="59"/>
      <c r="Z198" s="2"/>
      <c r="AA198" s="2"/>
      <c r="AB198" s="2"/>
      <c r="AC198" s="2"/>
    </row>
    <row r="199" ht="15.75" hidden="1" customHeight="1">
      <c r="A199" s="56">
        <v>38.0</v>
      </c>
      <c r="B199" s="56" t="str">
        <f t="shared" si="12"/>
        <v>#NAME?</v>
      </c>
      <c r="C199" s="56">
        <f t="shared" si="13"/>
        <v>5</v>
      </c>
      <c r="D199" s="66">
        <v>46146.0</v>
      </c>
      <c r="E199" s="66">
        <v>46146.0</v>
      </c>
      <c r="F199" s="45"/>
      <c r="G199" s="45" t="s">
        <v>1160</v>
      </c>
      <c r="H199" s="61" t="s">
        <v>1161</v>
      </c>
      <c r="I199" s="46">
        <v>15000.0</v>
      </c>
      <c r="J199" s="46"/>
      <c r="K199" s="46">
        <f t="shared" si="10"/>
        <v>134020.5</v>
      </c>
      <c r="L199" s="62" t="s">
        <v>45</v>
      </c>
      <c r="M199" s="62" t="s">
        <v>47</v>
      </c>
      <c r="N199" s="63"/>
      <c r="O199" s="62" t="s">
        <v>60</v>
      </c>
      <c r="P199" s="30" t="s">
        <v>51</v>
      </c>
      <c r="Q199" s="64" t="s">
        <v>50</v>
      </c>
      <c r="R199" s="36"/>
      <c r="S199" s="36"/>
      <c r="T199" s="36"/>
      <c r="U199" s="30"/>
      <c r="V199" s="36"/>
      <c r="W199" s="30" t="str">
        <f t="shared" si="15"/>
        <v>Fund Transfer: From YES MASTER 0264 to xHTRA (Ref: YESME6124007568400) (Type: Master to Free) (BU: Casa Romana) (Head: Internal)</v>
      </c>
      <c r="X199" s="36"/>
      <c r="Y199" s="59"/>
      <c r="Z199" s="2"/>
      <c r="AA199" s="2"/>
      <c r="AB199" s="2"/>
      <c r="AC199" s="2"/>
    </row>
    <row r="200" ht="15.75" hidden="1" customHeight="1">
      <c r="A200" s="56">
        <v>37.0</v>
      </c>
      <c r="B200" s="56" t="str">
        <f t="shared" si="12"/>
        <v>#NAME?</v>
      </c>
      <c r="C200" s="56">
        <f t="shared" si="13"/>
        <v>5</v>
      </c>
      <c r="D200" s="66">
        <v>46146.0</v>
      </c>
      <c r="E200" s="66">
        <v>46146.0</v>
      </c>
      <c r="F200" s="45"/>
      <c r="G200" s="45" t="s">
        <v>1166</v>
      </c>
      <c r="H200" s="61" t="s">
        <v>431</v>
      </c>
      <c r="I200" s="46">
        <v>41490.0</v>
      </c>
      <c r="J200" s="46"/>
      <c r="K200" s="46">
        <f t="shared" si="10"/>
        <v>149020.5</v>
      </c>
      <c r="L200" s="62" t="s">
        <v>45</v>
      </c>
      <c r="M200" s="62" t="s">
        <v>47</v>
      </c>
      <c r="N200" s="63"/>
      <c r="O200" s="62" t="s">
        <v>60</v>
      </c>
      <c r="P200" s="30" t="s">
        <v>61</v>
      </c>
      <c r="Q200" s="64" t="s">
        <v>50</v>
      </c>
      <c r="R200" s="36"/>
      <c r="S200" s="36"/>
      <c r="T200" s="36"/>
      <c r="U200" s="30"/>
      <c r="V200" s="36"/>
      <c r="W200" s="30" t="str">
        <f t="shared" si="15"/>
        <v>Fund Transfer: From YES MASTER 0264 to x0377 (Ref: YESME6124007732000) (Type: Master 2 RERA) (BU: Casa Romana) (Head: Internal)</v>
      </c>
      <c r="X200" s="36"/>
      <c r="Y200" s="59"/>
      <c r="Z200" s="2"/>
      <c r="AA200" s="2"/>
      <c r="AB200" s="2"/>
      <c r="AC200" s="2"/>
    </row>
    <row r="201" ht="15.75" hidden="1" customHeight="1">
      <c r="A201" s="56">
        <v>36.0</v>
      </c>
      <c r="B201" s="56" t="str">
        <f t="shared" si="12"/>
        <v>#NAME?</v>
      </c>
      <c r="C201" s="56">
        <f t="shared" si="13"/>
        <v>5</v>
      </c>
      <c r="D201" s="66">
        <v>46146.0</v>
      </c>
      <c r="E201" s="66">
        <v>46146.0</v>
      </c>
      <c r="F201" s="45"/>
      <c r="G201" s="45" t="s">
        <v>1174</v>
      </c>
      <c r="H201" s="61" t="s">
        <v>1175</v>
      </c>
      <c r="I201" s="46">
        <v>17782.0</v>
      </c>
      <c r="J201" s="46"/>
      <c r="K201" s="46">
        <f t="shared" si="10"/>
        <v>190510.5</v>
      </c>
      <c r="L201" s="62" t="s">
        <v>45</v>
      </c>
      <c r="M201" s="62" t="s">
        <v>47</v>
      </c>
      <c r="N201" s="63"/>
      <c r="O201" s="62" t="s">
        <v>60</v>
      </c>
      <c r="P201" s="30" t="s">
        <v>51</v>
      </c>
      <c r="Q201" s="64" t="s">
        <v>50</v>
      </c>
      <c r="R201" s="36"/>
      <c r="S201" s="36"/>
      <c r="T201" s="36"/>
      <c r="U201" s="30"/>
      <c r="V201" s="36"/>
      <c r="W201" s="30" t="str">
        <f t="shared" si="15"/>
        <v>Fund Transfer: From YES MASTER 0264 to xHTRA (Ref: YESME6124007568300) (Type: Master to Free) (BU: Casa Romana) (Head: Internal)</v>
      </c>
      <c r="X201" s="36"/>
      <c r="Y201" s="59"/>
      <c r="Z201" s="2"/>
      <c r="AA201" s="2"/>
      <c r="AB201" s="2"/>
      <c r="AC201" s="2"/>
    </row>
    <row r="202" ht="15.75" hidden="1" customHeight="1">
      <c r="A202" s="56">
        <v>35.0</v>
      </c>
      <c r="B202" s="56" t="str">
        <f t="shared" si="12"/>
        <v>#NAME?</v>
      </c>
      <c r="C202" s="56">
        <f t="shared" si="13"/>
        <v>5</v>
      </c>
      <c r="D202" s="66">
        <v>46146.0</v>
      </c>
      <c r="E202" s="66">
        <v>46146.0</v>
      </c>
      <c r="F202" s="45"/>
      <c r="G202" s="45" t="s">
        <v>783</v>
      </c>
      <c r="H202" s="61" t="s">
        <v>440</v>
      </c>
      <c r="I202" s="46">
        <v>35000.0</v>
      </c>
      <c r="J202" s="46"/>
      <c r="K202" s="46">
        <f t="shared" si="10"/>
        <v>208292.5</v>
      </c>
      <c r="L202" s="62" t="s">
        <v>45</v>
      </c>
      <c r="M202" s="62" t="s">
        <v>47</v>
      </c>
      <c r="N202" s="63"/>
      <c r="O202" s="62" t="s">
        <v>60</v>
      </c>
      <c r="P202" s="30" t="s">
        <v>61</v>
      </c>
      <c r="Q202" s="64" t="s">
        <v>50</v>
      </c>
      <c r="R202" s="36"/>
      <c r="S202" s="36"/>
      <c r="T202" s="36"/>
      <c r="U202" s="30"/>
      <c r="V202" s="36"/>
      <c r="W202" s="30" t="str">
        <f t="shared" si="15"/>
        <v>Fund Transfer: From YES MASTER 0264 to x0377 (Ref: YESME6124007568200) (Type: Master 2 RERA) (BU: Casa Romana) (Head: Internal)</v>
      </c>
      <c r="X202" s="36"/>
      <c r="Y202" s="59"/>
      <c r="Z202" s="2"/>
      <c r="AA202" s="2"/>
      <c r="AB202" s="2"/>
      <c r="AC202" s="2"/>
    </row>
    <row r="203" ht="15.75" customHeight="1">
      <c r="A203" s="56">
        <v>34.0</v>
      </c>
      <c r="B203" s="56" t="str">
        <f t="shared" si="12"/>
        <v>#NAME?</v>
      </c>
      <c r="C203" s="56">
        <f t="shared" si="13"/>
        <v>5</v>
      </c>
      <c r="D203" s="66">
        <v>46146.0</v>
      </c>
      <c r="E203" s="66">
        <v>46146.0</v>
      </c>
      <c r="F203" s="45"/>
      <c r="G203" s="45" t="s">
        <v>1189</v>
      </c>
      <c r="H203" s="61" t="s">
        <v>1190</v>
      </c>
      <c r="I203" s="46"/>
      <c r="J203" s="46">
        <v>20222.0</v>
      </c>
      <c r="K203" s="46">
        <f t="shared" si="10"/>
        <v>243292.5</v>
      </c>
      <c r="L203" s="62" t="s">
        <v>45</v>
      </c>
      <c r="M203" s="62" t="s">
        <v>94</v>
      </c>
      <c r="N203" s="63"/>
      <c r="O203" s="62" t="s">
        <v>60</v>
      </c>
      <c r="P203" s="30" t="s">
        <v>95</v>
      </c>
      <c r="Q203" s="64" t="s">
        <v>82</v>
      </c>
      <c r="R203" s="36"/>
      <c r="S203" s="36"/>
      <c r="T203" s="36" t="s">
        <v>1195</v>
      </c>
      <c r="U203" s="30"/>
      <c r="V203" s="36" t="s">
        <v>98</v>
      </c>
      <c r="W203" s="30" t="str">
        <f t="shared" si="15"/>
        <v>Receipt: For (Apt#: M-011) (Ref: YES0N6124133632700) (NEFT: ARUN INTERNATIONAL-Dwarkadhis Projects Pvt L-SBIN126124709726) (Type: Customer Collection) (BU: Casa Romana)</v>
      </c>
      <c r="X203" s="36"/>
      <c r="Y203" s="59"/>
      <c r="Z203" s="2"/>
      <c r="AA203" s="2"/>
      <c r="AB203" s="2"/>
      <c r="AC203" s="2"/>
    </row>
    <row r="204" ht="15.75" customHeight="1">
      <c r="A204" s="56">
        <v>33.0</v>
      </c>
      <c r="B204" s="56" t="str">
        <f t="shared" si="12"/>
        <v>#NAME?</v>
      </c>
      <c r="C204" s="56">
        <f t="shared" si="13"/>
        <v>5</v>
      </c>
      <c r="D204" s="66">
        <v>46146.0</v>
      </c>
      <c r="E204" s="66">
        <v>46146.0</v>
      </c>
      <c r="F204" s="45"/>
      <c r="G204" s="45" t="s">
        <v>1198</v>
      </c>
      <c r="H204" s="61" t="s">
        <v>1199</v>
      </c>
      <c r="I204" s="46"/>
      <c r="J204" s="46">
        <v>59272.0</v>
      </c>
      <c r="K204" s="46">
        <f t="shared" si="10"/>
        <v>223070.5</v>
      </c>
      <c r="L204" s="62" t="s">
        <v>45</v>
      </c>
      <c r="M204" s="62" t="s">
        <v>94</v>
      </c>
      <c r="N204" s="63"/>
      <c r="O204" s="62" t="s">
        <v>60</v>
      </c>
      <c r="P204" s="30" t="s">
        <v>95</v>
      </c>
      <c r="Q204" s="64" t="s">
        <v>82</v>
      </c>
      <c r="R204" s="36"/>
      <c r="S204" s="36"/>
      <c r="T204" s="36" t="s">
        <v>185</v>
      </c>
      <c r="U204" s="30"/>
      <c r="V204" s="36" t="s">
        <v>391</v>
      </c>
      <c r="W204" s="30" t="str">
        <f t="shared" si="15"/>
        <v>Receipt: For (Apt#: U-062) (Ref: YBP6124523745064) (IMPS: MANISHAAHUJA/XXX6587/RRN:612417800348/AXIS BANK) (Type: Customer Collection) (BU: Casa Romana)</v>
      </c>
      <c r="X204" s="36"/>
      <c r="Y204" s="59"/>
      <c r="Z204" s="2"/>
      <c r="AA204" s="2"/>
      <c r="AB204" s="2"/>
      <c r="AC204" s="2"/>
    </row>
    <row r="205" ht="15.75" customHeight="1">
      <c r="A205" s="56">
        <v>32.0</v>
      </c>
      <c r="B205" s="56" t="str">
        <f t="shared" si="12"/>
        <v>#NAME?</v>
      </c>
      <c r="C205" s="56">
        <f t="shared" si="13"/>
        <v>5</v>
      </c>
      <c r="D205" s="66">
        <v>46146.0</v>
      </c>
      <c r="E205" s="66">
        <v>46146.0</v>
      </c>
      <c r="F205" s="45"/>
      <c r="G205" s="45" t="s">
        <v>1206</v>
      </c>
      <c r="H205" s="61" t="s">
        <v>1207</v>
      </c>
      <c r="I205" s="46"/>
      <c r="J205" s="46">
        <v>50000.0</v>
      </c>
      <c r="K205" s="46">
        <f t="shared" si="10"/>
        <v>163798.5</v>
      </c>
      <c r="L205" s="62" t="s">
        <v>45</v>
      </c>
      <c r="M205" s="62" t="s">
        <v>94</v>
      </c>
      <c r="N205" s="63"/>
      <c r="O205" s="62" t="s">
        <v>60</v>
      </c>
      <c r="P205" s="30" t="s">
        <v>95</v>
      </c>
      <c r="Q205" s="64" t="s">
        <v>82</v>
      </c>
      <c r="R205" s="36"/>
      <c r="S205" s="36"/>
      <c r="T205" s="36" t="s">
        <v>596</v>
      </c>
      <c r="U205" s="30"/>
      <c r="V205" s="36" t="s">
        <v>501</v>
      </c>
      <c r="W205" s="30" t="str">
        <f t="shared" si="15"/>
        <v>Receipt: For (Apt#: M-007) (Ref: YBS6124345043983) ( UPI/549332112391/From:madaankanwalnain@ybl/To:045563200000264@YESB0000455.ifsc.npci/Payment from PhonePe) (Type: Customer Collection) (BU: Casa Romana)</v>
      </c>
      <c r="X205" s="68">
        <v>0.01</v>
      </c>
      <c r="Y205" s="59"/>
      <c r="Z205" s="2"/>
      <c r="AA205" s="2"/>
      <c r="AB205" s="2"/>
      <c r="AC205" s="2"/>
    </row>
    <row r="206" ht="15.75" hidden="1" customHeight="1">
      <c r="A206" s="56">
        <v>31.0</v>
      </c>
      <c r="B206" s="56" t="str">
        <f t="shared" si="12"/>
        <v>#NAME?</v>
      </c>
      <c r="C206" s="56">
        <f t="shared" si="13"/>
        <v>5</v>
      </c>
      <c r="D206" s="66">
        <v>46146.0</v>
      </c>
      <c r="E206" s="66">
        <v>46146.0</v>
      </c>
      <c r="F206" s="45"/>
      <c r="G206" s="45" t="s">
        <v>1212</v>
      </c>
      <c r="H206" s="61" t="s">
        <v>1213</v>
      </c>
      <c r="I206" s="46">
        <v>339059.0</v>
      </c>
      <c r="J206" s="46"/>
      <c r="K206" s="46">
        <f t="shared" si="10"/>
        <v>113798.5</v>
      </c>
      <c r="L206" s="62" t="s">
        <v>45</v>
      </c>
      <c r="M206" s="62" t="s">
        <v>47</v>
      </c>
      <c r="N206" s="63"/>
      <c r="O206" s="62" t="s">
        <v>60</v>
      </c>
      <c r="P206" s="30" t="s">
        <v>51</v>
      </c>
      <c r="Q206" s="64" t="s">
        <v>50</v>
      </c>
      <c r="R206" s="36"/>
      <c r="S206" s="36"/>
      <c r="T206" s="36"/>
      <c r="U206" s="30"/>
      <c r="V206" s="36"/>
      <c r="W206" s="30" t="str">
        <f t="shared" si="15"/>
        <v>Fund Transfer: From YES MASTER 0264 to xHTRA (Ref: YESME6124003687000) (Type: Master to Free) (BU: Casa Romana) (Head: Internal)</v>
      </c>
      <c r="X206" s="36"/>
      <c r="Y206" s="59"/>
      <c r="Z206" s="2"/>
      <c r="AA206" s="2"/>
      <c r="AB206" s="2"/>
      <c r="AC206" s="2"/>
    </row>
    <row r="207" ht="15.75" hidden="1" customHeight="1">
      <c r="A207" s="56">
        <v>30.0</v>
      </c>
      <c r="B207" s="56" t="str">
        <f t="shared" si="12"/>
        <v>#NAME?</v>
      </c>
      <c r="C207" s="56">
        <f t="shared" si="13"/>
        <v>5</v>
      </c>
      <c r="D207" s="66">
        <v>46146.0</v>
      </c>
      <c r="E207" s="66">
        <v>46146.0</v>
      </c>
      <c r="F207" s="45"/>
      <c r="G207" s="45" t="s">
        <v>1028</v>
      </c>
      <c r="H207" s="61" t="s">
        <v>448</v>
      </c>
      <c r="I207" s="46">
        <v>791139.0</v>
      </c>
      <c r="J207" s="46"/>
      <c r="K207" s="46">
        <f t="shared" si="10"/>
        <v>452857.5</v>
      </c>
      <c r="L207" s="62" t="s">
        <v>45</v>
      </c>
      <c r="M207" s="62" t="s">
        <v>47</v>
      </c>
      <c r="N207" s="63"/>
      <c r="O207" s="62" t="s">
        <v>60</v>
      </c>
      <c r="P207" s="30" t="s">
        <v>61</v>
      </c>
      <c r="Q207" s="64" t="s">
        <v>50</v>
      </c>
      <c r="R207" s="36"/>
      <c r="S207" s="36"/>
      <c r="T207" s="36"/>
      <c r="U207" s="30"/>
      <c r="V207" s="36"/>
      <c r="W207" s="30" t="str">
        <f t="shared" si="15"/>
        <v>Fund Transfer: From YES MASTER 0264 to x0377 (Ref: YESME6124003686900) (Type: Master 2 RERA) (BU: Casa Romana) (Head: Internal)</v>
      </c>
      <c r="X207" s="36"/>
      <c r="Y207" s="59"/>
      <c r="Z207" s="2"/>
      <c r="AA207" s="2"/>
      <c r="AB207" s="2"/>
      <c r="AC207" s="2"/>
    </row>
    <row r="208" ht="15.75" customHeight="1">
      <c r="A208" s="56">
        <v>29.0</v>
      </c>
      <c r="B208" s="56" t="str">
        <f t="shared" si="12"/>
        <v>#NAME?</v>
      </c>
      <c r="C208" s="56">
        <f t="shared" si="13"/>
        <v>5</v>
      </c>
      <c r="D208" s="66">
        <v>46146.0</v>
      </c>
      <c r="E208" s="66">
        <v>46146.0</v>
      </c>
      <c r="F208" s="45"/>
      <c r="G208" s="45" t="s">
        <v>167</v>
      </c>
      <c r="H208" s="61" t="s">
        <v>1227</v>
      </c>
      <c r="I208" s="46"/>
      <c r="J208" s="46">
        <v>59753.0</v>
      </c>
      <c r="K208" s="46">
        <f t="shared" si="10"/>
        <v>1243996.5</v>
      </c>
      <c r="L208" s="62" t="s">
        <v>45</v>
      </c>
      <c r="M208" s="62" t="s">
        <v>94</v>
      </c>
      <c r="N208" s="63"/>
      <c r="O208" s="62" t="s">
        <v>60</v>
      </c>
      <c r="P208" s="30" t="s">
        <v>95</v>
      </c>
      <c r="Q208" s="64" t="s">
        <v>82</v>
      </c>
      <c r="R208" s="36"/>
      <c r="S208" s="36"/>
      <c r="T208" s="36" t="s">
        <v>170</v>
      </c>
      <c r="U208" s="30"/>
      <c r="V208" s="36" t="s">
        <v>501</v>
      </c>
      <c r="W208" s="30" t="str">
        <f t="shared" si="15"/>
        <v>Receipt: For (Apt#: T-052) (Ref: NET0876P6G64U) ( ASHISH SHUKLA-071691900001571) (Type: Customer Collection) (BU: Casa Romana)</v>
      </c>
      <c r="X208" s="68">
        <v>0.05</v>
      </c>
      <c r="Y208" s="59"/>
      <c r="Z208" s="2"/>
      <c r="AA208" s="2"/>
      <c r="AB208" s="2"/>
      <c r="AC208" s="2"/>
    </row>
    <row r="209" ht="15.75" customHeight="1">
      <c r="A209" s="56">
        <v>28.0</v>
      </c>
      <c r="B209" s="56" t="str">
        <f t="shared" si="12"/>
        <v>#NAME?</v>
      </c>
      <c r="C209" s="56">
        <f t="shared" si="13"/>
        <v>5</v>
      </c>
      <c r="D209" s="66">
        <v>46146.0</v>
      </c>
      <c r="E209" s="66">
        <v>46146.0</v>
      </c>
      <c r="F209" s="45"/>
      <c r="G209" s="45" t="s">
        <v>1230</v>
      </c>
      <c r="H209" s="61" t="s">
        <v>1231</v>
      </c>
      <c r="I209" s="46"/>
      <c r="J209" s="46">
        <v>25000.0</v>
      </c>
      <c r="K209" s="46">
        <f t="shared" si="10"/>
        <v>1184243.5</v>
      </c>
      <c r="L209" s="62" t="s">
        <v>45</v>
      </c>
      <c r="M209" s="62" t="s">
        <v>94</v>
      </c>
      <c r="N209" s="63"/>
      <c r="O209" s="62" t="s">
        <v>60</v>
      </c>
      <c r="P209" s="30" t="s">
        <v>95</v>
      </c>
      <c r="Q209" s="64" t="s">
        <v>82</v>
      </c>
      <c r="R209" s="36"/>
      <c r="S209" s="36"/>
      <c r="T209" s="36" t="s">
        <v>265</v>
      </c>
      <c r="U209" s="30"/>
      <c r="V209" s="36" t="s">
        <v>501</v>
      </c>
      <c r="W209" s="30" t="str">
        <f t="shared" si="15"/>
        <v>Receipt: For (Apt#: N-104) (Ref: YBP6124523511202) (IMPS: ANJANJEET SINGH DHAL/XXX5487/RRN:612413379205/ICICI BANK LIMITED) (Type: Customer Collection) (BU: Casa Romana)</v>
      </c>
      <c r="X209" s="68">
        <v>0.01</v>
      </c>
      <c r="Y209" s="59"/>
      <c r="Z209" s="2"/>
      <c r="AA209" s="2"/>
      <c r="AB209" s="2"/>
      <c r="AC209" s="2"/>
    </row>
    <row r="210" ht="15.75" customHeight="1">
      <c r="A210" s="56">
        <v>27.0</v>
      </c>
      <c r="B210" s="56" t="str">
        <f t="shared" si="12"/>
        <v>#NAME?</v>
      </c>
      <c r="C210" s="56">
        <f t="shared" si="13"/>
        <v>5</v>
      </c>
      <c r="D210" s="66">
        <v>46146.0</v>
      </c>
      <c r="E210" s="66">
        <v>46146.0</v>
      </c>
      <c r="F210" s="45"/>
      <c r="G210" s="45" t="s">
        <v>1239</v>
      </c>
      <c r="H210" s="61" t="s">
        <v>1240</v>
      </c>
      <c r="I210" s="46"/>
      <c r="J210" s="46">
        <v>30000.0</v>
      </c>
      <c r="K210" s="46">
        <f t="shared" si="10"/>
        <v>1159243.5</v>
      </c>
      <c r="L210" s="62" t="s">
        <v>45</v>
      </c>
      <c r="M210" s="62" t="s">
        <v>94</v>
      </c>
      <c r="N210" s="63"/>
      <c r="O210" s="62" t="s">
        <v>60</v>
      </c>
      <c r="P210" s="30" t="s">
        <v>95</v>
      </c>
      <c r="Q210" s="64" t="s">
        <v>82</v>
      </c>
      <c r="R210" s="36"/>
      <c r="S210" s="36"/>
      <c r="T210" s="36" t="s">
        <v>802</v>
      </c>
      <c r="U210" s="30"/>
      <c r="V210" s="36" t="s">
        <v>98</v>
      </c>
      <c r="W210" s="30" t="str">
        <f t="shared" si="15"/>
        <v>Receipt: For (Apt#: M-124) (Ref: YES0N6124089373100) (NEFT: GAURAV KHANNA-Dwarkadhis Projects Pvt L-HDFCH00971730334) (Type: Customer Collection) (BU: Casa Romana)</v>
      </c>
      <c r="X210" s="36"/>
      <c r="Y210" s="59"/>
      <c r="Z210" s="2"/>
      <c r="AA210" s="2"/>
      <c r="AB210" s="2"/>
      <c r="AC210" s="2"/>
    </row>
    <row r="211" ht="15.75" customHeight="1">
      <c r="A211" s="56">
        <v>26.0</v>
      </c>
      <c r="B211" s="56" t="str">
        <f t="shared" si="12"/>
        <v>#NAME?</v>
      </c>
      <c r="C211" s="56">
        <f t="shared" si="13"/>
        <v>5</v>
      </c>
      <c r="D211" s="66">
        <v>46146.0</v>
      </c>
      <c r="E211" s="66">
        <v>46146.0</v>
      </c>
      <c r="F211" s="45"/>
      <c r="G211" s="45" t="s">
        <v>1251</v>
      </c>
      <c r="H211" s="61" t="s">
        <v>1252</v>
      </c>
      <c r="I211" s="46"/>
      <c r="J211" s="46">
        <v>53300.0</v>
      </c>
      <c r="K211" s="46">
        <f t="shared" si="10"/>
        <v>1129243.5</v>
      </c>
      <c r="L211" s="62" t="s">
        <v>45</v>
      </c>
      <c r="M211" s="62" t="s">
        <v>94</v>
      </c>
      <c r="N211" s="63"/>
      <c r="O211" s="62" t="s">
        <v>60</v>
      </c>
      <c r="P211" s="30" t="s">
        <v>95</v>
      </c>
      <c r="Q211" s="64" t="s">
        <v>82</v>
      </c>
      <c r="R211" s="36"/>
      <c r="S211" s="36"/>
      <c r="T211" s="36" t="s">
        <v>561</v>
      </c>
      <c r="U211" s="30"/>
      <c r="V211" s="36" t="s">
        <v>501</v>
      </c>
      <c r="W211" s="30" t="str">
        <f t="shared" si="15"/>
        <v>Receipt: For (Apt#: L-074) (Ref: YES0N6124087174100) (NEFT: Avnish Singh-DWARKADHIS PROJECTS PRIVA-SBIN526124699869) (Type: Customer Collection) (BU: Casa Romana)</v>
      </c>
      <c r="X211" s="68">
        <v>0.05</v>
      </c>
      <c r="Y211" s="59"/>
      <c r="Z211" s="2"/>
      <c r="AA211" s="2"/>
      <c r="AB211" s="2"/>
      <c r="AC211" s="2"/>
    </row>
    <row r="212" ht="15.75" customHeight="1">
      <c r="A212" s="56">
        <v>25.0</v>
      </c>
      <c r="B212" s="56" t="str">
        <f t="shared" si="12"/>
        <v>#NAME?</v>
      </c>
      <c r="C212" s="56">
        <f t="shared" si="13"/>
        <v>5</v>
      </c>
      <c r="D212" s="66">
        <v>46146.0</v>
      </c>
      <c r="E212" s="66">
        <v>46146.0</v>
      </c>
      <c r="F212" s="45"/>
      <c r="G212" s="45" t="s">
        <v>1258</v>
      </c>
      <c r="H212" s="61" t="s">
        <v>1259</v>
      </c>
      <c r="I212" s="46"/>
      <c r="J212" s="46">
        <v>145057.0</v>
      </c>
      <c r="K212" s="46">
        <f t="shared" si="10"/>
        <v>1075943.5</v>
      </c>
      <c r="L212" s="62" t="s">
        <v>45</v>
      </c>
      <c r="M212" s="62" t="s">
        <v>94</v>
      </c>
      <c r="N212" s="63"/>
      <c r="O212" s="62" t="s">
        <v>60</v>
      </c>
      <c r="P212" s="30" t="s">
        <v>95</v>
      </c>
      <c r="Q212" s="64" t="s">
        <v>82</v>
      </c>
      <c r="R212" s="36"/>
      <c r="S212" s="36"/>
      <c r="T212" s="36" t="s">
        <v>288</v>
      </c>
      <c r="U212" s="30"/>
      <c r="V212" s="36" t="s">
        <v>98</v>
      </c>
      <c r="W212" s="30" t="str">
        <f t="shared" si="15"/>
        <v>Receipt: For (Apt#: R-052) (Ref: YBP6124523217873) (IMPS: Mrs BHAVNA MAHIPAL/XXX6701/RRN:612409234572/) (Type: Customer Collection) (BU: Casa Romana)</v>
      </c>
      <c r="X212" s="36"/>
      <c r="Y212" s="59"/>
      <c r="Z212" s="2"/>
      <c r="AA212" s="2"/>
      <c r="AB212" s="2"/>
      <c r="AC212" s="2"/>
    </row>
    <row r="213" ht="15.75" customHeight="1">
      <c r="A213" s="56">
        <v>24.0</v>
      </c>
      <c r="B213" s="56" t="str">
        <f t="shared" si="12"/>
        <v>#NAME?</v>
      </c>
      <c r="C213" s="56">
        <f t="shared" si="13"/>
        <v>5</v>
      </c>
      <c r="D213" s="66">
        <v>46145.0</v>
      </c>
      <c r="E213" s="66">
        <v>46145.0</v>
      </c>
      <c r="F213" s="45"/>
      <c r="G213" s="45" t="s">
        <v>1265</v>
      </c>
      <c r="H213" s="61" t="s">
        <v>1266</v>
      </c>
      <c r="I213" s="46"/>
      <c r="J213" s="46">
        <v>196415.0</v>
      </c>
      <c r="K213" s="46">
        <f t="shared" si="10"/>
        <v>930886.5</v>
      </c>
      <c r="L213" s="62" t="s">
        <v>45</v>
      </c>
      <c r="M213" s="62" t="s">
        <v>94</v>
      </c>
      <c r="N213" s="63"/>
      <c r="O213" s="62" t="s">
        <v>60</v>
      </c>
      <c r="P213" s="30" t="s">
        <v>95</v>
      </c>
      <c r="Q213" s="64" t="s">
        <v>82</v>
      </c>
      <c r="R213" s="36"/>
      <c r="S213" s="36"/>
      <c r="T213" s="36" t="s">
        <v>565</v>
      </c>
      <c r="U213" s="30"/>
      <c r="V213" s="36" t="s">
        <v>501</v>
      </c>
      <c r="W213" s="30" t="str">
        <f t="shared" si="15"/>
        <v>Receipt: For (Apt#: N-034) (Ref: YES0N6123018532500) (NEFT: RAJEEV SAINI-DWARKADHIS PROJECTS PRIVA-IN12612335808459) (Type: Customer Collection) (BU: Casa Romana)</v>
      </c>
      <c r="X213" s="68">
        <v>0.01</v>
      </c>
      <c r="Y213" s="59"/>
      <c r="Z213" s="2"/>
      <c r="AA213" s="2"/>
      <c r="AB213" s="2"/>
      <c r="AC213" s="2"/>
    </row>
    <row r="214" ht="15.75" customHeight="1">
      <c r="A214" s="56">
        <v>23.0</v>
      </c>
      <c r="B214" s="56" t="str">
        <f t="shared" si="12"/>
        <v>#NAME?</v>
      </c>
      <c r="C214" s="56">
        <f t="shared" si="13"/>
        <v>5</v>
      </c>
      <c r="D214" s="66">
        <v>46145.0</v>
      </c>
      <c r="E214" s="66">
        <v>46145.0</v>
      </c>
      <c r="F214" s="45"/>
      <c r="G214" s="45" t="s">
        <v>1277</v>
      </c>
      <c r="H214" s="61" t="s">
        <v>1278</v>
      </c>
      <c r="I214" s="46"/>
      <c r="J214" s="46">
        <v>35200.0</v>
      </c>
      <c r="K214" s="46">
        <f t="shared" si="10"/>
        <v>734471.5</v>
      </c>
      <c r="L214" s="62" t="s">
        <v>45</v>
      </c>
      <c r="M214" s="62" t="s">
        <v>94</v>
      </c>
      <c r="N214" s="63"/>
      <c r="O214" s="62" t="s">
        <v>60</v>
      </c>
      <c r="P214" s="30" t="s">
        <v>95</v>
      </c>
      <c r="Q214" s="64" t="s">
        <v>82</v>
      </c>
      <c r="R214" s="36"/>
      <c r="S214" s="36"/>
      <c r="T214" s="36" t="s">
        <v>272</v>
      </c>
      <c r="U214" s="30"/>
      <c r="V214" s="36" t="s">
        <v>501</v>
      </c>
      <c r="W214" s="30" t="str">
        <f t="shared" si="15"/>
        <v>Receipt: For (Apt#: M-118) (Ref: YBP6123522466104) (IMPS: ARUNABH SINGH/XXX8847/RRN:612356555078/HDFC BANK) (Type: Customer Collection) (BU: Casa Romana)</v>
      </c>
      <c r="X214" s="65">
        <v>0.01</v>
      </c>
      <c r="Y214" s="59"/>
      <c r="Z214" s="2"/>
      <c r="AA214" s="2"/>
      <c r="AB214" s="2"/>
      <c r="AC214" s="2"/>
    </row>
    <row r="215" ht="15.75" customHeight="1">
      <c r="A215" s="56">
        <v>22.0</v>
      </c>
      <c r="B215" s="56" t="str">
        <f t="shared" si="12"/>
        <v>#NAME?</v>
      </c>
      <c r="C215" s="56">
        <f t="shared" si="13"/>
        <v>5</v>
      </c>
      <c r="D215" s="66">
        <v>46145.0</v>
      </c>
      <c r="E215" s="66">
        <v>46145.0</v>
      </c>
      <c r="F215" s="45"/>
      <c r="G215" s="45" t="s">
        <v>1286</v>
      </c>
      <c r="H215" s="61" t="s">
        <v>1287</v>
      </c>
      <c r="I215" s="46"/>
      <c r="J215" s="46">
        <v>63470.0</v>
      </c>
      <c r="K215" s="46">
        <f t="shared" si="10"/>
        <v>699271.5</v>
      </c>
      <c r="L215" s="62" t="s">
        <v>45</v>
      </c>
      <c r="M215" s="62" t="s">
        <v>94</v>
      </c>
      <c r="N215" s="63"/>
      <c r="O215" s="62" t="s">
        <v>60</v>
      </c>
      <c r="P215" s="30" t="s">
        <v>95</v>
      </c>
      <c r="Q215" s="64" t="s">
        <v>82</v>
      </c>
      <c r="R215" s="36"/>
      <c r="S215" s="36"/>
      <c r="T215" s="36" t="s">
        <v>1291</v>
      </c>
      <c r="U215" s="30"/>
      <c r="V215" s="36" t="s">
        <v>501</v>
      </c>
      <c r="W215" s="30" t="str">
        <f t="shared" si="15"/>
        <v>Receipt: For (Apt#: S-074) (Ref: YBP6123522463504) (IMPS: ARUNABH SINGH/XXX8847/RRN:612356553788/HDFC BANK) (Type: Customer Collection) (BU: Casa Romana)</v>
      </c>
      <c r="X215" s="68">
        <v>0.05</v>
      </c>
      <c r="Y215" s="59"/>
      <c r="Z215" s="2"/>
      <c r="AA215" s="2"/>
      <c r="AB215" s="2"/>
      <c r="AC215" s="2"/>
    </row>
    <row r="216" ht="15.75" customHeight="1">
      <c r="A216" s="56">
        <v>21.0</v>
      </c>
      <c r="B216" s="56" t="str">
        <f t="shared" si="12"/>
        <v>#NAME?</v>
      </c>
      <c r="C216" s="56">
        <f t="shared" si="13"/>
        <v>5</v>
      </c>
      <c r="D216" s="66">
        <v>46145.0</v>
      </c>
      <c r="E216" s="66">
        <v>46145.0</v>
      </c>
      <c r="F216" s="45"/>
      <c r="G216" s="45" t="s">
        <v>1297</v>
      </c>
      <c r="H216" s="61" t="s">
        <v>1298</v>
      </c>
      <c r="I216" s="46"/>
      <c r="J216" s="46">
        <v>50000.0</v>
      </c>
      <c r="K216" s="46">
        <f t="shared" si="10"/>
        <v>635801.5</v>
      </c>
      <c r="L216" s="62" t="s">
        <v>45</v>
      </c>
      <c r="M216" s="62" t="s">
        <v>94</v>
      </c>
      <c r="N216" s="63"/>
      <c r="O216" s="62" t="s">
        <v>60</v>
      </c>
      <c r="P216" s="30" t="s">
        <v>95</v>
      </c>
      <c r="Q216" s="64" t="s">
        <v>82</v>
      </c>
      <c r="R216" s="36"/>
      <c r="S216" s="36"/>
      <c r="T216" s="36" t="s">
        <v>738</v>
      </c>
      <c r="U216" s="30"/>
      <c r="V216" s="36" t="s">
        <v>98</v>
      </c>
      <c r="W216" s="30" t="str">
        <f t="shared" si="15"/>
        <v>Receipt: For (Apt#: N-052) (Ref: YBP6123522318063) (IMPS: MOHINDER SINGH/XXX7409/RRN:612312618510/PUNJAB NATIONA L BANK) (Type: Customer Collection) (BU: Casa Romana)</v>
      </c>
      <c r="X216" s="36"/>
      <c r="Y216" s="59"/>
      <c r="Z216" s="2"/>
      <c r="AA216" s="2"/>
      <c r="AB216" s="2"/>
      <c r="AC216" s="2"/>
    </row>
    <row r="217" ht="15.75" customHeight="1">
      <c r="A217" s="56">
        <v>20.0</v>
      </c>
      <c r="B217" s="56" t="str">
        <f t="shared" si="12"/>
        <v>#NAME?</v>
      </c>
      <c r="C217" s="56">
        <f t="shared" si="13"/>
        <v>5</v>
      </c>
      <c r="D217" s="66">
        <v>46144.0</v>
      </c>
      <c r="E217" s="66">
        <v>46144.0</v>
      </c>
      <c r="F217" s="45"/>
      <c r="G217" s="45" t="s">
        <v>1306</v>
      </c>
      <c r="H217" s="61" t="s">
        <v>1307</v>
      </c>
      <c r="I217" s="46"/>
      <c r="J217" s="46">
        <v>551756.0</v>
      </c>
      <c r="K217" s="46">
        <f t="shared" si="10"/>
        <v>585801.5</v>
      </c>
      <c r="L217" s="62" t="s">
        <v>45</v>
      </c>
      <c r="M217" s="62" t="s">
        <v>94</v>
      </c>
      <c r="N217" s="63"/>
      <c r="O217" s="62" t="s">
        <v>60</v>
      </c>
      <c r="P217" s="30" t="s">
        <v>95</v>
      </c>
      <c r="Q217" s="64" t="s">
        <v>82</v>
      </c>
      <c r="R217" s="36"/>
      <c r="S217" s="36"/>
      <c r="T217" s="36" t="s">
        <v>1309</v>
      </c>
      <c r="U217" s="30"/>
      <c r="V217" s="36" t="s">
        <v>98</v>
      </c>
      <c r="W217" s="30" t="str">
        <f t="shared" si="15"/>
        <v>Receipt: For (Apt#: u-12A4) (Ref: YES0R6122809392700) (RTGS: REKHA YADAV-Dwarkadhis Projects Pvt L-HDFCR52026050253222896) (Type: Customer Collection) (BU: Casa Romana)</v>
      </c>
      <c r="X217" s="36"/>
      <c r="Y217" s="59"/>
      <c r="Z217" s="2"/>
      <c r="AA217" s="2"/>
      <c r="AB217" s="2"/>
      <c r="AC217" s="2"/>
    </row>
    <row r="218" ht="15.75" customHeight="1">
      <c r="A218" s="56">
        <v>19.0</v>
      </c>
      <c r="B218" s="56" t="str">
        <f t="shared" si="12"/>
        <v>#NAME?</v>
      </c>
      <c r="C218" s="56">
        <f t="shared" si="13"/>
        <v>5</v>
      </c>
      <c r="D218" s="66">
        <v>46144.0</v>
      </c>
      <c r="E218" s="66">
        <v>46144.0</v>
      </c>
      <c r="F218" s="45"/>
      <c r="G218" s="45" t="s">
        <v>1314</v>
      </c>
      <c r="H218" s="61" t="s">
        <v>1315</v>
      </c>
      <c r="I218" s="46"/>
      <c r="J218" s="46">
        <v>5000.0</v>
      </c>
      <c r="K218" s="46">
        <f t="shared" si="10"/>
        <v>34045.5</v>
      </c>
      <c r="L218" s="62" t="s">
        <v>45</v>
      </c>
      <c r="M218" s="62" t="s">
        <v>94</v>
      </c>
      <c r="N218" s="63"/>
      <c r="O218" s="62" t="s">
        <v>60</v>
      </c>
      <c r="P218" s="30" t="s">
        <v>95</v>
      </c>
      <c r="Q218" s="64" t="s">
        <v>82</v>
      </c>
      <c r="R218" s="36"/>
      <c r="S218" s="36"/>
      <c r="T218" s="36" t="s">
        <v>142</v>
      </c>
      <c r="U218" s="30"/>
      <c r="V218" s="36" t="s">
        <v>501</v>
      </c>
      <c r="W218" s="30" t="str">
        <f t="shared" si="15"/>
        <v>Receipt: For (Apt#: M-105) (Ref: YES0N6122906279800) (NEFT: AMIT JAIN-LEKH RAJ BAJAJ-HDFCH00969165420) (Type: Customer Collection) (BU: Casa Romana)</v>
      </c>
      <c r="X218" s="65">
        <v>0.01</v>
      </c>
      <c r="Y218" s="59"/>
      <c r="Z218" s="2"/>
      <c r="AA218" s="2"/>
      <c r="AB218" s="2"/>
      <c r="AC218" s="2"/>
    </row>
    <row r="219" ht="15.75" hidden="1" customHeight="1">
      <c r="A219" s="56">
        <v>18.0</v>
      </c>
      <c r="B219" s="56" t="str">
        <f t="shared" si="12"/>
        <v>#NAME?</v>
      </c>
      <c r="C219" s="56">
        <f t="shared" si="13"/>
        <v>5</v>
      </c>
      <c r="D219" s="66">
        <v>46143.0</v>
      </c>
      <c r="E219" s="66">
        <v>46143.0</v>
      </c>
      <c r="F219" s="45"/>
      <c r="G219" s="45" t="s">
        <v>970</v>
      </c>
      <c r="H219" s="61" t="s">
        <v>460</v>
      </c>
      <c r="I219" s="46">
        <v>47785.0</v>
      </c>
      <c r="J219" s="46"/>
      <c r="K219" s="46">
        <f t="shared" si="10"/>
        <v>29045.5</v>
      </c>
      <c r="L219" s="62" t="s">
        <v>45</v>
      </c>
      <c r="M219" s="62" t="s">
        <v>47</v>
      </c>
      <c r="N219" s="63"/>
      <c r="O219" s="62" t="s">
        <v>60</v>
      </c>
      <c r="P219" s="30" t="s">
        <v>61</v>
      </c>
      <c r="Q219" s="64" t="s">
        <v>50</v>
      </c>
      <c r="R219" s="36"/>
      <c r="S219" s="36"/>
      <c r="T219" s="36"/>
      <c r="U219" s="30"/>
      <c r="V219" s="36"/>
      <c r="W219" s="30" t="str">
        <f t="shared" si="15"/>
        <v>Fund Transfer: From YES MASTER 0264 to x0377 (Ref: YESME6121002471700) (Type: Master 2 RERA) (BU: Casa Romana) (Head: Internal)</v>
      </c>
      <c r="X219" s="36"/>
      <c r="Y219" s="59"/>
      <c r="Z219" s="2"/>
      <c r="AA219" s="2"/>
      <c r="AB219" s="2"/>
      <c r="AC219" s="2"/>
    </row>
    <row r="220" ht="15.75" hidden="1" customHeight="1">
      <c r="A220" s="56">
        <v>17.0</v>
      </c>
      <c r="B220" s="56" t="str">
        <f t="shared" si="12"/>
        <v>#NAME?</v>
      </c>
      <c r="C220" s="56">
        <f t="shared" si="13"/>
        <v>5</v>
      </c>
      <c r="D220" s="66">
        <v>46143.0</v>
      </c>
      <c r="E220" s="66">
        <v>46143.0</v>
      </c>
      <c r="F220" s="45"/>
      <c r="G220" s="45" t="s">
        <v>1324</v>
      </c>
      <c r="H220" s="61" t="s">
        <v>1325</v>
      </c>
      <c r="I220" s="46">
        <v>20479.0</v>
      </c>
      <c r="J220" s="46"/>
      <c r="K220" s="46">
        <f t="shared" si="10"/>
        <v>76830.5</v>
      </c>
      <c r="L220" s="62" t="s">
        <v>45</v>
      </c>
      <c r="M220" s="62" t="s">
        <v>47</v>
      </c>
      <c r="N220" s="63"/>
      <c r="O220" s="62" t="s">
        <v>60</v>
      </c>
      <c r="P220" s="30" t="s">
        <v>51</v>
      </c>
      <c r="Q220" s="64" t="s">
        <v>50</v>
      </c>
      <c r="R220" s="36"/>
      <c r="S220" s="36"/>
      <c r="T220" s="36"/>
      <c r="U220" s="30"/>
      <c r="V220" s="36"/>
      <c r="W220" s="30" t="str">
        <f t="shared" si="15"/>
        <v>Fund Transfer: From YES MASTER 0264 to xHTRA (Ref: YESME6121002471800) (Type: Master to Free) (BU: Casa Romana) (Head: Internal)</v>
      </c>
      <c r="X220" s="36"/>
      <c r="Y220" s="59"/>
      <c r="Z220" s="2"/>
      <c r="AA220" s="2"/>
      <c r="AB220" s="2"/>
      <c r="AC220" s="2"/>
    </row>
    <row r="221" ht="15.75" customHeight="1">
      <c r="A221" s="56">
        <v>16.0</v>
      </c>
      <c r="B221" s="56" t="str">
        <f t="shared" si="12"/>
        <v>#NAME?</v>
      </c>
      <c r="C221" s="56">
        <f t="shared" si="13"/>
        <v>4</v>
      </c>
      <c r="D221" s="66">
        <v>46142.0</v>
      </c>
      <c r="E221" s="66">
        <v>46142.0</v>
      </c>
      <c r="F221" s="45"/>
      <c r="G221" s="45" t="s">
        <v>1331</v>
      </c>
      <c r="H221" s="61" t="s">
        <v>1332</v>
      </c>
      <c r="I221" s="46"/>
      <c r="J221" s="46">
        <v>68264.0</v>
      </c>
      <c r="K221" s="46">
        <f t="shared" si="10"/>
        <v>97309.5</v>
      </c>
      <c r="L221" s="62" t="s">
        <v>45</v>
      </c>
      <c r="M221" s="62" t="s">
        <v>94</v>
      </c>
      <c r="N221" s="63"/>
      <c r="O221" s="62" t="s">
        <v>60</v>
      </c>
      <c r="P221" s="30" t="s">
        <v>95</v>
      </c>
      <c r="Q221" s="64" t="s">
        <v>82</v>
      </c>
      <c r="R221" s="36"/>
      <c r="S221" s="36"/>
      <c r="T221" s="36" t="s">
        <v>311</v>
      </c>
      <c r="U221" s="30"/>
      <c r="V221" s="36" t="s">
        <v>358</v>
      </c>
      <c r="W221" s="30" t="str">
        <f t="shared" si="15"/>
        <v>Receipt: For (Apt#: R-123) (Ref: YES0N6120724074300) (NEFT: ANKIT NAHAR-DWARKADHIS PROJECTS PRIVA-AXOMB12002169813) (Type: Customer Collection) (BU: Casa Romana)</v>
      </c>
      <c r="X221" s="36"/>
      <c r="Y221" s="59"/>
      <c r="Z221" s="2"/>
      <c r="AA221" s="2"/>
      <c r="AB221" s="2"/>
      <c r="AC221" s="2"/>
    </row>
    <row r="222" ht="15.75" hidden="1" customHeight="1">
      <c r="A222" s="56">
        <v>15.0</v>
      </c>
      <c r="B222" s="56" t="str">
        <f t="shared" si="12"/>
        <v>#NAME?</v>
      </c>
      <c r="C222" s="56">
        <f t="shared" si="13"/>
        <v>4</v>
      </c>
      <c r="D222" s="66">
        <v>46142.0</v>
      </c>
      <c r="E222" s="66">
        <v>46142.0</v>
      </c>
      <c r="F222" s="45"/>
      <c r="G222" s="45" t="s">
        <v>1334</v>
      </c>
      <c r="H222" s="61" t="s">
        <v>1335</v>
      </c>
      <c r="I222" s="46">
        <v>49146.0</v>
      </c>
      <c r="J222" s="46"/>
      <c r="K222" s="46">
        <f t="shared" si="10"/>
        <v>29045.5</v>
      </c>
      <c r="L222" s="62" t="s">
        <v>45</v>
      </c>
      <c r="M222" s="62" t="s">
        <v>47</v>
      </c>
      <c r="N222" s="63"/>
      <c r="O222" s="62" t="s">
        <v>60</v>
      </c>
      <c r="P222" s="30" t="s">
        <v>51</v>
      </c>
      <c r="Q222" s="64" t="s">
        <v>50</v>
      </c>
      <c r="R222" s="36"/>
      <c r="S222" s="36"/>
      <c r="T222" s="36"/>
      <c r="U222" s="30"/>
      <c r="V222" s="36"/>
      <c r="W222" s="30" t="str">
        <f t="shared" si="15"/>
        <v>Fund Transfer: From YES MASTER 0264 to xHTRA (Ref: YESME6120006890500) (Type: Master to Free) (BU: Casa Romana) (Head: Internal)</v>
      </c>
      <c r="X222" s="36"/>
      <c r="Y222" s="59"/>
      <c r="Z222" s="2"/>
      <c r="AA222" s="2"/>
      <c r="AB222" s="2"/>
      <c r="AC222" s="2"/>
    </row>
    <row r="223" ht="15.75" hidden="1" customHeight="1">
      <c r="A223" s="56">
        <v>14.0</v>
      </c>
      <c r="B223" s="56" t="str">
        <f t="shared" si="12"/>
        <v>#NAME?</v>
      </c>
      <c r="C223" s="56">
        <f t="shared" si="13"/>
        <v>4</v>
      </c>
      <c r="D223" s="66">
        <v>46142.0</v>
      </c>
      <c r="E223" s="66">
        <v>46142.0</v>
      </c>
      <c r="F223" s="45"/>
      <c r="G223" s="45" t="s">
        <v>970</v>
      </c>
      <c r="H223" s="61" t="s">
        <v>470</v>
      </c>
      <c r="I223" s="46">
        <v>35000.0</v>
      </c>
      <c r="J223" s="46"/>
      <c r="K223" s="46">
        <f t="shared" si="10"/>
        <v>78191.5</v>
      </c>
      <c r="L223" s="62" t="s">
        <v>45</v>
      </c>
      <c r="M223" s="62" t="s">
        <v>47</v>
      </c>
      <c r="N223" s="63"/>
      <c r="O223" s="62" t="s">
        <v>60</v>
      </c>
      <c r="P223" s="30" t="s">
        <v>61</v>
      </c>
      <c r="Q223" s="64" t="s">
        <v>50</v>
      </c>
      <c r="R223" s="36"/>
      <c r="S223" s="36"/>
      <c r="T223" s="36"/>
      <c r="U223" s="30"/>
      <c r="V223" s="36"/>
      <c r="W223" s="30" t="str">
        <f t="shared" si="15"/>
        <v>Fund Transfer: From YES MASTER 0264 to x0377 (Ref: YESME6120006890400) (Type: Master 2 RERA) (BU: Casa Romana) (Head: Internal)</v>
      </c>
      <c r="X223" s="36"/>
      <c r="Y223" s="59"/>
      <c r="Z223" s="2"/>
      <c r="AA223" s="2"/>
      <c r="AB223" s="2"/>
      <c r="AC223" s="2"/>
    </row>
    <row r="224" ht="15.75" hidden="1" customHeight="1">
      <c r="A224" s="56">
        <v>13.0</v>
      </c>
      <c r="B224" s="56" t="str">
        <f t="shared" si="12"/>
        <v>#NAME?</v>
      </c>
      <c r="C224" s="56">
        <f t="shared" si="13"/>
        <v>4</v>
      </c>
      <c r="D224" s="66">
        <v>46142.0</v>
      </c>
      <c r="E224" s="66">
        <v>46142.0</v>
      </c>
      <c r="F224" s="45"/>
      <c r="G224" s="45" t="s">
        <v>970</v>
      </c>
      <c r="H224" s="61" t="s">
        <v>478</v>
      </c>
      <c r="I224" s="46">
        <v>114768.0</v>
      </c>
      <c r="J224" s="46"/>
      <c r="K224" s="46">
        <f t="shared" si="10"/>
        <v>113191.5</v>
      </c>
      <c r="L224" s="62" t="s">
        <v>45</v>
      </c>
      <c r="M224" s="62" t="s">
        <v>47</v>
      </c>
      <c r="N224" s="63"/>
      <c r="O224" s="62" t="s">
        <v>60</v>
      </c>
      <c r="P224" s="30" t="s">
        <v>61</v>
      </c>
      <c r="Q224" s="64" t="s">
        <v>50</v>
      </c>
      <c r="R224" s="36"/>
      <c r="S224" s="36"/>
      <c r="T224" s="36"/>
      <c r="U224" s="30"/>
      <c r="V224" s="36"/>
      <c r="W224" s="30" t="str">
        <f t="shared" si="15"/>
        <v>Fund Transfer: From YES MASTER 0264 to x0377 (Ref: YESME6120006789500) (Type: Master 2 RERA) (BU: Casa Romana) (Head: Internal)</v>
      </c>
      <c r="X224" s="36"/>
      <c r="Y224" s="59"/>
      <c r="Z224" s="2"/>
      <c r="AA224" s="2"/>
      <c r="AB224" s="2"/>
      <c r="AC224" s="2"/>
    </row>
    <row r="225" ht="15.75" hidden="1" customHeight="1">
      <c r="A225" s="56">
        <v>12.0</v>
      </c>
      <c r="B225" s="56" t="str">
        <f t="shared" si="12"/>
        <v>#NAME?</v>
      </c>
      <c r="C225" s="56">
        <f t="shared" si="13"/>
        <v>4</v>
      </c>
      <c r="D225" s="66">
        <v>46142.0</v>
      </c>
      <c r="E225" s="66">
        <v>46142.0</v>
      </c>
      <c r="F225" s="45"/>
      <c r="G225" s="45" t="s">
        <v>1355</v>
      </c>
      <c r="H225" s="61" t="s">
        <v>1356</v>
      </c>
      <c r="I225" s="46">
        <v>15000.0</v>
      </c>
      <c r="J225" s="46"/>
      <c r="K225" s="46">
        <f t="shared" si="10"/>
        <v>227959.5</v>
      </c>
      <c r="L225" s="62" t="s">
        <v>45</v>
      </c>
      <c r="M225" s="62" t="s">
        <v>47</v>
      </c>
      <c r="N225" s="63"/>
      <c r="O225" s="62" t="s">
        <v>60</v>
      </c>
      <c r="P225" s="30" t="s">
        <v>51</v>
      </c>
      <c r="Q225" s="64" t="s">
        <v>50</v>
      </c>
      <c r="R225" s="36"/>
      <c r="S225" s="36"/>
      <c r="T225" s="36"/>
      <c r="U225" s="30"/>
      <c r="V225" s="36"/>
      <c r="W225" s="30" t="str">
        <f t="shared" si="15"/>
        <v>Fund Transfer: From YES MASTER 0264 to xHTRA (Ref: YESME6120006789600) (Type: Master to Free) (BU: Casa Romana) (Head: Internal)</v>
      </c>
      <c r="X225" s="36"/>
      <c r="Y225" s="59"/>
      <c r="Z225" s="2"/>
      <c r="AA225" s="2"/>
      <c r="AB225" s="2"/>
      <c r="AC225" s="2"/>
    </row>
    <row r="226" ht="15.75" customHeight="1">
      <c r="A226" s="56">
        <v>11.0</v>
      </c>
      <c r="B226" s="56" t="str">
        <f t="shared" si="12"/>
        <v>#NAME?</v>
      </c>
      <c r="C226" s="56">
        <f t="shared" si="13"/>
        <v>4</v>
      </c>
      <c r="D226" s="66">
        <v>46142.0</v>
      </c>
      <c r="E226" s="66">
        <v>46142.0</v>
      </c>
      <c r="F226" s="45"/>
      <c r="G226" s="45" t="s">
        <v>1362</v>
      </c>
      <c r="H226" s="61" t="s">
        <v>1363</v>
      </c>
      <c r="I226" s="46"/>
      <c r="J226" s="46">
        <v>50000.0</v>
      </c>
      <c r="K226" s="46">
        <f t="shared" si="10"/>
        <v>242959.5</v>
      </c>
      <c r="L226" s="62" t="s">
        <v>45</v>
      </c>
      <c r="M226" s="62" t="s">
        <v>94</v>
      </c>
      <c r="N226" s="63"/>
      <c r="O226" s="62" t="s">
        <v>60</v>
      </c>
      <c r="P226" s="30" t="s">
        <v>95</v>
      </c>
      <c r="Q226" s="64" t="s">
        <v>82</v>
      </c>
      <c r="R226" s="36"/>
      <c r="S226" s="36"/>
      <c r="T226" s="36" t="s">
        <v>738</v>
      </c>
      <c r="U226" s="30"/>
      <c r="V226" s="36" t="s">
        <v>358</v>
      </c>
      <c r="W226" s="30" t="str">
        <f t="shared" si="15"/>
        <v>Receipt: For (Apt#: N-052) (Ref: YES0N6120698227200) (NEFT: GIAN SINGH-DWARKADHIS PROJECTS PRIVA-CNRBH00128466789) (Type: Customer Collection) (BU: Casa Romana)</v>
      </c>
      <c r="X226" s="36"/>
      <c r="Y226" s="59"/>
      <c r="Z226" s="2"/>
      <c r="AA226" s="2"/>
      <c r="AB226" s="2"/>
      <c r="AC226" s="2"/>
    </row>
    <row r="227" ht="15.75" customHeight="1">
      <c r="A227" s="56">
        <v>10.0</v>
      </c>
      <c r="B227" s="56" t="str">
        <f t="shared" si="12"/>
        <v>#NAME?</v>
      </c>
      <c r="C227" s="56">
        <f t="shared" si="13"/>
        <v>4</v>
      </c>
      <c r="D227" s="66">
        <v>46142.0</v>
      </c>
      <c r="E227" s="66">
        <v>46142.0</v>
      </c>
      <c r="F227" s="45"/>
      <c r="G227" s="45" t="s">
        <v>1370</v>
      </c>
      <c r="H227" s="61" t="s">
        <v>1371</v>
      </c>
      <c r="I227" s="46"/>
      <c r="J227" s="46">
        <v>163954.0</v>
      </c>
      <c r="K227" s="46">
        <f t="shared" si="10"/>
        <v>192959.5</v>
      </c>
      <c r="L227" s="62" t="s">
        <v>45</v>
      </c>
      <c r="M227" s="62" t="s">
        <v>94</v>
      </c>
      <c r="N227" s="63"/>
      <c r="O227" s="62" t="s">
        <v>60</v>
      </c>
      <c r="P227" s="30" t="s">
        <v>95</v>
      </c>
      <c r="Q227" s="64" t="s">
        <v>82</v>
      </c>
      <c r="R227" s="36"/>
      <c r="S227" s="36"/>
      <c r="T227" s="36" t="s">
        <v>1374</v>
      </c>
      <c r="U227" s="30"/>
      <c r="V227" s="36" t="s">
        <v>358</v>
      </c>
      <c r="W227" s="30" t="str">
        <f t="shared" si="15"/>
        <v>Receipt: For (Apt#: S-093) (Ref: YBP6120518950260) (IMPS: HARSH SHARMA/XXX0354/RRN:612012532133/ICICI BANK LIMITED) (Type: Customer Collection) (BU: Casa Romana)</v>
      </c>
      <c r="X227" s="36"/>
      <c r="Y227" s="59"/>
      <c r="Z227" s="2"/>
      <c r="AA227" s="2"/>
      <c r="AB227" s="2"/>
      <c r="AC227" s="2"/>
    </row>
    <row r="228" ht="15.75" hidden="1" customHeight="1">
      <c r="A228" s="56">
        <v>9.0</v>
      </c>
      <c r="B228" s="56" t="str">
        <f t="shared" si="12"/>
        <v>#NAME?</v>
      </c>
      <c r="C228" s="56">
        <f t="shared" si="13"/>
        <v>4</v>
      </c>
      <c r="D228" s="66">
        <v>46139.0</v>
      </c>
      <c r="E228" s="66">
        <v>46139.0</v>
      </c>
      <c r="F228" s="45"/>
      <c r="G228" s="45" t="s">
        <v>1377</v>
      </c>
      <c r="H228" s="61" t="s">
        <v>492</v>
      </c>
      <c r="I228" s="46">
        <v>70000.0</v>
      </c>
      <c r="J228" s="46"/>
      <c r="K228" s="46">
        <f t="shared" si="10"/>
        <v>29005.5</v>
      </c>
      <c r="L228" s="62" t="s">
        <v>45</v>
      </c>
      <c r="M228" s="62" t="s">
        <v>47</v>
      </c>
      <c r="N228" s="63"/>
      <c r="O228" s="62" t="s">
        <v>60</v>
      </c>
      <c r="P228" s="30" t="s">
        <v>61</v>
      </c>
      <c r="Q228" s="64" t="s">
        <v>50</v>
      </c>
      <c r="R228" s="36"/>
      <c r="S228" s="36"/>
      <c r="T228" s="36"/>
      <c r="U228" s="30"/>
      <c r="V228" s="36"/>
      <c r="W228" s="30" t="str">
        <f t="shared" si="15"/>
        <v>Fund Transfer: From YES MASTER 0264 to x0377 (Ref: YESME6117007191200) (Type: Master 2 RERA) (BU: Casa Romana) (Head: Internal)</v>
      </c>
      <c r="X228" s="36"/>
      <c r="Y228" s="59"/>
      <c r="Z228" s="2"/>
      <c r="AA228" s="2"/>
      <c r="AB228" s="2"/>
      <c r="AC228" s="2"/>
    </row>
    <row r="229" ht="15.75" hidden="1" customHeight="1">
      <c r="A229" s="56">
        <v>8.0</v>
      </c>
      <c r="B229" s="56" t="str">
        <f t="shared" si="12"/>
        <v>#NAME?</v>
      </c>
      <c r="C229" s="56">
        <f t="shared" si="13"/>
        <v>4</v>
      </c>
      <c r="D229" s="66">
        <v>46139.0</v>
      </c>
      <c r="E229" s="66">
        <v>46139.0</v>
      </c>
      <c r="F229" s="45"/>
      <c r="G229" s="45" t="s">
        <v>1381</v>
      </c>
      <c r="H229" s="61" t="s">
        <v>1382</v>
      </c>
      <c r="I229" s="46">
        <v>30000.0</v>
      </c>
      <c r="J229" s="46"/>
      <c r="K229" s="46">
        <f t="shared" si="10"/>
        <v>99005.5</v>
      </c>
      <c r="L229" s="62" t="s">
        <v>45</v>
      </c>
      <c r="M229" s="62" t="s">
        <v>47</v>
      </c>
      <c r="N229" s="63"/>
      <c r="O229" s="62" t="s">
        <v>60</v>
      </c>
      <c r="P229" s="30" t="s">
        <v>51</v>
      </c>
      <c r="Q229" s="64" t="s">
        <v>50</v>
      </c>
      <c r="R229" s="36"/>
      <c r="S229" s="36"/>
      <c r="T229" s="36"/>
      <c r="U229" s="30"/>
      <c r="V229" s="36"/>
      <c r="W229" s="30" t="str">
        <f t="shared" si="15"/>
        <v>Fund Transfer: From YES MASTER 0264 to xHTRA (Ref: YESME6117007300200) (Type: Master to Free) (BU: Casa Romana) (Head: Internal)</v>
      </c>
      <c r="X229" s="36"/>
      <c r="Y229" s="59"/>
      <c r="Z229" s="2"/>
      <c r="AA229" s="2"/>
      <c r="AB229" s="2"/>
      <c r="AC229" s="2"/>
    </row>
    <row r="230" ht="15.75" customHeight="1">
      <c r="A230" s="56">
        <v>7.0</v>
      </c>
      <c r="B230" s="56" t="str">
        <f t="shared" si="12"/>
        <v>#NAME?</v>
      </c>
      <c r="C230" s="56">
        <f t="shared" si="13"/>
        <v>4</v>
      </c>
      <c r="D230" s="66">
        <v>46139.0</v>
      </c>
      <c r="E230" s="66">
        <v>46139.0</v>
      </c>
      <c r="F230" s="45"/>
      <c r="G230" s="45" t="s">
        <v>1387</v>
      </c>
      <c r="H230" s="61" t="s">
        <v>1388</v>
      </c>
      <c r="I230" s="46"/>
      <c r="J230" s="46">
        <v>100000.0</v>
      </c>
      <c r="K230" s="46">
        <f t="shared" si="10"/>
        <v>129005.5</v>
      </c>
      <c r="L230" s="62" t="s">
        <v>45</v>
      </c>
      <c r="M230" s="62" t="s">
        <v>94</v>
      </c>
      <c r="N230" s="63"/>
      <c r="O230" s="62" t="s">
        <v>60</v>
      </c>
      <c r="P230" s="30" t="s">
        <v>95</v>
      </c>
      <c r="Q230" s="64" t="s">
        <v>82</v>
      </c>
      <c r="R230" s="36"/>
      <c r="S230" s="36"/>
      <c r="T230" s="36" t="s">
        <v>296</v>
      </c>
      <c r="U230" s="30"/>
      <c r="V230" s="36" t="s">
        <v>358</v>
      </c>
      <c r="W230" s="30" t="str">
        <f t="shared" si="15"/>
        <v>Receipt: For (Apt#: P-022) (Ref: YES0N6117353029000) (NEFT: VIJAY YADAV-Dwarkadhis projects pvt l-HDFCH00956185725) (Type: Customer Collection) (BU: Casa Romana)</v>
      </c>
      <c r="X230" s="36"/>
      <c r="Y230" s="59"/>
      <c r="Z230" s="2"/>
      <c r="AA230" s="2"/>
      <c r="AB230" s="2"/>
      <c r="AC230" s="2"/>
    </row>
    <row r="231" ht="15.75" hidden="1" customHeight="1">
      <c r="A231" s="56">
        <v>6.0</v>
      </c>
      <c r="B231" s="56" t="str">
        <f t="shared" si="12"/>
        <v>#NAME?</v>
      </c>
      <c r="C231" s="56">
        <f t="shared" si="13"/>
        <v>4</v>
      </c>
      <c r="D231" s="66">
        <v>46134.0</v>
      </c>
      <c r="E231" s="66">
        <v>46134.0</v>
      </c>
      <c r="F231" s="45"/>
      <c r="G231" s="45" t="s">
        <v>1391</v>
      </c>
      <c r="H231" s="61" t="s">
        <v>1392</v>
      </c>
      <c r="I231" s="46">
        <v>17082.0</v>
      </c>
      <c r="J231" s="46"/>
      <c r="K231" s="46">
        <f t="shared" si="10"/>
        <v>29005.5</v>
      </c>
      <c r="L231" s="62" t="s">
        <v>41</v>
      </c>
      <c r="M231" s="62" t="s">
        <v>47</v>
      </c>
      <c r="N231" s="63"/>
      <c r="O231" s="62" t="s">
        <v>60</v>
      </c>
      <c r="P231" s="30" t="s">
        <v>51</v>
      </c>
      <c r="Q231" s="64" t="s">
        <v>50</v>
      </c>
      <c r="R231" s="36"/>
      <c r="S231" s="36"/>
      <c r="T231" s="36"/>
      <c r="U231" s="30"/>
      <c r="V231" s="36"/>
      <c r="W231" s="30" t="str">
        <f t="shared" si="15"/>
        <v>Fund Transfer: From YES MASTER 0264 to xHTRA (Ref: YESME6112002166300) (Type: Master to Free) (BU: HO) (Head: Internal)</v>
      </c>
      <c r="X231" s="36"/>
      <c r="Y231" s="59"/>
      <c r="Z231" s="2"/>
      <c r="AA231" s="2"/>
      <c r="AB231" s="2"/>
      <c r="AC231" s="2"/>
    </row>
    <row r="232" ht="15.75" hidden="1" customHeight="1">
      <c r="A232" s="56">
        <v>5.0</v>
      </c>
      <c r="B232" s="56" t="str">
        <f t="shared" si="12"/>
        <v>#NAME?</v>
      </c>
      <c r="C232" s="56">
        <f t="shared" si="13"/>
        <v>4</v>
      </c>
      <c r="D232" s="66">
        <v>46134.0</v>
      </c>
      <c r="E232" s="66">
        <v>46134.0</v>
      </c>
      <c r="F232" s="45"/>
      <c r="G232" s="45" t="s">
        <v>783</v>
      </c>
      <c r="H232" s="61" t="s">
        <v>507</v>
      </c>
      <c r="I232" s="46">
        <v>39858.0</v>
      </c>
      <c r="J232" s="46"/>
      <c r="K232" s="46">
        <f t="shared" si="10"/>
        <v>46087.5</v>
      </c>
      <c r="L232" s="62" t="s">
        <v>41</v>
      </c>
      <c r="M232" s="62" t="s">
        <v>47</v>
      </c>
      <c r="N232" s="63"/>
      <c r="O232" s="62" t="s">
        <v>60</v>
      </c>
      <c r="P232" s="30" t="s">
        <v>61</v>
      </c>
      <c r="Q232" s="64" t="s">
        <v>50</v>
      </c>
      <c r="R232" s="36"/>
      <c r="S232" s="36"/>
      <c r="T232" s="36"/>
      <c r="U232" s="30"/>
      <c r="V232" s="36"/>
      <c r="W232" s="30" t="str">
        <f t="shared" si="15"/>
        <v>Fund Transfer: From YES MASTER 0264 to x0377 (Ref: YESME6112002311100) (Type: Master 2 RERA) (BU: HO) (Head: Internal)</v>
      </c>
      <c r="X232" s="36"/>
      <c r="Y232" s="59"/>
      <c r="Z232" s="2"/>
      <c r="AA232" s="2"/>
      <c r="AB232" s="2"/>
      <c r="AC232" s="2"/>
    </row>
    <row r="233" ht="15.75" customHeight="1">
      <c r="A233" s="56">
        <v>4.0</v>
      </c>
      <c r="B233" s="56" t="str">
        <f t="shared" si="12"/>
        <v>#NAME?</v>
      </c>
      <c r="C233" s="56">
        <f t="shared" si="13"/>
        <v>4</v>
      </c>
      <c r="D233" s="66">
        <v>46132.0</v>
      </c>
      <c r="E233" s="66">
        <v>46132.0</v>
      </c>
      <c r="F233" s="45"/>
      <c r="G233" s="45" t="s">
        <v>1401</v>
      </c>
      <c r="H233" s="61" t="s">
        <v>1402</v>
      </c>
      <c r="I233" s="46"/>
      <c r="J233" s="46">
        <v>56940.0</v>
      </c>
      <c r="K233" s="46">
        <f t="shared" si="10"/>
        <v>85945.5</v>
      </c>
      <c r="L233" s="62" t="s">
        <v>45</v>
      </c>
      <c r="M233" s="62" t="s">
        <v>94</v>
      </c>
      <c r="N233" s="63"/>
      <c r="O233" s="62" t="s">
        <v>60</v>
      </c>
      <c r="P233" s="30" t="s">
        <v>95</v>
      </c>
      <c r="Q233" s="64" t="s">
        <v>82</v>
      </c>
      <c r="R233" s="36"/>
      <c r="S233" s="36"/>
      <c r="T233" s="36" t="s">
        <v>231</v>
      </c>
      <c r="U233" s="30"/>
      <c r="V233" s="36" t="s">
        <v>358</v>
      </c>
      <c r="W233" s="30" t="str">
        <f t="shared" si="15"/>
        <v>Receipt: For (Apt#: T-103) (Ref: YBP6110507670093) (IMPS: REUBEN MUKHERJEE U/G SOUMEN MUKHERJEE/XXX9384/RRN:611050868977/HDFC BANK) (Type: Customer Collection) (BU: Casa Romana)</v>
      </c>
      <c r="X233" s="36"/>
      <c r="Y233" s="59"/>
      <c r="Z233" s="2"/>
      <c r="AA233" s="2"/>
      <c r="AB233" s="2"/>
      <c r="AC233" s="2"/>
    </row>
    <row r="234" ht="15.75" hidden="1" customHeight="1">
      <c r="A234" s="56">
        <v>3.0</v>
      </c>
      <c r="B234" s="56" t="str">
        <f t="shared" si="12"/>
        <v>#NAME?</v>
      </c>
      <c r="C234" s="56">
        <f t="shared" si="13"/>
        <v>4</v>
      </c>
      <c r="D234" s="66">
        <v>46132.0</v>
      </c>
      <c r="E234" s="66">
        <v>46132.0</v>
      </c>
      <c r="F234" s="45"/>
      <c r="G234" s="45" t="s">
        <v>1407</v>
      </c>
      <c r="H234" s="61" t="s">
        <v>1408</v>
      </c>
      <c r="I234" s="46">
        <v>125.0</v>
      </c>
      <c r="J234" s="46"/>
      <c r="K234" s="46">
        <f t="shared" si="10"/>
        <v>29005.5</v>
      </c>
      <c r="L234" s="62" t="s">
        <v>41</v>
      </c>
      <c r="M234" s="62" t="s">
        <v>328</v>
      </c>
      <c r="N234" s="63"/>
      <c r="O234" s="62" t="s">
        <v>60</v>
      </c>
      <c r="P234" s="30" t="s">
        <v>43</v>
      </c>
      <c r="Q234" s="64" t="s">
        <v>329</v>
      </c>
      <c r="R234" s="36"/>
      <c r="S234" s="36"/>
      <c r="T234" s="36"/>
      <c r="U234" s="30" t="s">
        <v>1411</v>
      </c>
      <c r="V234" s="36"/>
      <c r="W234" s="30" t="str">
        <f t="shared" si="15"/>
        <v>Payment: Disbursement for Bank Charges (Ref: SCREF01282977797) (Type: HO - Admin) (BU: HO) (Head: Bank Charges)</v>
      </c>
      <c r="X234" s="36"/>
      <c r="Y234" s="59"/>
      <c r="Z234" s="2"/>
      <c r="AA234" s="2"/>
      <c r="AB234" s="2"/>
      <c r="AC234" s="2"/>
    </row>
    <row r="235" ht="15.75" hidden="1" customHeight="1">
      <c r="A235" s="56">
        <v>2.0</v>
      </c>
      <c r="B235" s="56" t="str">
        <f t="shared" si="12"/>
        <v>#NAME?</v>
      </c>
      <c r="C235" s="56">
        <f t="shared" si="13"/>
        <v>4</v>
      </c>
      <c r="D235" s="66">
        <v>46132.0</v>
      </c>
      <c r="E235" s="66">
        <v>46132.0</v>
      </c>
      <c r="F235" s="45"/>
      <c r="G235" s="45" t="s">
        <v>326</v>
      </c>
      <c r="H235" s="61" t="s">
        <v>1408</v>
      </c>
      <c r="I235" s="46">
        <v>22.5</v>
      </c>
      <c r="J235" s="46"/>
      <c r="K235" s="46">
        <f t="shared" si="10"/>
        <v>29130.5</v>
      </c>
      <c r="L235" s="62" t="s">
        <v>41</v>
      </c>
      <c r="M235" s="62" t="s">
        <v>328</v>
      </c>
      <c r="N235" s="63"/>
      <c r="O235" s="62" t="s">
        <v>60</v>
      </c>
      <c r="P235" s="30" t="s">
        <v>43</v>
      </c>
      <c r="Q235" s="64" t="s">
        <v>329</v>
      </c>
      <c r="R235" s="36"/>
      <c r="S235" s="36"/>
      <c r="T235" s="36"/>
      <c r="U235" s="30" t="s">
        <v>1417</v>
      </c>
      <c r="V235" s="36"/>
      <c r="W235" s="30" t="str">
        <f t="shared" si="15"/>
        <v>Payment: Disbursement for GST on Bank Charges (Ref: SCREF01282977797) (Type: HO - Admin) (BU: HO) (Head: Bank Charges)</v>
      </c>
      <c r="X235" s="36"/>
      <c r="Y235" s="59"/>
      <c r="Z235" s="2"/>
      <c r="AA235" s="2"/>
      <c r="AB235" s="2"/>
      <c r="AC235" s="2"/>
    </row>
    <row r="236" ht="15.75" hidden="1" customHeight="1">
      <c r="A236" s="56">
        <v>1.0</v>
      </c>
      <c r="B236" s="56" t="str">
        <f t="shared" si="12"/>
        <v>#NAME?</v>
      </c>
      <c r="C236" s="56">
        <f t="shared" si="13"/>
        <v>4</v>
      </c>
      <c r="D236" s="66">
        <v>46113.0</v>
      </c>
      <c r="E236" s="66">
        <v>46113.0</v>
      </c>
      <c r="F236" s="45"/>
      <c r="G236" s="45" t="s">
        <v>1420</v>
      </c>
      <c r="H236" s="61"/>
      <c r="I236" s="46"/>
      <c r="J236" s="46">
        <v>29153.0</v>
      </c>
      <c r="K236" s="46">
        <f>J236</f>
        <v>29153</v>
      </c>
      <c r="L236" s="62"/>
      <c r="M236" s="62"/>
      <c r="N236" s="63"/>
      <c r="O236" s="62"/>
      <c r="P236" s="30" t="s">
        <v>516</v>
      </c>
      <c r="Q236" s="64"/>
      <c r="R236" s="36"/>
      <c r="S236" s="36"/>
      <c r="T236" s="36"/>
      <c r="U236" s="30"/>
      <c r="V236" s="36"/>
      <c r="W236" s="30"/>
      <c r="X236" s="36"/>
      <c r="Y236" s="59"/>
      <c r="Z236" s="2"/>
      <c r="AA236" s="2"/>
      <c r="AB236" s="2"/>
      <c r="AC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C$236">
    <filterColumn colId="11">
      <filters>
        <filter val="Casa Romana"/>
      </filters>
    </filterColumn>
    <filterColumn colId="12">
      <filters blank="1">
        <filter val="Collection"/>
      </filters>
    </filterColumn>
    <sortState ref="A2:AC236">
      <sortCondition descending="1" ref="F2:F236"/>
    </sortState>
  </autoFilter>
  <customSheetViews>
    <customSheetView guid="{349BE81A-EADF-4EC0-BA06-361C2A3477E7}" filter="1" showAutoFilter="1">
      <autoFilter ref="$A$2:$W$235">
        <filterColumn colId="9">
          <filters>
            <filter val="63,740.00"/>
            <filter val="5,000.00"/>
            <filter val="1,45,057.00"/>
            <filter val="2,80,000.00"/>
            <filter val="1,50,000.00"/>
            <filter val="40,148.00"/>
            <filter val="70,000.00"/>
            <filter val="2,60,000.00"/>
            <filter val="43,221.00"/>
            <filter val="2,29,259.00"/>
            <filter val="35,200.00"/>
            <filter val="90,000.00"/>
            <filter val="95,000.00"/>
            <filter val="1,63,954.00"/>
            <filter val="10,600.00"/>
            <filter val="32,772.00"/>
            <filter val="91,867.00"/>
            <filter val="1,13,880.00"/>
            <filter val="10,000.00"/>
            <filter val="61,110.00"/>
            <filter val="64,752"/>
            <filter val="27,000.00"/>
            <filter val="1,96,415.00"/>
            <filter val="4,100.00"/>
            <filter val="45,000.00"/>
            <filter val="25,000.00"/>
            <filter val="1,70,820.00"/>
            <filter val="49,000.00"/>
            <filter val="59,753.00"/>
            <filter val="30,000.00"/>
            <filter val="2,00,000.00"/>
            <filter val="34,039.00"/>
            <filter val="5,51,756.00"/>
            <filter val="1,00,000.00"/>
            <filter val="1,48,372.00"/>
            <filter val="21,450.00"/>
            <filter val="32,276.00"/>
            <filter val="1,03,495.00"/>
            <filter val="1,82,129.00"/>
            <filter val="68,264.00"/>
            <filter val="53,777.00"/>
            <filter val="53,404.00"/>
            <filter val="2,50,000.00"/>
            <filter val="2,18,756.00"/>
            <filter val="59,272.00"/>
            <filter val="47,360.00"/>
            <filter val="1,47,661.00"/>
            <filter val="52,040.00"/>
            <filter val="1,94,258.00"/>
            <filter val="63,470.00"/>
            <filter val="15,000.00"/>
            <filter val="96,406.00"/>
            <filter val="60,000.00"/>
            <filter val="56,940.00"/>
            <filter val="53,300.00"/>
            <filter val="64,942.00"/>
            <filter val="55,000.00"/>
            <filter val="20,222.00"/>
            <filter val="35,000.00"/>
          </filters>
        </filterColumn>
      </autoFilter>
      <extLst>
        <ext uri="GoogleSheetsCustomDataVersion1">
          <go:sheetsCustomData xmlns:go="http://customooxmlschemas.google.com/" filterViewId="1209986903"/>
        </ext>
      </extLst>
    </customSheetView>
    <customSheetView guid="{70237D74-8771-48BE-995E-95BE0C94BD6E}" filter="1" showAutoFilter="1">
      <autoFilter ref="$A$1:$W$236"/>
      <extLst>
        <ext uri="GoogleSheetsCustomDataVersion1">
          <go:sheetsCustomData xmlns:go="http://customooxmlschemas.google.com/" filterViewId="150628246"/>
        </ext>
      </extLst>
    </customSheetView>
    <customSheetView guid="{4B837E91-648A-448B-B5A2-FAD46C5782F5}" filter="1" showAutoFilter="1">
      <autoFilter ref="$A$1:$W$235"/>
      <extLst>
        <ext uri="GoogleSheetsCustomDataVersion1">
          <go:sheetsCustomData xmlns:go="http://customooxmlschemas.google.com/" filterViewId="1971322129"/>
        </ext>
      </extLst>
    </customSheetView>
  </customSheetViews>
  <conditionalFormatting sqref="K1:K236 Y3:Y24">
    <cfRule type="expression" dxfId="0" priority="1">
      <formula>O:O="Reco"</formula>
    </cfRule>
  </conditionalFormatting>
  <conditionalFormatting sqref="K1:K236 Y3:Y24">
    <cfRule type="expression" dxfId="1" priority="2">
      <formula>O:O="entry"</formula>
    </cfRule>
  </conditionalFormatting>
  <conditionalFormatting sqref="Y33:Y37">
    <cfRule type="expression" dxfId="0" priority="3">
      <formula>O:O="Reco"</formula>
    </cfRule>
  </conditionalFormatting>
  <conditionalFormatting sqref="Y33:Y37">
    <cfRule type="expression" dxfId="1" priority="4">
      <formula>O:O="entry"</formula>
    </cfRule>
  </conditionalFormatting>
  <dataValidations>
    <dataValidation type="list" allowBlank="1" showErrorMessage="1" sqref="L3:M236 P3:Q236 T3:T236">
      <formula1>#REF!</formula1>
    </dataValidation>
    <dataValidation type="list" allowBlank="1" sqref="O3:O236">
      <formula1>"Reco,Suspense,Entry,Reverse Entry,Pending"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1.0" ySplit="2.0" topLeftCell="L3" activePane="bottomRight" state="frozen"/>
      <selection activeCell="L1" sqref="L1" pane="topRight"/>
      <selection activeCell="A3" sqref="A3" pane="bottomLeft"/>
      <selection activeCell="L3" sqref="L3" pane="bottomRight"/>
    </sheetView>
  </sheetViews>
  <sheetFormatPr customHeight="1" defaultColWidth="12.63" defaultRowHeight="15.0" outlineLevelCol="1"/>
  <cols>
    <col customWidth="1" min="1" max="1" width="4.63"/>
    <col customWidth="1" min="2" max="2" width="9.38"/>
    <col customWidth="1" min="3" max="3" width="6.0"/>
    <col customWidth="1" min="4" max="5" width="10.63"/>
    <col customWidth="1" min="6" max="6" width="7.5"/>
    <col customWidth="1" min="7" max="7" width="38.38"/>
    <col customWidth="1" min="8" max="8" width="19.38"/>
    <col customWidth="1" min="9" max="9" width="9.63"/>
    <col customWidth="1" min="10" max="10" width="10.88"/>
    <col customWidth="1" min="11" max="11" width="11.63"/>
    <col customWidth="1" min="12" max="12" width="15.38"/>
    <col customWidth="1" min="13" max="13" width="10.13"/>
    <col customWidth="1" hidden="1" min="14" max="14" width="7.63"/>
    <col customWidth="1" min="15" max="15" width="7.63"/>
    <col customWidth="1" min="16" max="16" width="11.88"/>
    <col customWidth="1" min="17" max="17" width="11.38"/>
    <col customWidth="1" hidden="1" min="18" max="18" width="10.13"/>
    <col customWidth="1" hidden="1" min="19" max="19" width="13.5"/>
    <col customWidth="1" min="22" max="22" width="16.63"/>
    <col customWidth="1" min="23" max="23" width="38.13"/>
    <col customWidth="1" min="24" max="24" width="11.13"/>
    <col customWidth="1" min="25" max="25" width="6.0"/>
    <col customWidth="1" min="26" max="28" width="7.88"/>
  </cols>
  <sheetData>
    <row r="1" ht="15.75" customHeight="1">
      <c r="F1" s="3"/>
      <c r="G1" s="5" t="s">
        <v>3</v>
      </c>
      <c r="H1" s="6">
        <v>46258.0</v>
      </c>
      <c r="I1" s="8">
        <f>SUM(I3:I76)</f>
        <v>7650000</v>
      </c>
      <c r="J1" s="8">
        <f>SUBTOTAL(9,J3:J76)</f>
        <v>7658019.4</v>
      </c>
      <c r="K1" s="8">
        <f>J1-I1</f>
        <v>8019.4</v>
      </c>
      <c r="X1" s="10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4" t="str">
        <f>'YES Master 0264'!D2</f>
        <v>TXN DATE</v>
      </c>
      <c r="E2" s="14" t="str">
        <f>'YES Master 0264'!E2</f>
        <v>VALUE DATE</v>
      </c>
      <c r="F2" s="14" t="str">
        <f>'YES Master 0264'!F2</f>
        <v>TYPE</v>
      </c>
      <c r="G2" s="14" t="str">
        <f>'YES Master 0264'!G2</f>
        <v>DESCRIPTION</v>
      </c>
      <c r="H2" s="14" t="str">
        <f>'YES Master 0264'!H2</f>
        <v>REFERENCE</v>
      </c>
      <c r="I2" s="22" t="str">
        <f>'YES Master 0264'!I2</f>
        <v>DEBITS</v>
      </c>
      <c r="J2" s="22" t="str">
        <f>'YES Master 0264'!J2</f>
        <v>CREDITS</v>
      </c>
      <c r="K2" s="22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11" t="str">
        <f>'YES Master 0264'!P2</f>
        <v>TYPE FOR RERA IDW</v>
      </c>
      <c r="Q2" s="11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11" t="str">
        <f>'YES Master 0264'!W2</f>
        <v>NARRATION</v>
      </c>
      <c r="X2" s="25" t="s">
        <v>28</v>
      </c>
      <c r="Y2" s="26" t="s">
        <v>29</v>
      </c>
      <c r="Z2" s="26" t="s">
        <v>30</v>
      </c>
      <c r="AA2" s="26" t="s">
        <v>31</v>
      </c>
      <c r="AB2" s="26" t="s">
        <v>32</v>
      </c>
    </row>
    <row r="3" ht="15.75" customHeight="1">
      <c r="A3" s="30"/>
      <c r="B3" s="30"/>
      <c r="C3" s="29"/>
      <c r="D3" s="31"/>
      <c r="E3" s="31"/>
      <c r="F3" s="36"/>
      <c r="G3" s="30"/>
      <c r="H3" s="30"/>
      <c r="I3" s="44"/>
      <c r="J3" s="44"/>
      <c r="K3" s="46"/>
      <c r="L3" s="30"/>
      <c r="M3" s="30"/>
      <c r="N3" s="36"/>
      <c r="O3" s="36"/>
      <c r="P3" s="30"/>
      <c r="Q3" s="30"/>
      <c r="R3" s="36"/>
      <c r="S3" s="36"/>
      <c r="T3" s="36"/>
      <c r="U3" s="36"/>
      <c r="V3" s="36"/>
      <c r="W3" s="33"/>
      <c r="X3" s="49"/>
      <c r="Y3" s="50"/>
      <c r="Z3" s="1"/>
      <c r="AA3" s="1"/>
      <c r="AB3" s="1"/>
    </row>
    <row r="4" ht="15.75" customHeight="1">
      <c r="A4" s="30">
        <f t="shared" ref="A4:A5" si="1">ROW()-1</f>
        <v>3</v>
      </c>
      <c r="B4" s="30" t="str">
        <f t="shared" ref="B4:B16" si="2">IFERROR("Q"&amp;(INT(MOD(C4-4,12)/3)+1),"")</f>
        <v>Q2</v>
      </c>
      <c r="C4" s="29">
        <f t="shared" ref="C4:C16" si="3">IFERROR(MONTH(DATEVALUE(D4)),"")</f>
        <v>8</v>
      </c>
      <c r="D4" s="54" t="s">
        <v>38</v>
      </c>
      <c r="E4" s="54" t="s">
        <v>38</v>
      </c>
      <c r="F4" s="36" t="s">
        <v>37</v>
      </c>
      <c r="G4" s="30" t="s">
        <v>40</v>
      </c>
      <c r="H4" s="36" t="s">
        <v>37</v>
      </c>
      <c r="I4" s="44">
        <v>150000.0</v>
      </c>
      <c r="J4" s="44"/>
      <c r="K4" s="44">
        <f>K5+J4-I4</f>
        <v>8019.1</v>
      </c>
      <c r="L4" s="30" t="s">
        <v>45</v>
      </c>
      <c r="M4" s="30" t="s">
        <v>47</v>
      </c>
      <c r="N4" s="36" t="s">
        <v>37</v>
      </c>
      <c r="O4" s="36" t="s">
        <v>48</v>
      </c>
      <c r="P4" s="30" t="s">
        <v>49</v>
      </c>
      <c r="Q4" s="30" t="s">
        <v>50</v>
      </c>
      <c r="R4" s="36" t="s">
        <v>37</v>
      </c>
      <c r="S4" s="36" t="s">
        <v>37</v>
      </c>
      <c r="T4" s="36" t="s">
        <v>37</v>
      </c>
      <c r="U4" s="36" t="s">
        <v>37</v>
      </c>
      <c r="V4" s="36" t="s">
        <v>37</v>
      </c>
      <c r="W4" s="33" t="s">
        <v>53</v>
      </c>
      <c r="X4" s="44">
        <v>8019.0</v>
      </c>
      <c r="Y4" s="29">
        <f t="shared" ref="Y4:Y8" si="4">IFERROR(ROUND(X4-K4,2),"")</f>
        <v>-0.1</v>
      </c>
      <c r="Z4" s="1" t="s">
        <v>37</v>
      </c>
      <c r="AA4" s="1" t="s">
        <v>37</v>
      </c>
      <c r="AB4" s="1" t="s">
        <v>37</v>
      </c>
    </row>
    <row r="5" ht="15.75" customHeight="1">
      <c r="A5" s="30">
        <f t="shared" si="1"/>
        <v>4</v>
      </c>
      <c r="B5" s="30" t="str">
        <f t="shared" si="2"/>
        <v>Q2</v>
      </c>
      <c r="C5" s="29">
        <f t="shared" si="3"/>
        <v>8</v>
      </c>
      <c r="D5" s="52" t="s">
        <v>36</v>
      </c>
      <c r="E5" s="52" t="s">
        <v>36</v>
      </c>
      <c r="F5" s="36" t="s">
        <v>37</v>
      </c>
      <c r="G5" s="30" t="s">
        <v>56</v>
      </c>
      <c r="H5" s="36" t="s">
        <v>37</v>
      </c>
      <c r="I5" s="44"/>
      <c r="J5" s="44">
        <v>115326.0</v>
      </c>
      <c r="K5" s="44">
        <f>X5</f>
        <v>158019.1</v>
      </c>
      <c r="L5" s="30" t="s">
        <v>45</v>
      </c>
      <c r="M5" s="30" t="s">
        <v>47</v>
      </c>
      <c r="N5" s="36" t="s">
        <v>37</v>
      </c>
      <c r="O5" s="36" t="s">
        <v>60</v>
      </c>
      <c r="P5" s="30" t="s">
        <v>61</v>
      </c>
      <c r="Q5" s="30" t="s">
        <v>50</v>
      </c>
      <c r="R5" s="36" t="s">
        <v>37</v>
      </c>
      <c r="S5" s="36" t="s">
        <v>37</v>
      </c>
      <c r="T5" s="36" t="s">
        <v>37</v>
      </c>
      <c r="U5" s="36" t="s">
        <v>37</v>
      </c>
      <c r="V5" s="36" t="s">
        <v>37</v>
      </c>
      <c r="W5" s="33" t="s">
        <v>62</v>
      </c>
      <c r="X5" s="44">
        <v>158019.1</v>
      </c>
      <c r="Y5" s="29">
        <f t="shared" si="4"/>
        <v>0</v>
      </c>
      <c r="Z5" s="1"/>
      <c r="AA5" s="1"/>
      <c r="AB5" s="1"/>
    </row>
    <row r="6" ht="15.75" customHeight="1">
      <c r="A6" s="56">
        <v>71.0</v>
      </c>
      <c r="B6" s="30" t="str">
        <f t="shared" si="2"/>
        <v>Q2</v>
      </c>
      <c r="C6" s="29">
        <f t="shared" si="3"/>
        <v>8</v>
      </c>
      <c r="D6" s="31" t="s">
        <v>63</v>
      </c>
      <c r="E6" s="31" t="s">
        <v>63</v>
      </c>
      <c r="F6" s="36"/>
      <c r="G6" s="30" t="s">
        <v>65</v>
      </c>
      <c r="H6" s="36" t="s">
        <v>66</v>
      </c>
      <c r="I6" s="44">
        <v>150000.0</v>
      </c>
      <c r="J6" s="44"/>
      <c r="K6" s="46">
        <f t="shared" ref="K6:K75" si="5">K7+J6-I6</f>
        <v>42693.4</v>
      </c>
      <c r="L6" s="30" t="s">
        <v>45</v>
      </c>
      <c r="M6" s="30" t="s">
        <v>47</v>
      </c>
      <c r="N6" s="36"/>
      <c r="O6" s="36" t="s">
        <v>60</v>
      </c>
      <c r="P6" s="30" t="s">
        <v>49</v>
      </c>
      <c r="Q6" s="30" t="s">
        <v>50</v>
      </c>
      <c r="R6" s="36"/>
      <c r="S6" s="36"/>
      <c r="T6" s="36"/>
      <c r="U6" s="36"/>
      <c r="V6" s="36"/>
      <c r="W6" s="33" t="s">
        <v>53</v>
      </c>
      <c r="X6" s="44">
        <v>42693.1</v>
      </c>
      <c r="Y6" s="29">
        <f t="shared" si="4"/>
        <v>-0.3</v>
      </c>
      <c r="Z6" s="1"/>
      <c r="AA6" s="1"/>
      <c r="AB6" s="1"/>
    </row>
    <row r="7" ht="15.75" customHeight="1">
      <c r="A7" s="56">
        <v>70.0</v>
      </c>
      <c r="B7" s="30" t="str">
        <f t="shared" si="2"/>
        <v>Q2</v>
      </c>
      <c r="C7" s="29">
        <f t="shared" si="3"/>
        <v>8</v>
      </c>
      <c r="D7" s="52" t="s">
        <v>69</v>
      </c>
      <c r="E7" s="52" t="s">
        <v>69</v>
      </c>
      <c r="F7" s="36" t="s">
        <v>37</v>
      </c>
      <c r="G7" s="30" t="s">
        <v>56</v>
      </c>
      <c r="H7" s="36" t="s">
        <v>37</v>
      </c>
      <c r="I7" s="44"/>
      <c r="J7" s="44">
        <v>105000.0</v>
      </c>
      <c r="K7" s="46">
        <f t="shared" si="5"/>
        <v>192693.4</v>
      </c>
      <c r="L7" s="30" t="s">
        <v>45</v>
      </c>
      <c r="M7" s="30" t="s">
        <v>47</v>
      </c>
      <c r="N7" s="36" t="s">
        <v>37</v>
      </c>
      <c r="O7" s="36" t="s">
        <v>60</v>
      </c>
      <c r="P7" s="30" t="s">
        <v>61</v>
      </c>
      <c r="Q7" s="30" t="s">
        <v>50</v>
      </c>
      <c r="R7" s="36" t="s">
        <v>37</v>
      </c>
      <c r="S7" s="36" t="s">
        <v>37</v>
      </c>
      <c r="T7" s="36" t="s">
        <v>37</v>
      </c>
      <c r="U7" s="36" t="s">
        <v>37</v>
      </c>
      <c r="V7" s="36" t="s">
        <v>37</v>
      </c>
      <c r="W7" s="33" t="s">
        <v>62</v>
      </c>
      <c r="X7" s="44">
        <v>192693.1</v>
      </c>
      <c r="Y7" s="29">
        <f t="shared" si="4"/>
        <v>-0.3</v>
      </c>
      <c r="Z7" s="1"/>
      <c r="AA7" s="1"/>
      <c r="AB7" s="1"/>
    </row>
    <row r="8" ht="15.75" customHeight="1">
      <c r="A8" s="56">
        <v>69.0</v>
      </c>
      <c r="B8" s="30" t="str">
        <f t="shared" si="2"/>
        <v>Q2</v>
      </c>
      <c r="C8" s="29">
        <f t="shared" si="3"/>
        <v>8</v>
      </c>
      <c r="D8" s="52" t="s">
        <v>72</v>
      </c>
      <c r="E8" s="52" t="s">
        <v>72</v>
      </c>
      <c r="F8" s="36" t="s">
        <v>37</v>
      </c>
      <c r="G8" s="30" t="s">
        <v>40</v>
      </c>
      <c r="H8" s="36" t="s">
        <v>37</v>
      </c>
      <c r="I8" s="44">
        <v>150000.0</v>
      </c>
      <c r="J8" s="44"/>
      <c r="K8" s="46">
        <f t="shared" si="5"/>
        <v>87693.4</v>
      </c>
      <c r="L8" s="30" t="s">
        <v>45</v>
      </c>
      <c r="M8" s="30" t="s">
        <v>47</v>
      </c>
      <c r="N8" s="36" t="s">
        <v>37</v>
      </c>
      <c r="O8" s="36" t="s">
        <v>60</v>
      </c>
      <c r="P8" s="30" t="s">
        <v>49</v>
      </c>
      <c r="Q8" s="30" t="s">
        <v>50</v>
      </c>
      <c r="R8" s="36" t="s">
        <v>37</v>
      </c>
      <c r="S8" s="36" t="s">
        <v>37</v>
      </c>
      <c r="T8" s="36" t="s">
        <v>37</v>
      </c>
      <c r="U8" s="36" t="s">
        <v>37</v>
      </c>
      <c r="V8" s="36" t="s">
        <v>37</v>
      </c>
      <c r="W8" s="33" t="s">
        <v>53</v>
      </c>
      <c r="X8" s="44">
        <v>87693.1</v>
      </c>
      <c r="Y8" s="29">
        <f t="shared" si="4"/>
        <v>-0.3</v>
      </c>
      <c r="Z8" s="1"/>
      <c r="AA8" s="1"/>
      <c r="AB8" s="1"/>
    </row>
    <row r="9" ht="15.75" customHeight="1">
      <c r="A9" s="56">
        <v>68.0</v>
      </c>
      <c r="B9" s="30" t="str">
        <f t="shared" si="2"/>
        <v>Q2</v>
      </c>
      <c r="C9" s="29">
        <f t="shared" si="3"/>
        <v>8</v>
      </c>
      <c r="D9" s="52" t="s">
        <v>77</v>
      </c>
      <c r="E9" s="52" t="s">
        <v>77</v>
      </c>
      <c r="F9" s="36" t="s">
        <v>37</v>
      </c>
      <c r="G9" s="30" t="s">
        <v>40</v>
      </c>
      <c r="H9" s="36" t="s">
        <v>37</v>
      </c>
      <c r="I9" s="44">
        <v>300000.0</v>
      </c>
      <c r="J9" s="44"/>
      <c r="K9" s="46">
        <f t="shared" si="5"/>
        <v>237693.4</v>
      </c>
      <c r="L9" s="30" t="s">
        <v>45</v>
      </c>
      <c r="M9" s="30" t="s">
        <v>47</v>
      </c>
      <c r="N9" s="36" t="s">
        <v>37</v>
      </c>
      <c r="O9" s="36" t="s">
        <v>60</v>
      </c>
      <c r="P9" s="30" t="s">
        <v>49</v>
      </c>
      <c r="Q9" s="30" t="s">
        <v>50</v>
      </c>
      <c r="R9" s="36" t="s">
        <v>37</v>
      </c>
      <c r="S9" s="36" t="s">
        <v>37</v>
      </c>
      <c r="T9" s="36" t="s">
        <v>37</v>
      </c>
      <c r="U9" s="36" t="s">
        <v>37</v>
      </c>
      <c r="V9" s="36" t="s">
        <v>37</v>
      </c>
      <c r="W9" s="30" t="str">
        <f t="shared" ref="W9:W75" si="6">TRIM(IF(M9="Internal",IF(N(J9)&gt;0,"Fund Transfer: From x"&amp;RIGHT(TRIM(G9),4)&amp;" to YES RERA 0377 (Bank Reference: "&amp;H9&amp;") (Type: "&amp;P9&amp;") (BU: "&amp;L9&amp;") (Head: "&amp;M9&amp;")","Fund Transfer: From YES RERA 0377 to x"&amp;RIGHT(TRIM(G9),4)&amp;" (Bank Reference: "&amp;H9&amp;") (Type: "&amp;P9&amp;") (BU: "&amp;L9&amp;") (Head: "&amp;M9&amp;")"),IF(N(J9)&gt;0,IF(P9="Customer Collection","Receipt: For "&amp;IF(T9="","", "(Apt#: "&amp;T9&amp;") ")&amp;"(Bank Reference: "&amp;H9&amp;") (From: "&amp;IF(ISNUMBER(SEARCH("SOHNA ROAD",G9)),"",IFERROR(MID(G9,FIND("-",G9,FIND("-",G9)+1)+1,LEN(G9)),SUBSTITUTE(SUBSTITUTE(SUBSTITUTE(G9,"IMPS/",""),"NEFT/",""),"RTGS/","")))&amp;") (Type: "&amp;P9&amp;") (BU: "&amp;L9&amp;")",IF(LEN(G9)-LEN(SUBSTITUTE(G9,"-",""))&gt;=3,"Receipt: From x"&amp;RIGHT(TRIM(G9),4)&amp;" towards "&amp;IF(U9="",L9,U9)&amp;IF(OR(L9="Cancellation",L9="Collection")," Apt No "&amp;T9,"")&amp;" (Bank Reference: "&amp;H9&amp;") (Type: "&amp;P9&amp;") (BU: "&amp;L9&amp;") (Head: "&amp;M9&amp;")"&amp;IF(T9="",""," (Apt#: "&amp;T9&amp;")"),"Receipt: Against "&amp;IF(U9="",L9,U9)&amp;IF(OR(L9="Cancellation",L9="Collection")," Apt No "&amp;T9,"")&amp;" (Bank Reference: "&amp;H9&amp;") (Type: "&amp;P9&amp;") (BU: "&amp;L9&amp;") (Head: "&amp;M9&amp;")"&amp;IF(T9="",""," (Apt#: "&amp;T9&amp;")"))),IF(LEN(G9)-LEN(SUBSTITUTE(G9,"-",""))&gt;=3,"Payment: To x"&amp;RIGHT(TRIM(G9),4)&amp;" (Purpose: "&amp;IF(U9="",L9,U9)&amp;") (Bank Reference: "&amp;H9&amp;") (Type: "&amp;P9&amp;") (BU: "&amp;L9&amp;") (Head: "&amp;M9&amp;")"&amp;IF(T9="",""," (Apt#: "&amp;T9&amp;")"),"Payment: Disbursement (Purpose: "&amp;IF(U9="","",U9&amp;" ")&amp;") (Bank Reference: "&amp;H9&amp;") (Type: "&amp;P9&amp;") (BU: "&amp;L9&amp;") (Head: "&amp;M9&amp;")"&amp;IF(T9="",""," (Apt#: "&amp;T9&amp;")")))))</f>
        <v>Fund Transfer: From YES RERA 0377 to x0490 (Bank Reference: ) (Type: RERA 2 IDW) (BU: Casa Romana) (Head: Internal)</v>
      </c>
      <c r="X9" s="49">
        <v>237693.1</v>
      </c>
      <c r="Y9" s="59">
        <f t="shared" ref="Y9:Y16" si="7">X9-K9</f>
        <v>-0.2999999999</v>
      </c>
      <c r="Z9" s="1"/>
      <c r="AA9" s="1"/>
      <c r="AB9" s="1"/>
    </row>
    <row r="10" ht="15.75" customHeight="1">
      <c r="A10" s="56">
        <v>67.0</v>
      </c>
      <c r="B10" s="30" t="str">
        <f t="shared" si="2"/>
        <v>Q2</v>
      </c>
      <c r="C10" s="29">
        <f t="shared" si="3"/>
        <v>8</v>
      </c>
      <c r="D10" s="52" t="s">
        <v>77</v>
      </c>
      <c r="E10" s="52" t="s">
        <v>77</v>
      </c>
      <c r="F10" s="36" t="s">
        <v>37</v>
      </c>
      <c r="G10" s="30" t="s">
        <v>56</v>
      </c>
      <c r="H10" s="36" t="s">
        <v>37</v>
      </c>
      <c r="I10" s="44"/>
      <c r="J10" s="44">
        <v>198629.0</v>
      </c>
      <c r="K10" s="46">
        <f t="shared" si="5"/>
        <v>537693.4</v>
      </c>
      <c r="L10" s="30" t="s">
        <v>45</v>
      </c>
      <c r="M10" s="30" t="s">
        <v>47</v>
      </c>
      <c r="N10" s="36" t="s">
        <v>37</v>
      </c>
      <c r="O10" s="36" t="s">
        <v>60</v>
      </c>
      <c r="P10" s="30" t="s">
        <v>61</v>
      </c>
      <c r="Q10" s="30" t="s">
        <v>50</v>
      </c>
      <c r="R10" s="36" t="s">
        <v>37</v>
      </c>
      <c r="S10" s="36" t="s">
        <v>37</v>
      </c>
      <c r="T10" s="36" t="s">
        <v>37</v>
      </c>
      <c r="U10" s="36" t="s">
        <v>37</v>
      </c>
      <c r="V10" s="36" t="s">
        <v>37</v>
      </c>
      <c r="W10" s="30" t="str">
        <f t="shared" si="6"/>
        <v>Fund Transfer: From x0264 to YES RERA 0377 (Bank Reference: ) (Type: Master 2 RERA) (BU: Casa Romana) (Head: Internal)</v>
      </c>
      <c r="X10" s="49">
        <v>537693.1</v>
      </c>
      <c r="Y10" s="59">
        <f t="shared" si="7"/>
        <v>-0.2999999999</v>
      </c>
      <c r="Z10" s="1"/>
      <c r="AA10" s="1"/>
      <c r="AB10" s="1"/>
    </row>
    <row r="11" ht="15.75" customHeight="1">
      <c r="A11" s="56">
        <v>66.0</v>
      </c>
      <c r="B11" s="30" t="str">
        <f t="shared" si="2"/>
        <v>Q2</v>
      </c>
      <c r="C11" s="29">
        <f t="shared" si="3"/>
        <v>8</v>
      </c>
      <c r="D11" s="52" t="s">
        <v>109</v>
      </c>
      <c r="E11" s="52" t="s">
        <v>109</v>
      </c>
      <c r="F11" s="36" t="s">
        <v>37</v>
      </c>
      <c r="G11" s="30" t="s">
        <v>56</v>
      </c>
      <c r="H11" s="36" t="s">
        <v>37</v>
      </c>
      <c r="I11" s="44"/>
      <c r="J11" s="44">
        <v>232344.0</v>
      </c>
      <c r="K11" s="46">
        <f t="shared" si="5"/>
        <v>339064.4</v>
      </c>
      <c r="L11" s="30" t="s">
        <v>45</v>
      </c>
      <c r="M11" s="30" t="s">
        <v>47</v>
      </c>
      <c r="N11" s="36" t="s">
        <v>37</v>
      </c>
      <c r="O11" s="36" t="s">
        <v>60</v>
      </c>
      <c r="P11" s="30" t="s">
        <v>61</v>
      </c>
      <c r="Q11" s="30" t="s">
        <v>50</v>
      </c>
      <c r="R11" s="36" t="s">
        <v>37</v>
      </c>
      <c r="S11" s="36" t="s">
        <v>37</v>
      </c>
      <c r="T11" s="36" t="s">
        <v>37</v>
      </c>
      <c r="U11" s="36" t="s">
        <v>37</v>
      </c>
      <c r="V11" s="36" t="s">
        <v>37</v>
      </c>
      <c r="W11" s="30" t="str">
        <f t="shared" si="6"/>
        <v>Fund Transfer: From x0264 to YES RERA 0377 (Bank Reference: ) (Type: Master 2 RERA) (BU: Casa Romana) (Head: Internal)</v>
      </c>
      <c r="X11" s="49">
        <v>339064.1</v>
      </c>
      <c r="Y11" s="59">
        <f t="shared" si="7"/>
        <v>-0.2999999999</v>
      </c>
      <c r="Z11" s="1"/>
      <c r="AA11" s="1"/>
      <c r="AB11" s="1"/>
    </row>
    <row r="12" ht="15.75" customHeight="1">
      <c r="A12" s="56">
        <v>65.0</v>
      </c>
      <c r="B12" s="30" t="str">
        <f t="shared" si="2"/>
        <v>Q2</v>
      </c>
      <c r="C12" s="29">
        <f t="shared" si="3"/>
        <v>8</v>
      </c>
      <c r="D12" s="52" t="s">
        <v>109</v>
      </c>
      <c r="E12" s="52" t="s">
        <v>109</v>
      </c>
      <c r="F12" s="36" t="s">
        <v>37</v>
      </c>
      <c r="G12" s="30" t="s">
        <v>40</v>
      </c>
      <c r="H12" s="36" t="s">
        <v>37</v>
      </c>
      <c r="I12" s="44">
        <v>350000.0</v>
      </c>
      <c r="J12" s="44"/>
      <c r="K12" s="46">
        <f t="shared" si="5"/>
        <v>106720.4</v>
      </c>
      <c r="L12" s="30" t="s">
        <v>45</v>
      </c>
      <c r="M12" s="30" t="s">
        <v>47</v>
      </c>
      <c r="N12" s="36" t="s">
        <v>37</v>
      </c>
      <c r="O12" s="36" t="s">
        <v>60</v>
      </c>
      <c r="P12" s="30" t="s">
        <v>49</v>
      </c>
      <c r="Q12" s="30" t="s">
        <v>50</v>
      </c>
      <c r="R12" s="36" t="s">
        <v>37</v>
      </c>
      <c r="S12" s="36" t="s">
        <v>37</v>
      </c>
      <c r="T12" s="36" t="s">
        <v>37</v>
      </c>
      <c r="U12" s="36" t="s">
        <v>37</v>
      </c>
      <c r="V12" s="36" t="s">
        <v>37</v>
      </c>
      <c r="W12" s="30" t="str">
        <f t="shared" si="6"/>
        <v>Fund Transfer: From YES RERA 0377 to x0490 (Bank Reference: ) (Type: RERA 2 IDW) (BU: Casa Romana) (Head: Internal)</v>
      </c>
      <c r="X12" s="49">
        <v>106720.1</v>
      </c>
      <c r="Y12" s="59">
        <f t="shared" si="7"/>
        <v>-0.2999999999</v>
      </c>
      <c r="Z12" s="1"/>
      <c r="AA12" s="1"/>
      <c r="AB12" s="1"/>
    </row>
    <row r="13" ht="15.75" customHeight="1">
      <c r="A13" s="56">
        <v>64.0</v>
      </c>
      <c r="B13" s="30" t="str">
        <f t="shared" si="2"/>
        <v>Q2</v>
      </c>
      <c r="C13" s="29">
        <f t="shared" si="3"/>
        <v>8</v>
      </c>
      <c r="D13" s="52" t="s">
        <v>109</v>
      </c>
      <c r="E13" s="52" t="s">
        <v>109</v>
      </c>
      <c r="F13" s="36" t="s">
        <v>37</v>
      </c>
      <c r="G13" s="30" t="s">
        <v>56</v>
      </c>
      <c r="H13" s="36" t="s">
        <v>37</v>
      </c>
      <c r="I13" s="44"/>
      <c r="J13" s="44">
        <v>159227.0</v>
      </c>
      <c r="K13" s="46">
        <f t="shared" si="5"/>
        <v>456720.4</v>
      </c>
      <c r="L13" s="30" t="s">
        <v>45</v>
      </c>
      <c r="M13" s="30" t="s">
        <v>47</v>
      </c>
      <c r="N13" s="36" t="s">
        <v>37</v>
      </c>
      <c r="O13" s="36" t="s">
        <v>60</v>
      </c>
      <c r="P13" s="30" t="s">
        <v>61</v>
      </c>
      <c r="Q13" s="30" t="s">
        <v>50</v>
      </c>
      <c r="R13" s="36" t="s">
        <v>37</v>
      </c>
      <c r="S13" s="36" t="s">
        <v>37</v>
      </c>
      <c r="T13" s="36" t="s">
        <v>37</v>
      </c>
      <c r="U13" s="36" t="s">
        <v>37</v>
      </c>
      <c r="V13" s="36" t="s">
        <v>37</v>
      </c>
      <c r="W13" s="30" t="str">
        <f t="shared" si="6"/>
        <v>Fund Transfer: From x0264 to YES RERA 0377 (Bank Reference: ) (Type: Master 2 RERA) (BU: Casa Romana) (Head: Internal)</v>
      </c>
      <c r="X13" s="49">
        <v>456720.1</v>
      </c>
      <c r="Y13" s="59">
        <f t="shared" si="7"/>
        <v>-0.2999999999</v>
      </c>
      <c r="Z13" s="1"/>
      <c r="AA13" s="1"/>
      <c r="AB13" s="1"/>
    </row>
    <row r="14" ht="15.75" customHeight="1">
      <c r="A14" s="56">
        <v>63.0</v>
      </c>
      <c r="B14" s="30" t="str">
        <f t="shared" si="2"/>
        <v>Q2</v>
      </c>
      <c r="C14" s="29">
        <f t="shared" si="3"/>
        <v>8</v>
      </c>
      <c r="D14" s="52" t="s">
        <v>126</v>
      </c>
      <c r="E14" s="52" t="s">
        <v>126</v>
      </c>
      <c r="F14" s="36" t="s">
        <v>37</v>
      </c>
      <c r="G14" s="30" t="s">
        <v>127</v>
      </c>
      <c r="H14" s="30" t="s">
        <v>128</v>
      </c>
      <c r="I14" s="44"/>
      <c r="J14" s="44">
        <v>240798.0</v>
      </c>
      <c r="K14" s="46">
        <f t="shared" si="5"/>
        <v>297493.4</v>
      </c>
      <c r="L14" s="30" t="s">
        <v>45</v>
      </c>
      <c r="M14" s="30" t="s">
        <v>47</v>
      </c>
      <c r="N14" s="36" t="s">
        <v>37</v>
      </c>
      <c r="O14" s="36" t="s">
        <v>60</v>
      </c>
      <c r="P14" s="30" t="s">
        <v>61</v>
      </c>
      <c r="Q14" s="30" t="s">
        <v>50</v>
      </c>
      <c r="R14" s="36" t="s">
        <v>37</v>
      </c>
      <c r="S14" s="36" t="s">
        <v>37</v>
      </c>
      <c r="T14" s="36" t="s">
        <v>37</v>
      </c>
      <c r="U14" s="36" t="s">
        <v>37</v>
      </c>
      <c r="V14" s="36" t="s">
        <v>37</v>
      </c>
      <c r="W14" s="30" t="str">
        <f t="shared" si="6"/>
        <v>Fund Transfer: From x0264 to YES RERA 0377 (Bank Reference: YESME6216001852500) (Type: Master 2 RERA) (BU: Casa Romana) (Head: Internal)</v>
      </c>
      <c r="X14" s="49">
        <v>297493.1</v>
      </c>
      <c r="Y14" s="59">
        <f t="shared" si="7"/>
        <v>-0.2999999999</v>
      </c>
      <c r="Z14" s="1"/>
      <c r="AA14" s="1"/>
      <c r="AB14" s="1"/>
    </row>
    <row r="15" ht="15.75" customHeight="1">
      <c r="A15" s="56">
        <v>62.0</v>
      </c>
      <c r="B15" s="30" t="str">
        <f t="shared" si="2"/>
        <v>Q2</v>
      </c>
      <c r="C15" s="29">
        <f t="shared" si="3"/>
        <v>8</v>
      </c>
      <c r="D15" s="52" t="s">
        <v>134</v>
      </c>
      <c r="E15" s="52" t="s">
        <v>134</v>
      </c>
      <c r="F15" s="30" t="s">
        <v>37</v>
      </c>
      <c r="G15" s="30" t="s">
        <v>135</v>
      </c>
      <c r="H15" s="30" t="s">
        <v>136</v>
      </c>
      <c r="I15" s="44">
        <v>70000.0</v>
      </c>
      <c r="J15" s="44"/>
      <c r="K15" s="46">
        <f t="shared" si="5"/>
        <v>56695.4</v>
      </c>
      <c r="L15" s="30" t="s">
        <v>45</v>
      </c>
      <c r="M15" s="30" t="s">
        <v>47</v>
      </c>
      <c r="N15" s="30" t="s">
        <v>37</v>
      </c>
      <c r="O15" s="30" t="s">
        <v>60</v>
      </c>
      <c r="P15" s="30" t="s">
        <v>49</v>
      </c>
      <c r="Q15" s="30" t="s">
        <v>50</v>
      </c>
      <c r="R15" s="30" t="s">
        <v>37</v>
      </c>
      <c r="S15" s="30" t="s">
        <v>37</v>
      </c>
      <c r="T15" s="30" t="s">
        <v>37</v>
      </c>
      <c r="U15" s="30" t="s">
        <v>37</v>
      </c>
      <c r="V15" s="30" t="s">
        <v>37</v>
      </c>
      <c r="W15" s="30" t="str">
        <f t="shared" si="6"/>
        <v>Fund Transfer: From YES RERA 0377 to x0490 (Bank Reference: YESME6213006799900) (Type: RERA 2 IDW) (BU: Casa Romana) (Head: Internal)</v>
      </c>
      <c r="X15" s="49">
        <v>56695.1</v>
      </c>
      <c r="Y15" s="59">
        <f t="shared" si="7"/>
        <v>-0.2999999999</v>
      </c>
      <c r="Z15" s="2"/>
      <c r="AA15" s="2"/>
      <c r="AB15" s="2"/>
    </row>
    <row r="16" ht="15.75" customHeight="1">
      <c r="A16" s="56">
        <v>61.0</v>
      </c>
      <c r="B16" s="30" t="str">
        <f t="shared" si="2"/>
        <v>Q2</v>
      </c>
      <c r="C16" s="29">
        <f t="shared" si="3"/>
        <v>8</v>
      </c>
      <c r="D16" s="52" t="s">
        <v>134</v>
      </c>
      <c r="E16" s="52" t="s">
        <v>134</v>
      </c>
      <c r="F16" s="30" t="s">
        <v>37</v>
      </c>
      <c r="G16" s="30" t="s">
        <v>56</v>
      </c>
      <c r="H16" s="30" t="s">
        <v>144</v>
      </c>
      <c r="I16" s="44"/>
      <c r="J16" s="44">
        <v>47785.0</v>
      </c>
      <c r="K16" s="46">
        <f t="shared" si="5"/>
        <v>126695.4</v>
      </c>
      <c r="L16" s="30" t="s">
        <v>45</v>
      </c>
      <c r="M16" s="30" t="s">
        <v>47</v>
      </c>
      <c r="N16" s="30" t="s">
        <v>37</v>
      </c>
      <c r="O16" s="30" t="s">
        <v>60</v>
      </c>
      <c r="P16" s="30" t="s">
        <v>61</v>
      </c>
      <c r="Q16" s="30" t="s">
        <v>50</v>
      </c>
      <c r="R16" s="30" t="s">
        <v>37</v>
      </c>
      <c r="S16" s="30" t="s">
        <v>37</v>
      </c>
      <c r="T16" s="30" t="s">
        <v>37</v>
      </c>
      <c r="U16" s="30" t="s">
        <v>37</v>
      </c>
      <c r="V16" s="30" t="s">
        <v>37</v>
      </c>
      <c r="W16" s="30" t="str">
        <f t="shared" si="6"/>
        <v>Fund Transfer: From x0264 to YES RERA 0377 (Bank Reference: YESME6213006852400) (Type: Master 2 RERA) (BU: Casa Romana) (Head: Internal)</v>
      </c>
      <c r="X16" s="49">
        <v>126695.1</v>
      </c>
      <c r="Y16" s="59">
        <f t="shared" si="7"/>
        <v>-0.2999999999</v>
      </c>
      <c r="Z16" s="2"/>
      <c r="AA16" s="2"/>
      <c r="AB16" s="2"/>
    </row>
    <row r="17" ht="15.75" customHeight="1">
      <c r="A17" s="56">
        <v>60.0</v>
      </c>
      <c r="B17" s="56" t="str">
        <f t="shared" ref="B17:B76" si="8">IF(D17="","?",_xludf.IFS(
    MONTH(D17)&lt;=3,"Q4",
    MONTH(D17)&lt;=6,"Q1",
    MONTH(D17)&lt;=9,"Q2",
    TRUE,"Q3"
))</f>
        <v>#NAME?</v>
      </c>
      <c r="C17" s="56">
        <f t="shared" ref="C17:C76" si="9">MONTH(D17)</f>
        <v>7</v>
      </c>
      <c r="D17" s="66">
        <v>46233.0</v>
      </c>
      <c r="E17" s="66">
        <v>46233.0</v>
      </c>
      <c r="F17" s="45"/>
      <c r="G17" s="45" t="s">
        <v>127</v>
      </c>
      <c r="H17" s="67" t="s">
        <v>148</v>
      </c>
      <c r="I17" s="46"/>
      <c r="J17" s="46">
        <v>70000.0</v>
      </c>
      <c r="K17" s="46">
        <f t="shared" si="5"/>
        <v>78910.4</v>
      </c>
      <c r="L17" s="62" t="s">
        <v>45</v>
      </c>
      <c r="M17" s="62" t="s">
        <v>47</v>
      </c>
      <c r="N17" s="63"/>
      <c r="O17" s="62" t="s">
        <v>48</v>
      </c>
      <c r="P17" s="30" t="s">
        <v>61</v>
      </c>
      <c r="Q17" s="63" t="s">
        <v>50</v>
      </c>
      <c r="R17" s="36"/>
      <c r="S17" s="36"/>
      <c r="T17" s="36"/>
      <c r="U17" s="36"/>
      <c r="V17" s="30"/>
      <c r="W17" s="30" t="str">
        <f t="shared" si="6"/>
        <v>Fund Transfer: From x0264 to YES RERA 0377 (Bank Reference: YESME6211004335200) (Type: Master 2 RERA) (BU: Casa Romana) (Head: Internal)</v>
      </c>
      <c r="X17" s="59"/>
      <c r="Y17" s="2"/>
      <c r="Z17" s="2"/>
      <c r="AA17" s="2"/>
      <c r="AB17" s="2"/>
    </row>
    <row r="18" ht="15.75" customHeight="1">
      <c r="A18" s="56">
        <v>59.0</v>
      </c>
      <c r="B18" s="56" t="str">
        <f t="shared" si="8"/>
        <v>#NAME?</v>
      </c>
      <c r="C18" s="56">
        <f t="shared" si="9"/>
        <v>7</v>
      </c>
      <c r="D18" s="66">
        <v>46227.0</v>
      </c>
      <c r="E18" s="66">
        <v>46227.0</v>
      </c>
      <c r="F18" s="45"/>
      <c r="G18" s="45" t="s">
        <v>155</v>
      </c>
      <c r="H18" s="67" t="s">
        <v>157</v>
      </c>
      <c r="I18" s="46">
        <v>100000.0</v>
      </c>
      <c r="J18" s="46"/>
      <c r="K18" s="46">
        <f t="shared" si="5"/>
        <v>8910.4</v>
      </c>
      <c r="L18" s="62" t="s">
        <v>45</v>
      </c>
      <c r="M18" s="62" t="s">
        <v>47</v>
      </c>
      <c r="N18" s="63"/>
      <c r="O18" s="62" t="s">
        <v>60</v>
      </c>
      <c r="P18" s="30" t="s">
        <v>49</v>
      </c>
      <c r="Q18" s="63" t="s">
        <v>50</v>
      </c>
      <c r="R18" s="36"/>
      <c r="S18" s="36"/>
      <c r="T18" s="36"/>
      <c r="U18" s="36"/>
      <c r="V18" s="30"/>
      <c r="W18" s="30" t="str">
        <f t="shared" si="6"/>
        <v>Fund Transfer: From YES RERA 0377 to x0490 (Bank Reference: YESME6205004965000) (Type: RERA 2 IDW) (BU: Casa Romana) (Head: Internal)</v>
      </c>
      <c r="X18" s="59"/>
      <c r="Y18" s="2"/>
      <c r="Z18" s="2"/>
      <c r="AA18" s="2"/>
      <c r="AB18" s="2"/>
    </row>
    <row r="19" ht="15.75" customHeight="1">
      <c r="A19" s="56">
        <v>58.0</v>
      </c>
      <c r="B19" s="56" t="str">
        <f t="shared" si="8"/>
        <v>#NAME?</v>
      </c>
      <c r="C19" s="56">
        <f t="shared" si="9"/>
        <v>7</v>
      </c>
      <c r="D19" s="66">
        <v>46226.0</v>
      </c>
      <c r="E19" s="66">
        <v>46226.0</v>
      </c>
      <c r="F19" s="45"/>
      <c r="G19" s="45" t="s">
        <v>127</v>
      </c>
      <c r="H19" s="67" t="s">
        <v>160</v>
      </c>
      <c r="I19" s="46"/>
      <c r="J19" s="46">
        <v>34300.0</v>
      </c>
      <c r="K19" s="46">
        <f t="shared" si="5"/>
        <v>108910.4</v>
      </c>
      <c r="L19" s="62" t="s">
        <v>45</v>
      </c>
      <c r="M19" s="62" t="s">
        <v>47</v>
      </c>
      <c r="N19" s="63"/>
      <c r="O19" s="62" t="s">
        <v>60</v>
      </c>
      <c r="P19" s="30" t="s">
        <v>61</v>
      </c>
      <c r="Q19" s="63" t="s">
        <v>50</v>
      </c>
      <c r="R19" s="36"/>
      <c r="S19" s="36"/>
      <c r="T19" s="36"/>
      <c r="U19" s="36"/>
      <c r="V19" s="30"/>
      <c r="W19" s="30" t="str">
        <f t="shared" si="6"/>
        <v>Fund Transfer: From x0264 to YES RERA 0377 (Bank Reference: YESME6204005383600) (Type: Master 2 RERA) (BU: Casa Romana) (Head: Internal)</v>
      </c>
      <c r="X19" s="59"/>
      <c r="Y19" s="2"/>
      <c r="Z19" s="2"/>
      <c r="AA19" s="2"/>
      <c r="AB19" s="2"/>
    </row>
    <row r="20" ht="15.75" customHeight="1">
      <c r="A20" s="56">
        <v>57.0</v>
      </c>
      <c r="B20" s="56" t="str">
        <f t="shared" si="8"/>
        <v>#NAME?</v>
      </c>
      <c r="C20" s="56">
        <f t="shared" si="9"/>
        <v>7</v>
      </c>
      <c r="D20" s="66">
        <v>46225.0</v>
      </c>
      <c r="E20" s="66">
        <v>46225.0</v>
      </c>
      <c r="F20" s="45"/>
      <c r="G20" s="45" t="s">
        <v>127</v>
      </c>
      <c r="H20" s="67" t="s">
        <v>163</v>
      </c>
      <c r="I20" s="46"/>
      <c r="J20" s="46">
        <v>64015.0</v>
      </c>
      <c r="K20" s="46">
        <f t="shared" si="5"/>
        <v>74610.4</v>
      </c>
      <c r="L20" s="62" t="s">
        <v>45</v>
      </c>
      <c r="M20" s="62" t="s">
        <v>47</v>
      </c>
      <c r="N20" s="63"/>
      <c r="O20" s="62" t="s">
        <v>60</v>
      </c>
      <c r="P20" s="30" t="s">
        <v>61</v>
      </c>
      <c r="Q20" s="63" t="s">
        <v>50</v>
      </c>
      <c r="R20" s="36"/>
      <c r="S20" s="36"/>
      <c r="T20" s="36"/>
      <c r="U20" s="36"/>
      <c r="V20" s="30"/>
      <c r="W20" s="30" t="str">
        <f t="shared" si="6"/>
        <v>Fund Transfer: From x0264 to YES RERA 0377 (Bank Reference: YESME6203005228700) (Type: Master 2 RERA) (BU: Casa Romana) (Head: Internal)</v>
      </c>
      <c r="X20" s="59"/>
      <c r="Y20" s="2"/>
      <c r="Z20" s="2"/>
      <c r="AA20" s="2"/>
      <c r="AB20" s="2"/>
    </row>
    <row r="21" ht="15.75" customHeight="1">
      <c r="A21" s="56">
        <v>56.0</v>
      </c>
      <c r="B21" s="56" t="str">
        <f t="shared" si="8"/>
        <v>#NAME?</v>
      </c>
      <c r="C21" s="56">
        <f t="shared" si="9"/>
        <v>7</v>
      </c>
      <c r="D21" s="66">
        <v>46225.0</v>
      </c>
      <c r="E21" s="66">
        <v>46225.0</v>
      </c>
      <c r="F21" s="45"/>
      <c r="G21" s="45" t="s">
        <v>155</v>
      </c>
      <c r="H21" s="67" t="s">
        <v>166</v>
      </c>
      <c r="I21" s="46">
        <v>150000.0</v>
      </c>
      <c r="J21" s="46"/>
      <c r="K21" s="46">
        <f t="shared" si="5"/>
        <v>10595.4</v>
      </c>
      <c r="L21" s="62" t="s">
        <v>45</v>
      </c>
      <c r="M21" s="62" t="s">
        <v>47</v>
      </c>
      <c r="N21" s="63"/>
      <c r="O21" s="62" t="s">
        <v>60</v>
      </c>
      <c r="P21" s="30" t="s">
        <v>49</v>
      </c>
      <c r="Q21" s="63" t="s">
        <v>50</v>
      </c>
      <c r="R21" s="36"/>
      <c r="S21" s="36"/>
      <c r="T21" s="36"/>
      <c r="U21" s="36"/>
      <c r="V21" s="30"/>
      <c r="W21" s="30" t="str">
        <f t="shared" si="6"/>
        <v>Fund Transfer: From YES RERA 0377 to x0490 (Bank Reference: YESME6203001321900) (Type: RERA 2 IDW) (BU: Casa Romana) (Head: Internal)</v>
      </c>
      <c r="X21" s="59"/>
      <c r="Y21" s="2"/>
      <c r="Z21" s="2"/>
      <c r="AA21" s="2"/>
      <c r="AB21" s="2"/>
    </row>
    <row r="22" ht="15.75" customHeight="1">
      <c r="A22" s="56">
        <v>55.0</v>
      </c>
      <c r="B22" s="56" t="str">
        <f t="shared" si="8"/>
        <v>#NAME?</v>
      </c>
      <c r="C22" s="56">
        <f t="shared" si="9"/>
        <v>7</v>
      </c>
      <c r="D22" s="66">
        <v>46221.0</v>
      </c>
      <c r="E22" s="66">
        <v>46221.0</v>
      </c>
      <c r="F22" s="45"/>
      <c r="G22" s="45" t="s">
        <v>127</v>
      </c>
      <c r="H22" s="67" t="s">
        <v>173</v>
      </c>
      <c r="I22" s="46"/>
      <c r="J22" s="46">
        <v>17500.0</v>
      </c>
      <c r="K22" s="46">
        <f t="shared" si="5"/>
        <v>160595.4</v>
      </c>
      <c r="L22" s="62" t="s">
        <v>45</v>
      </c>
      <c r="M22" s="62" t="s">
        <v>47</v>
      </c>
      <c r="N22" s="63"/>
      <c r="O22" s="62" t="s">
        <v>60</v>
      </c>
      <c r="P22" s="30" t="s">
        <v>61</v>
      </c>
      <c r="Q22" s="63" t="s">
        <v>50</v>
      </c>
      <c r="R22" s="36"/>
      <c r="S22" s="36"/>
      <c r="T22" s="36"/>
      <c r="U22" s="36"/>
      <c r="V22" s="30"/>
      <c r="W22" s="30" t="str">
        <f t="shared" si="6"/>
        <v>Fund Transfer: From x0264 to YES RERA 0377 (Bank Reference: YESME6199005217500) (Type: Master 2 RERA) (BU: Casa Romana) (Head: Internal)</v>
      </c>
      <c r="X22" s="59"/>
      <c r="Y22" s="2"/>
      <c r="Z22" s="2"/>
      <c r="AA22" s="2"/>
      <c r="AB22" s="2"/>
    </row>
    <row r="23" ht="15.75" customHeight="1">
      <c r="A23" s="56">
        <v>54.0</v>
      </c>
      <c r="B23" s="56" t="str">
        <f t="shared" si="8"/>
        <v>#NAME?</v>
      </c>
      <c r="C23" s="56">
        <f t="shared" si="9"/>
        <v>7</v>
      </c>
      <c r="D23" s="66">
        <v>46218.0</v>
      </c>
      <c r="E23" s="66">
        <v>46218.0</v>
      </c>
      <c r="F23" s="45"/>
      <c r="G23" s="45" t="s">
        <v>65</v>
      </c>
      <c r="H23" s="67" t="s">
        <v>176</v>
      </c>
      <c r="I23" s="46">
        <v>550000.0</v>
      </c>
      <c r="J23" s="46"/>
      <c r="K23" s="46">
        <f t="shared" si="5"/>
        <v>143095.4</v>
      </c>
      <c r="L23" s="62" t="s">
        <v>45</v>
      </c>
      <c r="M23" s="62" t="s">
        <v>47</v>
      </c>
      <c r="N23" s="63"/>
      <c r="O23" s="62" t="s">
        <v>60</v>
      </c>
      <c r="P23" s="30" t="s">
        <v>49</v>
      </c>
      <c r="Q23" s="63" t="s">
        <v>50</v>
      </c>
      <c r="R23" s="36"/>
      <c r="S23" s="36"/>
      <c r="T23" s="36"/>
      <c r="U23" s="36"/>
      <c r="V23" s="30"/>
      <c r="W23" s="30" t="str">
        <f t="shared" si="6"/>
        <v>Fund Transfer: From YES RERA 0377 to x0490 (Bank Reference: YESME6196004222000) (Type: RERA 2 IDW) (BU: Casa Romana) (Head: Internal)</v>
      </c>
      <c r="X23" s="59"/>
      <c r="Y23" s="2"/>
      <c r="Z23" s="2"/>
      <c r="AA23" s="2"/>
      <c r="AB23" s="2"/>
    </row>
    <row r="24" ht="15.75" customHeight="1">
      <c r="A24" s="56">
        <v>53.0</v>
      </c>
      <c r="B24" s="56" t="str">
        <f t="shared" si="8"/>
        <v>#NAME?</v>
      </c>
      <c r="C24" s="56">
        <f t="shared" si="9"/>
        <v>7</v>
      </c>
      <c r="D24" s="66">
        <v>46218.0</v>
      </c>
      <c r="E24" s="66">
        <v>46218.0</v>
      </c>
      <c r="F24" s="45"/>
      <c r="G24" s="45" t="s">
        <v>127</v>
      </c>
      <c r="H24" s="67" t="s">
        <v>180</v>
      </c>
      <c r="I24" s="46"/>
      <c r="J24" s="46">
        <v>239841.0</v>
      </c>
      <c r="K24" s="46">
        <f t="shared" si="5"/>
        <v>693095.4</v>
      </c>
      <c r="L24" s="62" t="s">
        <v>45</v>
      </c>
      <c r="M24" s="62" t="s">
        <v>47</v>
      </c>
      <c r="N24" s="63"/>
      <c r="O24" s="62" t="s">
        <v>60</v>
      </c>
      <c r="P24" s="30" t="s">
        <v>61</v>
      </c>
      <c r="Q24" s="63" t="s">
        <v>50</v>
      </c>
      <c r="R24" s="36"/>
      <c r="S24" s="36"/>
      <c r="T24" s="36"/>
      <c r="U24" s="36"/>
      <c r="V24" s="30"/>
      <c r="W24" s="30" t="str">
        <f t="shared" si="6"/>
        <v>Fund Transfer: From x0264 to YES RERA 0377 (Bank Reference: YESME6196003720000) (Type: Master 2 RERA) (BU: Casa Romana) (Head: Internal)</v>
      </c>
      <c r="X24" s="59"/>
      <c r="Y24" s="2"/>
      <c r="Z24" s="2"/>
      <c r="AA24" s="2"/>
      <c r="AB24" s="2"/>
    </row>
    <row r="25" ht="15.75" customHeight="1">
      <c r="A25" s="56">
        <v>52.0</v>
      </c>
      <c r="B25" s="56" t="str">
        <f t="shared" si="8"/>
        <v>#NAME?</v>
      </c>
      <c r="C25" s="56">
        <f t="shared" si="9"/>
        <v>7</v>
      </c>
      <c r="D25" s="66">
        <v>46216.0</v>
      </c>
      <c r="E25" s="66">
        <v>46216.0</v>
      </c>
      <c r="F25" s="45"/>
      <c r="G25" s="45" t="s">
        <v>127</v>
      </c>
      <c r="H25" s="67" t="s">
        <v>187</v>
      </c>
      <c r="I25" s="46"/>
      <c r="J25" s="46">
        <v>70000.0</v>
      </c>
      <c r="K25" s="46">
        <f t="shared" si="5"/>
        <v>453254.4</v>
      </c>
      <c r="L25" s="62" t="s">
        <v>45</v>
      </c>
      <c r="M25" s="62" t="s">
        <v>47</v>
      </c>
      <c r="N25" s="63"/>
      <c r="O25" s="62" t="s">
        <v>60</v>
      </c>
      <c r="P25" s="30" t="s">
        <v>61</v>
      </c>
      <c r="Q25" s="63" t="s">
        <v>50</v>
      </c>
      <c r="R25" s="36"/>
      <c r="S25" s="36"/>
      <c r="T25" s="36"/>
      <c r="U25" s="36"/>
      <c r="V25" s="30"/>
      <c r="W25" s="30" t="str">
        <f t="shared" si="6"/>
        <v>Fund Transfer: From x0264 to YES RERA 0377 (Bank Reference: YESME6194005637900) (Type: Master 2 RERA) (BU: Casa Romana) (Head: Internal)</v>
      </c>
      <c r="X25" s="59"/>
      <c r="Y25" s="2"/>
      <c r="Z25" s="2"/>
      <c r="AA25" s="2"/>
      <c r="AB25" s="2"/>
    </row>
    <row r="26" ht="15.75" customHeight="1">
      <c r="A26" s="56">
        <v>51.0</v>
      </c>
      <c r="B26" s="56" t="str">
        <f t="shared" si="8"/>
        <v>#NAME?</v>
      </c>
      <c r="C26" s="56">
        <f t="shared" si="9"/>
        <v>7</v>
      </c>
      <c r="D26" s="66">
        <v>46216.0</v>
      </c>
      <c r="E26" s="66">
        <v>46216.0</v>
      </c>
      <c r="F26" s="45"/>
      <c r="G26" s="45" t="s">
        <v>192</v>
      </c>
      <c r="H26" s="67" t="s">
        <v>194</v>
      </c>
      <c r="I26" s="46">
        <v>500000.0</v>
      </c>
      <c r="J26" s="46"/>
      <c r="K26" s="46">
        <f t="shared" si="5"/>
        <v>383254.4</v>
      </c>
      <c r="L26" s="62" t="s">
        <v>45</v>
      </c>
      <c r="M26" s="62" t="s">
        <v>47</v>
      </c>
      <c r="N26" s="63"/>
      <c r="O26" s="62" t="s">
        <v>60</v>
      </c>
      <c r="P26" s="30" t="s">
        <v>49</v>
      </c>
      <c r="Q26" s="63" t="s">
        <v>50</v>
      </c>
      <c r="R26" s="36"/>
      <c r="S26" s="36"/>
      <c r="T26" s="36"/>
      <c r="U26" s="36"/>
      <c r="V26" s="30"/>
      <c r="W26" s="30" t="str">
        <f t="shared" si="6"/>
        <v>Fund Transfer: From YES RERA 0377 to x0490 (Bank Reference: YESME6194005184100) (Type: RERA 2 IDW) (BU: Casa Romana) (Head: Internal)</v>
      </c>
      <c r="X26" s="59"/>
      <c r="Y26" s="2"/>
      <c r="Z26" s="2"/>
      <c r="AA26" s="2"/>
      <c r="AB26" s="2"/>
    </row>
    <row r="27" ht="15.75" customHeight="1">
      <c r="A27" s="56">
        <v>50.0</v>
      </c>
      <c r="B27" s="56" t="str">
        <f t="shared" si="8"/>
        <v>#NAME?</v>
      </c>
      <c r="C27" s="56">
        <f t="shared" si="9"/>
        <v>7</v>
      </c>
      <c r="D27" s="66">
        <v>46214.0</v>
      </c>
      <c r="E27" s="66">
        <v>46214.0</v>
      </c>
      <c r="F27" s="45"/>
      <c r="G27" s="45" t="s">
        <v>127</v>
      </c>
      <c r="H27" s="67" t="s">
        <v>198</v>
      </c>
      <c r="I27" s="46"/>
      <c r="J27" s="46">
        <v>127190.0</v>
      </c>
      <c r="K27" s="71">
        <f t="shared" si="5"/>
        <v>883254.4</v>
      </c>
      <c r="L27" s="62" t="s">
        <v>45</v>
      </c>
      <c r="M27" s="62" t="s">
        <v>47</v>
      </c>
      <c r="N27" s="63"/>
      <c r="O27" s="62" t="s">
        <v>60</v>
      </c>
      <c r="P27" s="30" t="s">
        <v>61</v>
      </c>
      <c r="Q27" s="63" t="s">
        <v>50</v>
      </c>
      <c r="R27" s="36"/>
      <c r="S27" s="36"/>
      <c r="T27" s="36"/>
      <c r="U27" s="36"/>
      <c r="V27" s="30"/>
      <c r="W27" s="30" t="str">
        <f t="shared" si="6"/>
        <v>Fund Transfer: From x0264 to YES RERA 0377 (Bank Reference: YESME6192004439800) (Type: Master 2 RERA) (BU: Casa Romana) (Head: Internal)</v>
      </c>
      <c r="X27" s="59"/>
      <c r="Y27" s="2"/>
      <c r="Z27" s="2"/>
      <c r="AA27" s="2"/>
      <c r="AB27" s="2"/>
    </row>
    <row r="28" ht="15.75" customHeight="1">
      <c r="A28" s="56">
        <v>49.0</v>
      </c>
      <c r="B28" s="56" t="str">
        <f t="shared" si="8"/>
        <v>#NAME?</v>
      </c>
      <c r="C28" s="56">
        <f t="shared" si="9"/>
        <v>7</v>
      </c>
      <c r="D28" s="66">
        <v>46214.0</v>
      </c>
      <c r="E28" s="66">
        <v>46214.0</v>
      </c>
      <c r="F28" s="45"/>
      <c r="G28" s="45" t="s">
        <v>155</v>
      </c>
      <c r="H28" s="67" t="s">
        <v>203</v>
      </c>
      <c r="I28" s="46">
        <v>200000.0</v>
      </c>
      <c r="J28" s="46"/>
      <c r="K28" s="46">
        <f t="shared" si="5"/>
        <v>756064.4</v>
      </c>
      <c r="L28" s="62" t="s">
        <v>45</v>
      </c>
      <c r="M28" s="62" t="s">
        <v>47</v>
      </c>
      <c r="N28" s="63"/>
      <c r="O28" s="62" t="s">
        <v>60</v>
      </c>
      <c r="P28" s="30" t="s">
        <v>49</v>
      </c>
      <c r="Q28" s="63" t="s">
        <v>50</v>
      </c>
      <c r="R28" s="36"/>
      <c r="S28" s="36"/>
      <c r="T28" s="36"/>
      <c r="U28" s="36"/>
      <c r="V28" s="30"/>
      <c r="W28" s="30" t="str">
        <f t="shared" si="6"/>
        <v>Fund Transfer: From YES RERA 0377 to x0490 (Bank Reference: YESME6192003472600) (Type: RERA 2 IDW) (BU: Casa Romana) (Head: Internal)</v>
      </c>
      <c r="X28" s="59"/>
      <c r="Y28" s="2"/>
      <c r="Z28" s="2"/>
      <c r="AA28" s="2"/>
      <c r="AB28" s="2"/>
    </row>
    <row r="29" ht="15.75" customHeight="1">
      <c r="A29" s="56">
        <v>48.0</v>
      </c>
      <c r="B29" s="56" t="str">
        <f t="shared" si="8"/>
        <v>#NAME?</v>
      </c>
      <c r="C29" s="56">
        <f t="shared" si="9"/>
        <v>7</v>
      </c>
      <c r="D29" s="66">
        <v>46211.0</v>
      </c>
      <c r="E29" s="66">
        <v>46211.0</v>
      </c>
      <c r="F29" s="45"/>
      <c r="G29" s="45" t="s">
        <v>127</v>
      </c>
      <c r="H29" s="67" t="s">
        <v>206</v>
      </c>
      <c r="I29" s="46"/>
      <c r="J29" s="46">
        <v>192500.0</v>
      </c>
      <c r="K29" s="46">
        <f t="shared" si="5"/>
        <v>956064.4</v>
      </c>
      <c r="L29" s="62" t="s">
        <v>45</v>
      </c>
      <c r="M29" s="62" t="s">
        <v>47</v>
      </c>
      <c r="N29" s="63"/>
      <c r="O29" s="62" t="s">
        <v>60</v>
      </c>
      <c r="P29" s="30" t="s">
        <v>61</v>
      </c>
      <c r="Q29" s="63" t="s">
        <v>50</v>
      </c>
      <c r="R29" s="36"/>
      <c r="S29" s="36"/>
      <c r="T29" s="36"/>
      <c r="U29" s="36"/>
      <c r="V29" s="30"/>
      <c r="W29" s="30" t="str">
        <f t="shared" si="6"/>
        <v>Fund Transfer: From x0264 to YES RERA 0377 (Bank Reference: YESME6189005399200) (Type: Master 2 RERA) (BU: Casa Romana) (Head: Internal)</v>
      </c>
      <c r="X29" s="59"/>
      <c r="Y29" s="2"/>
      <c r="Z29" s="2"/>
      <c r="AA29" s="2"/>
      <c r="AB29" s="2"/>
    </row>
    <row r="30" ht="15.75" customHeight="1">
      <c r="A30" s="56">
        <v>47.0</v>
      </c>
      <c r="B30" s="56" t="str">
        <f t="shared" si="8"/>
        <v>#NAME?</v>
      </c>
      <c r="C30" s="56">
        <f t="shared" si="9"/>
        <v>7</v>
      </c>
      <c r="D30" s="66">
        <v>46209.0</v>
      </c>
      <c r="E30" s="66">
        <v>46209.0</v>
      </c>
      <c r="F30" s="45"/>
      <c r="G30" s="45" t="s">
        <v>127</v>
      </c>
      <c r="H30" s="67" t="s">
        <v>212</v>
      </c>
      <c r="I30" s="46"/>
      <c r="J30" s="46">
        <v>247548.0</v>
      </c>
      <c r="K30" s="46">
        <f t="shared" si="5"/>
        <v>763564.4</v>
      </c>
      <c r="L30" s="62" t="s">
        <v>45</v>
      </c>
      <c r="M30" s="62" t="s">
        <v>47</v>
      </c>
      <c r="N30" s="63"/>
      <c r="O30" s="62" t="s">
        <v>60</v>
      </c>
      <c r="P30" s="30" t="s">
        <v>61</v>
      </c>
      <c r="Q30" s="63" t="s">
        <v>50</v>
      </c>
      <c r="R30" s="36"/>
      <c r="S30" s="36"/>
      <c r="T30" s="36"/>
      <c r="U30" s="36"/>
      <c r="V30" s="30"/>
      <c r="W30" s="30" t="str">
        <f t="shared" si="6"/>
        <v>Fund Transfer: From x0264 to YES RERA 0377 (Bank Reference: YESME6187006949800) (Type: Master 2 RERA) (BU: Casa Romana) (Head: Internal)</v>
      </c>
      <c r="X30" s="59"/>
      <c r="Y30" s="2"/>
      <c r="Z30" s="2"/>
      <c r="AA30" s="2"/>
      <c r="AB30" s="2"/>
    </row>
    <row r="31" ht="15.75" customHeight="1">
      <c r="A31" s="56">
        <v>46.0</v>
      </c>
      <c r="B31" s="56" t="str">
        <f t="shared" si="8"/>
        <v>#NAME?</v>
      </c>
      <c r="C31" s="56">
        <f t="shared" si="9"/>
        <v>7</v>
      </c>
      <c r="D31" s="66">
        <v>46207.0</v>
      </c>
      <c r="E31" s="66">
        <v>46207.0</v>
      </c>
      <c r="F31" s="45"/>
      <c r="G31" s="45" t="s">
        <v>127</v>
      </c>
      <c r="H31" s="67" t="s">
        <v>214</v>
      </c>
      <c r="I31" s="46"/>
      <c r="J31" s="46">
        <v>466939.0</v>
      </c>
      <c r="K31" s="71">
        <f t="shared" si="5"/>
        <v>516016.4</v>
      </c>
      <c r="L31" s="62" t="s">
        <v>45</v>
      </c>
      <c r="M31" s="62" t="s">
        <v>47</v>
      </c>
      <c r="N31" s="63"/>
      <c r="O31" s="62" t="s">
        <v>60</v>
      </c>
      <c r="P31" s="30" t="s">
        <v>61</v>
      </c>
      <c r="Q31" s="63" t="s">
        <v>50</v>
      </c>
      <c r="R31" s="36"/>
      <c r="S31" s="36"/>
      <c r="T31" s="36"/>
      <c r="U31" s="36"/>
      <c r="V31" s="30"/>
      <c r="W31" s="30" t="str">
        <f t="shared" si="6"/>
        <v>Fund Transfer: From x0264 to YES RERA 0377 (Bank Reference: YESME6185005631800) (Type: Master 2 RERA) (BU: Casa Romana) (Head: Internal)</v>
      </c>
      <c r="X31" s="59"/>
      <c r="Y31" s="2"/>
      <c r="Z31" s="2"/>
      <c r="AA31" s="2"/>
      <c r="AB31" s="2"/>
    </row>
    <row r="32" ht="15.75" customHeight="1">
      <c r="A32" s="56">
        <v>45.0</v>
      </c>
      <c r="B32" s="56" t="str">
        <f t="shared" si="8"/>
        <v>#NAME?</v>
      </c>
      <c r="C32" s="56">
        <f t="shared" si="9"/>
        <v>7</v>
      </c>
      <c r="D32" s="66">
        <v>46207.0</v>
      </c>
      <c r="E32" s="66">
        <v>46207.0</v>
      </c>
      <c r="F32" s="45"/>
      <c r="G32" s="45" t="s">
        <v>219</v>
      </c>
      <c r="H32" s="67" t="s">
        <v>220</v>
      </c>
      <c r="I32" s="46">
        <v>600000.0</v>
      </c>
      <c r="J32" s="46"/>
      <c r="K32" s="46">
        <f t="shared" si="5"/>
        <v>49077.4</v>
      </c>
      <c r="L32" s="62" t="s">
        <v>45</v>
      </c>
      <c r="M32" s="62" t="s">
        <v>47</v>
      </c>
      <c r="N32" s="63"/>
      <c r="O32" s="62" t="s">
        <v>60</v>
      </c>
      <c r="P32" s="30" t="s">
        <v>49</v>
      </c>
      <c r="Q32" s="63" t="s">
        <v>50</v>
      </c>
      <c r="R32" s="36"/>
      <c r="S32" s="36"/>
      <c r="T32" s="36"/>
      <c r="U32" s="36"/>
      <c r="V32" s="30"/>
      <c r="W32" s="30" t="str">
        <f t="shared" si="6"/>
        <v>Fund Transfer: From YES RERA 0377 to x0490 (Bank Reference: YESME6185005089000) (Type: RERA 2 IDW) (BU: Casa Romana) (Head: Internal)</v>
      </c>
      <c r="X32" s="59"/>
      <c r="Y32" s="2"/>
      <c r="Z32" s="2"/>
      <c r="AA32" s="2"/>
      <c r="AB32" s="2"/>
    </row>
    <row r="33" ht="15.75" customHeight="1">
      <c r="A33" s="56">
        <v>44.0</v>
      </c>
      <c r="B33" s="56" t="str">
        <f t="shared" si="8"/>
        <v>#NAME?</v>
      </c>
      <c r="C33" s="56">
        <f t="shared" si="9"/>
        <v>7</v>
      </c>
      <c r="D33" s="66">
        <v>46206.0</v>
      </c>
      <c r="E33" s="66">
        <v>46206.0</v>
      </c>
      <c r="F33" s="45"/>
      <c r="G33" s="45" t="s">
        <v>225</v>
      </c>
      <c r="H33" s="67" t="s">
        <v>226</v>
      </c>
      <c r="I33" s="46">
        <v>100000.0</v>
      </c>
      <c r="J33" s="46"/>
      <c r="K33" s="46">
        <f t="shared" si="5"/>
        <v>649077.4</v>
      </c>
      <c r="L33" s="62" t="s">
        <v>45</v>
      </c>
      <c r="M33" s="62" t="s">
        <v>47</v>
      </c>
      <c r="N33" s="63"/>
      <c r="O33" s="62" t="s">
        <v>60</v>
      </c>
      <c r="P33" s="30" t="s">
        <v>49</v>
      </c>
      <c r="Q33" s="63" t="s">
        <v>50</v>
      </c>
      <c r="R33" s="36"/>
      <c r="S33" s="36"/>
      <c r="T33" s="36"/>
      <c r="U33" s="36"/>
      <c r="V33" s="30"/>
      <c r="W33" s="30" t="str">
        <f t="shared" si="6"/>
        <v>Fund Transfer: From YES RERA 0377 to x0490 (Bank Reference: YESME6184006769500) (Type: RERA 2 IDW) (BU: Casa Romana) (Head: Internal)</v>
      </c>
      <c r="X33" s="59"/>
      <c r="Y33" s="2"/>
      <c r="Z33" s="2"/>
      <c r="AA33" s="2"/>
      <c r="AB33" s="2"/>
    </row>
    <row r="34" ht="15.75" customHeight="1">
      <c r="A34" s="56">
        <v>43.0</v>
      </c>
      <c r="B34" s="56" t="str">
        <f t="shared" si="8"/>
        <v>#NAME?</v>
      </c>
      <c r="C34" s="56">
        <f t="shared" si="9"/>
        <v>7</v>
      </c>
      <c r="D34" s="66">
        <v>46206.0</v>
      </c>
      <c r="E34" s="66">
        <v>46206.0</v>
      </c>
      <c r="F34" s="45"/>
      <c r="G34" s="45" t="s">
        <v>127</v>
      </c>
      <c r="H34" s="67" t="s">
        <v>234</v>
      </c>
      <c r="I34" s="46"/>
      <c r="J34" s="46">
        <v>426532.0</v>
      </c>
      <c r="K34" s="46">
        <f t="shared" si="5"/>
        <v>749077.4</v>
      </c>
      <c r="L34" s="62" t="s">
        <v>45</v>
      </c>
      <c r="M34" s="62" t="s">
        <v>47</v>
      </c>
      <c r="N34" s="63"/>
      <c r="O34" s="62" t="s">
        <v>60</v>
      </c>
      <c r="P34" s="30" t="s">
        <v>61</v>
      </c>
      <c r="Q34" s="63" t="s">
        <v>50</v>
      </c>
      <c r="R34" s="36"/>
      <c r="S34" s="36"/>
      <c r="T34" s="36"/>
      <c r="U34" s="36"/>
      <c r="V34" s="30"/>
      <c r="W34" s="30" t="str">
        <f t="shared" si="6"/>
        <v>Fund Transfer: From x0264 to YES RERA 0377 (Bank Reference: YESME6184006155200) (Type: Master 2 RERA) (BU: Casa Romana) (Head: Internal)</v>
      </c>
      <c r="X34" s="59"/>
      <c r="Y34" s="2"/>
      <c r="Z34" s="2"/>
      <c r="AA34" s="2"/>
      <c r="AB34" s="2"/>
    </row>
    <row r="35" ht="15.75" customHeight="1">
      <c r="A35" s="56">
        <v>42.0</v>
      </c>
      <c r="B35" s="56" t="str">
        <f t="shared" si="8"/>
        <v>#NAME?</v>
      </c>
      <c r="C35" s="56">
        <f t="shared" si="9"/>
        <v>7</v>
      </c>
      <c r="D35" s="66">
        <v>46206.0</v>
      </c>
      <c r="E35" s="66">
        <v>46206.0</v>
      </c>
      <c r="F35" s="45"/>
      <c r="G35" s="45" t="s">
        <v>127</v>
      </c>
      <c r="H35" s="67" t="s">
        <v>241</v>
      </c>
      <c r="I35" s="46"/>
      <c r="J35" s="46">
        <v>276523.0</v>
      </c>
      <c r="K35" s="46">
        <f t="shared" si="5"/>
        <v>322545.4</v>
      </c>
      <c r="L35" s="62" t="s">
        <v>45</v>
      </c>
      <c r="M35" s="62" t="s">
        <v>47</v>
      </c>
      <c r="N35" s="63"/>
      <c r="O35" s="62" t="s">
        <v>60</v>
      </c>
      <c r="P35" s="30" t="s">
        <v>61</v>
      </c>
      <c r="Q35" s="63" t="s">
        <v>50</v>
      </c>
      <c r="R35" s="36"/>
      <c r="S35" s="36"/>
      <c r="T35" s="36"/>
      <c r="U35" s="36"/>
      <c r="V35" s="30"/>
      <c r="W35" s="30" t="str">
        <f t="shared" si="6"/>
        <v>Fund Transfer: From x0264 to YES RERA 0377 (Bank Reference: YESME6184004910700) (Type: Master 2 RERA) (BU: Casa Romana) (Head: Internal)</v>
      </c>
      <c r="X35" s="59"/>
      <c r="Y35" s="2"/>
      <c r="Z35" s="2"/>
      <c r="AA35" s="2"/>
      <c r="AB35" s="2"/>
    </row>
    <row r="36" ht="15.75" customHeight="1">
      <c r="A36" s="56">
        <v>41.0</v>
      </c>
      <c r="B36" s="56" t="str">
        <f t="shared" si="8"/>
        <v>#NAME?</v>
      </c>
      <c r="C36" s="56">
        <f t="shared" si="9"/>
        <v>7</v>
      </c>
      <c r="D36" s="66">
        <v>46205.0</v>
      </c>
      <c r="E36" s="66">
        <v>46205.0</v>
      </c>
      <c r="F36" s="45"/>
      <c r="G36" s="45" t="s">
        <v>127</v>
      </c>
      <c r="H36" s="67" t="s">
        <v>250</v>
      </c>
      <c r="I36" s="46"/>
      <c r="J36" s="46">
        <v>37644.0</v>
      </c>
      <c r="K36" s="46">
        <f t="shared" si="5"/>
        <v>46022.4</v>
      </c>
      <c r="L36" s="62" t="s">
        <v>45</v>
      </c>
      <c r="M36" s="62" t="s">
        <v>47</v>
      </c>
      <c r="N36" s="63"/>
      <c r="O36" s="62" t="s">
        <v>60</v>
      </c>
      <c r="P36" s="30" t="s">
        <v>61</v>
      </c>
      <c r="Q36" s="63" t="s">
        <v>50</v>
      </c>
      <c r="R36" s="36"/>
      <c r="S36" s="36"/>
      <c r="T36" s="36"/>
      <c r="U36" s="36"/>
      <c r="V36" s="30"/>
      <c r="W36" s="30" t="str">
        <f t="shared" si="6"/>
        <v>Fund Transfer: From x0264 to YES RERA 0377 (Bank Reference: YESME6183012155700) (Type: Master 2 RERA) (BU: Casa Romana) (Head: Internal)</v>
      </c>
      <c r="X36" s="59"/>
      <c r="Y36" s="2"/>
      <c r="Z36" s="2"/>
      <c r="AA36" s="2"/>
      <c r="AB36" s="2"/>
    </row>
    <row r="37" ht="15.75" customHeight="1">
      <c r="A37" s="56">
        <v>40.0</v>
      </c>
      <c r="B37" s="56" t="str">
        <f t="shared" si="8"/>
        <v>#NAME?</v>
      </c>
      <c r="C37" s="56">
        <f t="shared" si="9"/>
        <v>6</v>
      </c>
      <c r="D37" s="66">
        <v>46195.0</v>
      </c>
      <c r="E37" s="66">
        <v>46195.0</v>
      </c>
      <c r="F37" s="45"/>
      <c r="G37" s="45" t="s">
        <v>225</v>
      </c>
      <c r="H37" s="67" t="s">
        <v>257</v>
      </c>
      <c r="I37" s="46">
        <v>150000.0</v>
      </c>
      <c r="J37" s="46" t="s">
        <v>37</v>
      </c>
      <c r="K37" s="74">
        <f t="shared" si="5"/>
        <v>8378.4</v>
      </c>
      <c r="L37" s="62" t="s">
        <v>45</v>
      </c>
      <c r="M37" s="62" t="s">
        <v>47</v>
      </c>
      <c r="N37" s="63"/>
      <c r="O37" s="62" t="s">
        <v>60</v>
      </c>
      <c r="P37" s="30" t="s">
        <v>49</v>
      </c>
      <c r="Q37" s="63" t="s">
        <v>50</v>
      </c>
      <c r="R37" s="36"/>
      <c r="S37" s="36"/>
      <c r="T37" s="36"/>
      <c r="U37" s="36"/>
      <c r="V37" s="30"/>
      <c r="W37" s="30" t="str">
        <f t="shared" si="6"/>
        <v>Fund Transfer: From YES RERA 0377 to x0490 (Bank Reference: YESME6173005598700 ) (Type: RERA 2 IDW) (BU: Casa Romana) (Head: Internal)</v>
      </c>
      <c r="X37" s="59"/>
      <c r="Y37" s="2"/>
      <c r="Z37" s="2"/>
      <c r="AA37" s="2"/>
      <c r="AB37" s="2"/>
    </row>
    <row r="38" ht="15.75" customHeight="1">
      <c r="A38" s="56">
        <v>39.0</v>
      </c>
      <c r="B38" s="56" t="str">
        <f t="shared" si="8"/>
        <v>#NAME?</v>
      </c>
      <c r="C38" s="56">
        <f t="shared" si="9"/>
        <v>6</v>
      </c>
      <c r="D38" s="66">
        <v>46195.0</v>
      </c>
      <c r="E38" s="66">
        <v>46195.0</v>
      </c>
      <c r="F38" s="45"/>
      <c r="G38" s="45" t="s">
        <v>127</v>
      </c>
      <c r="H38" s="67" t="s">
        <v>259</v>
      </c>
      <c r="I38" s="46" t="s">
        <v>37</v>
      </c>
      <c r="J38" s="46">
        <v>157500.0</v>
      </c>
      <c r="K38" s="46">
        <f t="shared" si="5"/>
        <v>158378.4</v>
      </c>
      <c r="L38" s="62" t="s">
        <v>45</v>
      </c>
      <c r="M38" s="62" t="s">
        <v>47</v>
      </c>
      <c r="N38" s="63"/>
      <c r="O38" s="62" t="s">
        <v>60</v>
      </c>
      <c r="P38" s="30" t="s">
        <v>61</v>
      </c>
      <c r="Q38" s="63" t="s">
        <v>50</v>
      </c>
      <c r="R38" s="36"/>
      <c r="S38" s="36"/>
      <c r="T38" s="36"/>
      <c r="U38" s="36"/>
      <c r="V38" s="30"/>
      <c r="W38" s="30" t="str">
        <f t="shared" si="6"/>
        <v>Fund Transfer: From x0264 to YES RERA 0377 (Bank Reference: YESME6173005625500 ) (Type: Master 2 RERA) (BU: Casa Romana) (Head: Internal)</v>
      </c>
      <c r="X38" s="59"/>
      <c r="Y38" s="2"/>
      <c r="Z38" s="2"/>
      <c r="AA38" s="2"/>
      <c r="AB38" s="2"/>
    </row>
    <row r="39" ht="15.75" customHeight="1">
      <c r="A39" s="56">
        <v>38.0</v>
      </c>
      <c r="B39" s="56" t="str">
        <f t="shared" si="8"/>
        <v>#NAME?</v>
      </c>
      <c r="C39" s="56">
        <f t="shared" si="9"/>
        <v>6</v>
      </c>
      <c r="D39" s="66">
        <v>46193.0</v>
      </c>
      <c r="E39" s="66">
        <v>46193.0</v>
      </c>
      <c r="F39" s="45"/>
      <c r="G39" s="45" t="s">
        <v>225</v>
      </c>
      <c r="H39" s="67" t="s">
        <v>264</v>
      </c>
      <c r="I39" s="46">
        <v>90000.0</v>
      </c>
      <c r="J39" s="46" t="s">
        <v>37</v>
      </c>
      <c r="K39" s="46">
        <f t="shared" si="5"/>
        <v>878.4</v>
      </c>
      <c r="L39" s="62" t="s">
        <v>45</v>
      </c>
      <c r="M39" s="62" t="s">
        <v>47</v>
      </c>
      <c r="N39" s="63"/>
      <c r="O39" s="62" t="s">
        <v>60</v>
      </c>
      <c r="P39" s="30" t="s">
        <v>49</v>
      </c>
      <c r="Q39" s="63" t="s">
        <v>50</v>
      </c>
      <c r="R39" s="36"/>
      <c r="S39" s="36"/>
      <c r="T39" s="36"/>
      <c r="U39" s="36"/>
      <c r="V39" s="30"/>
      <c r="W39" s="30" t="str">
        <f t="shared" si="6"/>
        <v>Fund Transfer: From YES RERA 0377 to x0490 (Bank Reference: YESME6171004625500 ) (Type: RERA 2 IDW) (BU: Casa Romana) (Head: Internal)</v>
      </c>
      <c r="X39" s="59"/>
      <c r="Y39" s="2"/>
      <c r="Z39" s="2"/>
      <c r="AA39" s="2"/>
      <c r="AB39" s="2"/>
    </row>
    <row r="40" ht="15.75" customHeight="1">
      <c r="A40" s="56">
        <v>37.0</v>
      </c>
      <c r="B40" s="56" t="str">
        <f t="shared" si="8"/>
        <v>#NAME?</v>
      </c>
      <c r="C40" s="56">
        <f t="shared" si="9"/>
        <v>6</v>
      </c>
      <c r="D40" s="66">
        <v>46192.0</v>
      </c>
      <c r="E40" s="66">
        <v>46192.0</v>
      </c>
      <c r="F40" s="45"/>
      <c r="G40" s="45" t="s">
        <v>127</v>
      </c>
      <c r="H40" s="67" t="s">
        <v>269</v>
      </c>
      <c r="I40" s="46" t="s">
        <v>37</v>
      </c>
      <c r="J40" s="46">
        <v>35000.0</v>
      </c>
      <c r="K40" s="46">
        <f t="shared" si="5"/>
        <v>90878.4</v>
      </c>
      <c r="L40" s="62" t="s">
        <v>45</v>
      </c>
      <c r="M40" s="62" t="s">
        <v>47</v>
      </c>
      <c r="N40" s="63"/>
      <c r="O40" s="62" t="s">
        <v>60</v>
      </c>
      <c r="P40" s="30" t="s">
        <v>61</v>
      </c>
      <c r="Q40" s="63" t="s">
        <v>50</v>
      </c>
      <c r="R40" s="36"/>
      <c r="S40" s="36"/>
      <c r="T40" s="36"/>
      <c r="U40" s="36"/>
      <c r="V40" s="30"/>
      <c r="W40" s="30" t="str">
        <f t="shared" si="6"/>
        <v>Fund Transfer: From x0264 to YES RERA 0377 (Bank Reference: YESME6170005567100 ) (Type: Master 2 RERA) (BU: Casa Romana) (Head: Internal)</v>
      </c>
      <c r="X40" s="59"/>
      <c r="Y40" s="2"/>
      <c r="Z40" s="2"/>
      <c r="AA40" s="2"/>
      <c r="AB40" s="2"/>
    </row>
    <row r="41" ht="15.75" customHeight="1">
      <c r="A41" s="56">
        <v>36.0</v>
      </c>
      <c r="B41" s="56" t="str">
        <f t="shared" si="8"/>
        <v>#NAME?</v>
      </c>
      <c r="C41" s="56">
        <f t="shared" si="9"/>
        <v>6</v>
      </c>
      <c r="D41" s="66">
        <v>46185.0</v>
      </c>
      <c r="E41" s="66">
        <v>46185.0</v>
      </c>
      <c r="F41" s="45"/>
      <c r="G41" s="45" t="s">
        <v>274</v>
      </c>
      <c r="H41" s="67" t="s">
        <v>275</v>
      </c>
      <c r="I41" s="46">
        <v>500000.0</v>
      </c>
      <c r="J41" s="46"/>
      <c r="K41" s="46">
        <f t="shared" si="5"/>
        <v>55878.4</v>
      </c>
      <c r="L41" s="62" t="s">
        <v>45</v>
      </c>
      <c r="M41" s="62" t="s">
        <v>47</v>
      </c>
      <c r="N41" s="63"/>
      <c r="O41" s="62" t="s">
        <v>60</v>
      </c>
      <c r="P41" s="30" t="s">
        <v>49</v>
      </c>
      <c r="Q41" s="63" t="s">
        <v>50</v>
      </c>
      <c r="R41" s="36"/>
      <c r="S41" s="36"/>
      <c r="T41" s="36"/>
      <c r="U41" s="36"/>
      <c r="V41" s="30"/>
      <c r="W41" s="30" t="str">
        <f t="shared" si="6"/>
        <v>Fund Transfer: From YES RERA 0377 to x0490 (Bank Reference: YESME6163001000500) (Type: RERA 2 IDW) (BU: Casa Romana) (Head: Internal)</v>
      </c>
      <c r="X41" s="59"/>
      <c r="Y41" s="2"/>
      <c r="Z41" s="2"/>
      <c r="AA41" s="2"/>
      <c r="AB41" s="2"/>
    </row>
    <row r="42" ht="15.75" customHeight="1">
      <c r="A42" s="56">
        <v>35.0</v>
      </c>
      <c r="B42" s="56" t="str">
        <f t="shared" si="8"/>
        <v>#NAME?</v>
      </c>
      <c r="C42" s="56">
        <f t="shared" si="9"/>
        <v>6</v>
      </c>
      <c r="D42" s="66">
        <v>46185.0</v>
      </c>
      <c r="E42" s="66">
        <v>46185.0</v>
      </c>
      <c r="F42" s="45"/>
      <c r="G42" s="45" t="s">
        <v>127</v>
      </c>
      <c r="H42" s="67" t="s">
        <v>281</v>
      </c>
      <c r="I42" s="46"/>
      <c r="J42" s="46">
        <v>70000.0</v>
      </c>
      <c r="K42" s="46">
        <f t="shared" si="5"/>
        <v>555878.4</v>
      </c>
      <c r="L42" s="62" t="s">
        <v>45</v>
      </c>
      <c r="M42" s="62" t="s">
        <v>47</v>
      </c>
      <c r="N42" s="63"/>
      <c r="O42" s="62" t="s">
        <v>60</v>
      </c>
      <c r="P42" s="30" t="s">
        <v>61</v>
      </c>
      <c r="Q42" s="63" t="s">
        <v>50</v>
      </c>
      <c r="R42" s="36"/>
      <c r="S42" s="36"/>
      <c r="T42" s="36"/>
      <c r="U42" s="36"/>
      <c r="V42" s="30"/>
      <c r="W42" s="30" t="str">
        <f t="shared" si="6"/>
        <v>Fund Transfer: From x0264 to YES RERA 0377 (Bank Reference: YESME6163000858600) (Type: Master 2 RERA) (BU: Casa Romana) (Head: Internal)</v>
      </c>
      <c r="X42" s="59"/>
      <c r="Y42" s="2"/>
      <c r="Z42" s="2"/>
      <c r="AA42" s="2"/>
      <c r="AB42" s="2"/>
    </row>
    <row r="43" ht="15.75" customHeight="1">
      <c r="A43" s="56">
        <v>34.0</v>
      </c>
      <c r="B43" s="56" t="str">
        <f t="shared" si="8"/>
        <v>#NAME?</v>
      </c>
      <c r="C43" s="56">
        <f t="shared" si="9"/>
        <v>6</v>
      </c>
      <c r="D43" s="66">
        <v>46184.0</v>
      </c>
      <c r="E43" s="66">
        <v>46184.0</v>
      </c>
      <c r="F43" s="45"/>
      <c r="G43" s="45" t="s">
        <v>225</v>
      </c>
      <c r="H43" s="67" t="s">
        <v>285</v>
      </c>
      <c r="I43" s="46">
        <v>400000.0</v>
      </c>
      <c r="J43" s="46"/>
      <c r="K43" s="46">
        <f t="shared" si="5"/>
        <v>485878.4</v>
      </c>
      <c r="L43" s="62" t="s">
        <v>45</v>
      </c>
      <c r="M43" s="62" t="s">
        <v>47</v>
      </c>
      <c r="N43" s="63"/>
      <c r="O43" s="62" t="s">
        <v>60</v>
      </c>
      <c r="P43" s="30" t="s">
        <v>49</v>
      </c>
      <c r="Q43" s="63" t="s">
        <v>50</v>
      </c>
      <c r="R43" s="36"/>
      <c r="S43" s="36"/>
      <c r="T43" s="36"/>
      <c r="U43" s="36"/>
      <c r="V43" s="30"/>
      <c r="W43" s="30" t="str">
        <f t="shared" si="6"/>
        <v>Fund Transfer: From YES RERA 0377 to x0490 (Bank Reference: YESME6162005659400) (Type: RERA 2 IDW) (BU: Casa Romana) (Head: Internal)</v>
      </c>
      <c r="X43" s="59"/>
      <c r="Y43" s="2"/>
      <c r="Z43" s="2"/>
      <c r="AA43" s="2"/>
      <c r="AB43" s="2"/>
    </row>
    <row r="44" ht="15.75" customHeight="1">
      <c r="A44" s="56">
        <v>33.0</v>
      </c>
      <c r="B44" s="56" t="str">
        <f t="shared" si="8"/>
        <v>#NAME?</v>
      </c>
      <c r="C44" s="56">
        <f t="shared" si="9"/>
        <v>6</v>
      </c>
      <c r="D44" s="66">
        <v>46182.0</v>
      </c>
      <c r="E44" s="66">
        <v>46182.0</v>
      </c>
      <c r="F44" s="45"/>
      <c r="G44" s="45" t="s">
        <v>127</v>
      </c>
      <c r="H44" s="67" t="s">
        <v>294</v>
      </c>
      <c r="I44" s="46"/>
      <c r="J44" s="46">
        <v>70000.0</v>
      </c>
      <c r="K44" s="46">
        <f t="shared" si="5"/>
        <v>885878.4</v>
      </c>
      <c r="L44" s="62" t="s">
        <v>45</v>
      </c>
      <c r="M44" s="62" t="s">
        <v>47</v>
      </c>
      <c r="N44" s="63"/>
      <c r="O44" s="62" t="s">
        <v>60</v>
      </c>
      <c r="P44" s="30" t="s">
        <v>61</v>
      </c>
      <c r="Q44" s="63" t="s">
        <v>50</v>
      </c>
      <c r="R44" s="36"/>
      <c r="S44" s="36"/>
      <c r="T44" s="36"/>
      <c r="U44" s="36"/>
      <c r="V44" s="30"/>
      <c r="W44" s="30" t="str">
        <f t="shared" si="6"/>
        <v>Fund Transfer: From x0264 to YES RERA 0377 (Bank Reference: YESME6160001433800) (Type: Master 2 RERA) (BU: Casa Romana) (Head: Internal)</v>
      </c>
      <c r="X44" s="59"/>
      <c r="Y44" s="2"/>
      <c r="Z44" s="2"/>
      <c r="AA44" s="2"/>
      <c r="AB44" s="2"/>
    </row>
    <row r="45" ht="15.75" customHeight="1">
      <c r="A45" s="56">
        <v>32.0</v>
      </c>
      <c r="B45" s="56" t="str">
        <f t="shared" si="8"/>
        <v>#NAME?</v>
      </c>
      <c r="C45" s="56">
        <f t="shared" si="9"/>
        <v>6</v>
      </c>
      <c r="D45" s="66">
        <v>46179.0</v>
      </c>
      <c r="E45" s="66">
        <v>46179.0</v>
      </c>
      <c r="F45" s="45"/>
      <c r="G45" s="45" t="s">
        <v>300</v>
      </c>
      <c r="H45" s="67" t="s">
        <v>301</v>
      </c>
      <c r="I45" s="46">
        <v>700000.0</v>
      </c>
      <c r="J45" s="46"/>
      <c r="K45" s="46">
        <f t="shared" si="5"/>
        <v>815878.4</v>
      </c>
      <c r="L45" s="62" t="s">
        <v>45</v>
      </c>
      <c r="M45" s="62" t="s">
        <v>47</v>
      </c>
      <c r="N45" s="63"/>
      <c r="O45" s="62" t="s">
        <v>60</v>
      </c>
      <c r="P45" s="30" t="s">
        <v>49</v>
      </c>
      <c r="Q45" s="63" t="s">
        <v>50</v>
      </c>
      <c r="R45" s="36"/>
      <c r="S45" s="36"/>
      <c r="T45" s="36"/>
      <c r="U45" s="36"/>
      <c r="V45" s="30"/>
      <c r="W45" s="30" t="str">
        <f t="shared" si="6"/>
        <v>Fund Transfer: From YES RERA 0377 to x0490 (Bank Reference: YESME6157003910800) (Type: RERA 2 IDW) (BU: Casa Romana) (Head: Internal)</v>
      </c>
      <c r="X45" s="59"/>
      <c r="Y45" s="2"/>
      <c r="Z45" s="2"/>
      <c r="AA45" s="2"/>
      <c r="AB45" s="2"/>
    </row>
    <row r="46" ht="15.75" customHeight="1">
      <c r="A46" s="56">
        <v>31.0</v>
      </c>
      <c r="B46" s="56" t="str">
        <f t="shared" si="8"/>
        <v>#NAME?</v>
      </c>
      <c r="C46" s="56">
        <f t="shared" si="9"/>
        <v>6</v>
      </c>
      <c r="D46" s="66">
        <v>46179.0</v>
      </c>
      <c r="E46" s="66">
        <v>46179.0</v>
      </c>
      <c r="F46" s="45"/>
      <c r="G46" s="45" t="s">
        <v>305</v>
      </c>
      <c r="H46" s="67" t="s">
        <v>306</v>
      </c>
      <c r="I46" s="46"/>
      <c r="J46" s="46">
        <v>576177.0</v>
      </c>
      <c r="K46" s="46">
        <f t="shared" si="5"/>
        <v>1515878.4</v>
      </c>
      <c r="L46" s="62" t="s">
        <v>45</v>
      </c>
      <c r="M46" s="62" t="s">
        <v>47</v>
      </c>
      <c r="N46" s="63"/>
      <c r="O46" s="62" t="s">
        <v>60</v>
      </c>
      <c r="P46" s="30" t="s">
        <v>61</v>
      </c>
      <c r="Q46" s="63" t="s">
        <v>50</v>
      </c>
      <c r="R46" s="36"/>
      <c r="S46" s="36"/>
      <c r="T46" s="36"/>
      <c r="U46" s="36"/>
      <c r="V46" s="30"/>
      <c r="W46" s="30" t="str">
        <f t="shared" si="6"/>
        <v>Fund Transfer: From x0264 to YES RERA 0377 (Bank Reference: NETPC3811250197852789) (Type: Master 2 RERA) (BU: Casa Romana) (Head: Internal)</v>
      </c>
      <c r="X46" s="59"/>
      <c r="Y46" s="2"/>
      <c r="Z46" s="2"/>
      <c r="AA46" s="2"/>
      <c r="AB46" s="2"/>
    </row>
    <row r="47" ht="15.75" customHeight="1">
      <c r="A47" s="56">
        <v>30.0</v>
      </c>
      <c r="B47" s="56" t="str">
        <f t="shared" si="8"/>
        <v>#NAME?</v>
      </c>
      <c r="C47" s="56">
        <f t="shared" si="9"/>
        <v>6</v>
      </c>
      <c r="D47" s="66">
        <v>46178.0</v>
      </c>
      <c r="E47" s="66">
        <v>46178.0</v>
      </c>
      <c r="F47" s="45"/>
      <c r="G47" s="45" t="s">
        <v>127</v>
      </c>
      <c r="H47" s="67" t="s">
        <v>315</v>
      </c>
      <c r="I47" s="46"/>
      <c r="J47" s="46">
        <v>512192.8</v>
      </c>
      <c r="K47" s="46">
        <f t="shared" si="5"/>
        <v>939701.4</v>
      </c>
      <c r="L47" s="62" t="s">
        <v>45</v>
      </c>
      <c r="M47" s="62" t="s">
        <v>47</v>
      </c>
      <c r="N47" s="63"/>
      <c r="O47" s="62" t="s">
        <v>60</v>
      </c>
      <c r="P47" s="30" t="s">
        <v>61</v>
      </c>
      <c r="Q47" s="63" t="s">
        <v>50</v>
      </c>
      <c r="R47" s="36"/>
      <c r="S47" s="36"/>
      <c r="T47" s="36"/>
      <c r="U47" s="36"/>
      <c r="V47" s="30"/>
      <c r="W47" s="30" t="str">
        <f t="shared" si="6"/>
        <v>Fund Transfer: From x0264 to YES RERA 0377 (Bank Reference: YESME6156006847900) (Type: Master 2 RERA) (BU: Casa Romana) (Head: Internal)</v>
      </c>
      <c r="X47" s="59"/>
      <c r="Y47" s="2"/>
      <c r="Z47" s="2"/>
      <c r="AA47" s="2"/>
      <c r="AB47" s="2"/>
    </row>
    <row r="48" ht="15.75" customHeight="1">
      <c r="A48" s="56">
        <v>29.0</v>
      </c>
      <c r="B48" s="56" t="str">
        <f t="shared" si="8"/>
        <v>#NAME?</v>
      </c>
      <c r="C48" s="56">
        <f t="shared" si="9"/>
        <v>6</v>
      </c>
      <c r="D48" s="66">
        <v>46177.0</v>
      </c>
      <c r="E48" s="66">
        <v>46177.0</v>
      </c>
      <c r="F48" s="45"/>
      <c r="G48" s="45" t="s">
        <v>127</v>
      </c>
      <c r="H48" s="67" t="s">
        <v>320</v>
      </c>
      <c r="I48" s="46"/>
      <c r="J48" s="46">
        <v>92453.9</v>
      </c>
      <c r="K48" s="46">
        <f t="shared" si="5"/>
        <v>427508.6</v>
      </c>
      <c r="L48" s="62" t="s">
        <v>45</v>
      </c>
      <c r="M48" s="62" t="s">
        <v>47</v>
      </c>
      <c r="N48" s="63"/>
      <c r="O48" s="62" t="s">
        <v>60</v>
      </c>
      <c r="P48" s="30" t="s">
        <v>61</v>
      </c>
      <c r="Q48" s="63" t="s">
        <v>50</v>
      </c>
      <c r="R48" s="36"/>
      <c r="S48" s="36"/>
      <c r="T48" s="36"/>
      <c r="U48" s="36"/>
      <c r="V48" s="30"/>
      <c r="W48" s="30" t="str">
        <f t="shared" si="6"/>
        <v>Fund Transfer: From x0264 to YES RERA 0377 (Bank Reference: YESME6155005150500) (Type: Master 2 RERA) (BU: Casa Romana) (Head: Internal)</v>
      </c>
      <c r="X48" s="59"/>
      <c r="Y48" s="2"/>
      <c r="Z48" s="2"/>
      <c r="AA48" s="2"/>
      <c r="AB48" s="2"/>
    </row>
    <row r="49" ht="15.75" customHeight="1">
      <c r="A49" s="56">
        <v>28.0</v>
      </c>
      <c r="B49" s="56" t="str">
        <f t="shared" si="8"/>
        <v>#NAME?</v>
      </c>
      <c r="C49" s="56">
        <f t="shared" si="9"/>
        <v>6</v>
      </c>
      <c r="D49" s="66">
        <v>46175.0</v>
      </c>
      <c r="E49" s="66">
        <v>46175.0</v>
      </c>
      <c r="F49" s="45"/>
      <c r="G49" s="45" t="s">
        <v>127</v>
      </c>
      <c r="H49" s="67" t="s">
        <v>325</v>
      </c>
      <c r="I49" s="46"/>
      <c r="J49" s="46">
        <v>219324.7</v>
      </c>
      <c r="K49" s="46">
        <f t="shared" si="5"/>
        <v>335054.7</v>
      </c>
      <c r="L49" s="62" t="s">
        <v>45</v>
      </c>
      <c r="M49" s="62" t="s">
        <v>47</v>
      </c>
      <c r="N49" s="63"/>
      <c r="O49" s="62" t="s">
        <v>60</v>
      </c>
      <c r="P49" s="30" t="s">
        <v>61</v>
      </c>
      <c r="Q49" s="63" t="s">
        <v>50</v>
      </c>
      <c r="R49" s="36"/>
      <c r="S49" s="36"/>
      <c r="T49" s="36"/>
      <c r="U49" s="36"/>
      <c r="V49" s="30"/>
      <c r="W49" s="30" t="str">
        <f t="shared" si="6"/>
        <v>Fund Transfer: From x0264 to YES RERA 0377 (Bank Reference: YESME6153004400900) (Type: Master 2 RERA) (BU: Casa Romana) (Head: Internal)</v>
      </c>
      <c r="X49" s="59"/>
      <c r="Y49" s="2"/>
      <c r="Z49" s="2"/>
      <c r="AA49" s="2"/>
      <c r="AB49" s="2"/>
    </row>
    <row r="50" ht="15.75" customHeight="1">
      <c r="A50" s="56">
        <v>27.0</v>
      </c>
      <c r="B50" s="56" t="str">
        <f t="shared" si="8"/>
        <v>#NAME?</v>
      </c>
      <c r="C50" s="56">
        <f t="shared" si="9"/>
        <v>5</v>
      </c>
      <c r="D50" s="66">
        <v>46172.0</v>
      </c>
      <c r="E50" s="66">
        <v>46172.0</v>
      </c>
      <c r="F50" s="45"/>
      <c r="G50" s="45" t="s">
        <v>225</v>
      </c>
      <c r="H50" s="67" t="s">
        <v>333</v>
      </c>
      <c r="I50" s="46">
        <v>100000.0</v>
      </c>
      <c r="J50" s="46"/>
      <c r="K50" s="74">
        <f t="shared" si="5"/>
        <v>115730</v>
      </c>
      <c r="L50" s="62" t="s">
        <v>45</v>
      </c>
      <c r="M50" s="62" t="s">
        <v>47</v>
      </c>
      <c r="N50" s="63"/>
      <c r="O50" s="62" t="s">
        <v>60</v>
      </c>
      <c r="P50" s="30" t="s">
        <v>49</v>
      </c>
      <c r="Q50" s="63" t="s">
        <v>50</v>
      </c>
      <c r="R50" s="36"/>
      <c r="S50" s="36"/>
      <c r="T50" s="36"/>
      <c r="U50" s="36"/>
      <c r="V50" s="30"/>
      <c r="W50" s="30" t="str">
        <f t="shared" si="6"/>
        <v>Fund Transfer: From YES RERA 0377 to x0490 (Bank Reference: YESME6150004220900) (Type: RERA 2 IDW) (BU: Casa Romana) (Head: Internal)</v>
      </c>
      <c r="X50" s="59"/>
      <c r="Y50" s="2"/>
      <c r="Z50" s="2"/>
      <c r="AA50" s="2"/>
      <c r="AB50" s="2"/>
    </row>
    <row r="51" ht="15.75" customHeight="1">
      <c r="A51" s="56">
        <v>26.0</v>
      </c>
      <c r="B51" s="56" t="str">
        <f t="shared" si="8"/>
        <v>#NAME?</v>
      </c>
      <c r="C51" s="56">
        <f t="shared" si="9"/>
        <v>5</v>
      </c>
      <c r="D51" s="66">
        <v>46171.0</v>
      </c>
      <c r="E51" s="66">
        <v>46171.0</v>
      </c>
      <c r="F51" s="45"/>
      <c r="G51" s="45" t="s">
        <v>127</v>
      </c>
      <c r="H51" s="67" t="s">
        <v>339</v>
      </c>
      <c r="I51" s="46"/>
      <c r="J51" s="46">
        <v>36428.0</v>
      </c>
      <c r="K51" s="46">
        <f t="shared" si="5"/>
        <v>215730</v>
      </c>
      <c r="L51" s="62" t="s">
        <v>45</v>
      </c>
      <c r="M51" s="62" t="s">
        <v>47</v>
      </c>
      <c r="N51" s="63"/>
      <c r="O51" s="62" t="s">
        <v>60</v>
      </c>
      <c r="P51" s="30" t="s">
        <v>61</v>
      </c>
      <c r="Q51" s="63" t="s">
        <v>50</v>
      </c>
      <c r="R51" s="36"/>
      <c r="S51" s="36"/>
      <c r="T51" s="36"/>
      <c r="U51" s="36"/>
      <c r="V51" s="30"/>
      <c r="W51" s="30" t="str">
        <f t="shared" si="6"/>
        <v>Fund Transfer: From x0264 to YES RERA 0377 (Bank Reference: YESME6149006118900) (Type: Master 2 RERA) (BU: Casa Romana) (Head: Internal)</v>
      </c>
      <c r="X51" s="59"/>
      <c r="Y51" s="2"/>
      <c r="Z51" s="2"/>
      <c r="AA51" s="2"/>
      <c r="AB51" s="2"/>
    </row>
    <row r="52" ht="15.75" customHeight="1">
      <c r="A52" s="56">
        <v>25.0</v>
      </c>
      <c r="B52" s="56" t="str">
        <f t="shared" si="8"/>
        <v>#NAME?</v>
      </c>
      <c r="C52" s="56">
        <f t="shared" si="9"/>
        <v>5</v>
      </c>
      <c r="D52" s="66">
        <v>46169.0</v>
      </c>
      <c r="E52" s="66">
        <v>46169.0</v>
      </c>
      <c r="F52" s="45"/>
      <c r="G52" s="45" t="s">
        <v>127</v>
      </c>
      <c r="H52" s="67" t="s">
        <v>345</v>
      </c>
      <c r="I52" s="46"/>
      <c r="J52" s="46">
        <v>36428.0</v>
      </c>
      <c r="K52" s="46">
        <f t="shared" si="5"/>
        <v>179302</v>
      </c>
      <c r="L52" s="62" t="s">
        <v>45</v>
      </c>
      <c r="M52" s="62" t="s">
        <v>47</v>
      </c>
      <c r="N52" s="63"/>
      <c r="O52" s="62" t="s">
        <v>60</v>
      </c>
      <c r="P52" s="30" t="s">
        <v>61</v>
      </c>
      <c r="Q52" s="63" t="s">
        <v>50</v>
      </c>
      <c r="R52" s="36"/>
      <c r="S52" s="36"/>
      <c r="T52" s="36"/>
      <c r="U52" s="36"/>
      <c r="V52" s="30"/>
      <c r="W52" s="30" t="str">
        <f t="shared" si="6"/>
        <v>Fund Transfer: From x0264 to YES RERA 0377 (Bank Reference: YESME6147006265700) (Type: Master 2 RERA) (BU: Casa Romana) (Head: Internal)</v>
      </c>
      <c r="X52" s="59"/>
      <c r="Y52" s="2"/>
      <c r="Z52" s="2"/>
      <c r="AA52" s="2"/>
      <c r="AB52" s="2"/>
    </row>
    <row r="53" ht="15.75" customHeight="1">
      <c r="A53" s="56">
        <v>24.0</v>
      </c>
      <c r="B53" s="56" t="str">
        <f t="shared" si="8"/>
        <v>#NAME?</v>
      </c>
      <c r="C53" s="56">
        <f t="shared" si="9"/>
        <v>5</v>
      </c>
      <c r="D53" s="66">
        <v>46167.0</v>
      </c>
      <c r="E53" s="66">
        <v>46167.0</v>
      </c>
      <c r="F53" s="45"/>
      <c r="G53" s="45" t="s">
        <v>127</v>
      </c>
      <c r="H53" s="67"/>
      <c r="I53" s="46"/>
      <c r="J53" s="46">
        <v>111216.0</v>
      </c>
      <c r="K53" s="46">
        <f t="shared" si="5"/>
        <v>142874</v>
      </c>
      <c r="L53" s="62" t="s">
        <v>45</v>
      </c>
      <c r="M53" s="62" t="s">
        <v>47</v>
      </c>
      <c r="N53" s="63"/>
      <c r="O53" s="62" t="s">
        <v>60</v>
      </c>
      <c r="P53" s="30" t="s">
        <v>61</v>
      </c>
      <c r="Q53" s="63" t="s">
        <v>50</v>
      </c>
      <c r="R53" s="36"/>
      <c r="S53" s="36"/>
      <c r="T53" s="36"/>
      <c r="U53" s="36"/>
      <c r="V53" s="30"/>
      <c r="W53" s="30" t="str">
        <f t="shared" si="6"/>
        <v>Fund Transfer: From x0264 to YES RERA 0377 (Bank Reference: ) (Type: Master 2 RERA) (BU: Casa Romana) (Head: Internal)</v>
      </c>
      <c r="X53" s="59"/>
      <c r="Y53" s="2"/>
      <c r="Z53" s="2"/>
      <c r="AA53" s="2"/>
      <c r="AB53" s="2"/>
    </row>
    <row r="54" ht="15.75" customHeight="1">
      <c r="A54" s="56">
        <v>23.0</v>
      </c>
      <c r="B54" s="56" t="str">
        <f t="shared" si="8"/>
        <v>#NAME?</v>
      </c>
      <c r="C54" s="56">
        <f t="shared" si="9"/>
        <v>5</v>
      </c>
      <c r="D54" s="66">
        <v>46165.0</v>
      </c>
      <c r="E54" s="66">
        <v>46165.0</v>
      </c>
      <c r="F54" s="45"/>
      <c r="G54" s="45" t="s">
        <v>225</v>
      </c>
      <c r="H54" s="67" t="s">
        <v>361</v>
      </c>
      <c r="I54" s="46">
        <v>420000.0</v>
      </c>
      <c r="J54" s="46"/>
      <c r="K54" s="74">
        <f t="shared" si="5"/>
        <v>31658</v>
      </c>
      <c r="L54" s="62" t="s">
        <v>45</v>
      </c>
      <c r="M54" s="62" t="s">
        <v>47</v>
      </c>
      <c r="N54" s="63"/>
      <c r="O54" s="62" t="s">
        <v>60</v>
      </c>
      <c r="P54" s="30" t="s">
        <v>49</v>
      </c>
      <c r="Q54" s="63" t="s">
        <v>50</v>
      </c>
      <c r="R54" s="36"/>
      <c r="S54" s="36"/>
      <c r="T54" s="36"/>
      <c r="U54" s="36"/>
      <c r="V54" s="30"/>
      <c r="W54" s="30" t="str">
        <f t="shared" si="6"/>
        <v>Fund Transfer: From YES RERA 0377 to x0490 (Bank Reference: YESME6143002884300) (Type: RERA 2 IDW) (BU: Casa Romana) (Head: Internal)</v>
      </c>
      <c r="X54" s="59"/>
      <c r="Y54" s="2"/>
      <c r="Z54" s="2"/>
      <c r="AA54" s="2"/>
      <c r="AB54" s="2"/>
    </row>
    <row r="55" ht="15.75" customHeight="1">
      <c r="A55" s="56">
        <v>22.0</v>
      </c>
      <c r="B55" s="56" t="str">
        <f t="shared" si="8"/>
        <v>#NAME?</v>
      </c>
      <c r="C55" s="56">
        <f t="shared" si="9"/>
        <v>5</v>
      </c>
      <c r="D55" s="66">
        <v>46158.0</v>
      </c>
      <c r="E55" s="66">
        <v>46158.0</v>
      </c>
      <c r="F55" s="45"/>
      <c r="G55" s="45" t="s">
        <v>225</v>
      </c>
      <c r="H55" s="67" t="s">
        <v>364</v>
      </c>
      <c r="I55" s="46">
        <v>600000.0</v>
      </c>
      <c r="J55" s="46"/>
      <c r="K55" s="46">
        <f t="shared" si="5"/>
        <v>451658</v>
      </c>
      <c r="L55" s="62" t="s">
        <v>45</v>
      </c>
      <c r="M55" s="62" t="s">
        <v>47</v>
      </c>
      <c r="N55" s="63"/>
      <c r="O55" s="62" t="s">
        <v>60</v>
      </c>
      <c r="P55" s="30" t="s">
        <v>49</v>
      </c>
      <c r="Q55" s="63" t="s">
        <v>50</v>
      </c>
      <c r="R55" s="36"/>
      <c r="S55" s="36"/>
      <c r="T55" s="36"/>
      <c r="U55" s="36"/>
      <c r="V55" s="30"/>
      <c r="W55" s="30" t="str">
        <f t="shared" si="6"/>
        <v>Fund Transfer: From YES RERA 0377 to x0490 (Bank Reference: YESME6136003636800) (Type: RERA 2 IDW) (BU: Casa Romana) (Head: Internal)</v>
      </c>
      <c r="X55" s="59"/>
      <c r="Y55" s="2"/>
      <c r="Z55" s="2"/>
      <c r="AA55" s="2"/>
      <c r="AB55" s="2"/>
    </row>
    <row r="56" ht="15.75" customHeight="1">
      <c r="A56" s="56">
        <v>21.0</v>
      </c>
      <c r="B56" s="56" t="str">
        <f t="shared" si="8"/>
        <v>#NAME?</v>
      </c>
      <c r="C56" s="56">
        <f t="shared" si="9"/>
        <v>5</v>
      </c>
      <c r="D56" s="66">
        <v>46157.0</v>
      </c>
      <c r="E56" s="66">
        <v>46157.0</v>
      </c>
      <c r="F56" s="45"/>
      <c r="G56" s="45" t="s">
        <v>127</v>
      </c>
      <c r="H56" s="67" t="s">
        <v>371</v>
      </c>
      <c r="I56" s="46"/>
      <c r="J56" s="46">
        <v>173860.0</v>
      </c>
      <c r="K56" s="46">
        <f t="shared" si="5"/>
        <v>1051658</v>
      </c>
      <c r="L56" s="62" t="s">
        <v>45</v>
      </c>
      <c r="M56" s="62" t="s">
        <v>47</v>
      </c>
      <c r="N56" s="63"/>
      <c r="O56" s="62" t="s">
        <v>60</v>
      </c>
      <c r="P56" s="30" t="s">
        <v>61</v>
      </c>
      <c r="Q56" s="63" t="s">
        <v>50</v>
      </c>
      <c r="R56" s="36"/>
      <c r="S56" s="36"/>
      <c r="T56" s="36"/>
      <c r="U56" s="36"/>
      <c r="V56" s="30"/>
      <c r="W56" s="30" t="str">
        <f t="shared" si="6"/>
        <v>Fund Transfer: From x0264 to YES RERA 0377 (Bank Reference: YESME6135005445900) (Type: Master 2 RERA) (BU: Casa Romana) (Head: Internal)</v>
      </c>
      <c r="X56" s="59"/>
      <c r="Y56" s="2"/>
      <c r="Z56" s="2"/>
      <c r="AA56" s="2"/>
      <c r="AB56" s="2"/>
    </row>
    <row r="57" ht="15.75" customHeight="1">
      <c r="A57" s="56">
        <v>20.0</v>
      </c>
      <c r="B57" s="56" t="str">
        <f t="shared" si="8"/>
        <v>#NAME?</v>
      </c>
      <c r="C57" s="56">
        <f t="shared" si="9"/>
        <v>5</v>
      </c>
      <c r="D57" s="66">
        <v>46154.0</v>
      </c>
      <c r="E57" s="66">
        <v>46154.0</v>
      </c>
      <c r="F57" s="45"/>
      <c r="G57" s="45" t="s">
        <v>377</v>
      </c>
      <c r="H57" s="67" t="s">
        <v>379</v>
      </c>
      <c r="I57" s="46">
        <v>200000.0</v>
      </c>
      <c r="J57" s="46"/>
      <c r="K57" s="46">
        <f t="shared" si="5"/>
        <v>877798</v>
      </c>
      <c r="L57" s="62" t="s">
        <v>45</v>
      </c>
      <c r="M57" s="62" t="s">
        <v>47</v>
      </c>
      <c r="N57" s="63"/>
      <c r="O57" s="62" t="s">
        <v>60</v>
      </c>
      <c r="P57" s="30" t="s">
        <v>49</v>
      </c>
      <c r="Q57" s="63" t="s">
        <v>50</v>
      </c>
      <c r="R57" s="36"/>
      <c r="S57" s="36"/>
      <c r="T57" s="36"/>
      <c r="U57" s="36"/>
      <c r="V57" s="30"/>
      <c r="W57" s="30" t="str">
        <f t="shared" si="6"/>
        <v>Fund Transfer: From YES RERA 0377 to x0490 (Bank Reference: YESME6132007609700) (Type: RERA 2 IDW) (BU: Casa Romana) (Head: Internal)</v>
      </c>
      <c r="X57" s="59"/>
      <c r="Y57" s="2"/>
      <c r="Z57" s="2"/>
      <c r="AA57" s="2"/>
      <c r="AB57" s="2"/>
    </row>
    <row r="58" ht="15.75" customHeight="1">
      <c r="A58" s="56">
        <v>19.0</v>
      </c>
      <c r="B58" s="56" t="str">
        <f t="shared" si="8"/>
        <v>#NAME?</v>
      </c>
      <c r="C58" s="56">
        <f t="shared" si="9"/>
        <v>5</v>
      </c>
      <c r="D58" s="66">
        <v>46153.0</v>
      </c>
      <c r="E58" s="66">
        <v>46153.0</v>
      </c>
      <c r="F58" s="45"/>
      <c r="G58" s="45" t="s">
        <v>127</v>
      </c>
      <c r="H58" s="67" t="s">
        <v>384</v>
      </c>
      <c r="I58" s="46"/>
      <c r="J58" s="46">
        <v>70000.0</v>
      </c>
      <c r="K58" s="46">
        <f t="shared" si="5"/>
        <v>1077798</v>
      </c>
      <c r="L58" s="62" t="s">
        <v>45</v>
      </c>
      <c r="M58" s="62" t="s">
        <v>47</v>
      </c>
      <c r="N58" s="63"/>
      <c r="O58" s="62" t="s">
        <v>60</v>
      </c>
      <c r="P58" s="30" t="s">
        <v>61</v>
      </c>
      <c r="Q58" s="63" t="s">
        <v>50</v>
      </c>
      <c r="R58" s="36"/>
      <c r="S58" s="36"/>
      <c r="T58" s="36"/>
      <c r="U58" s="36"/>
      <c r="V58" s="30"/>
      <c r="W58" s="30" t="str">
        <f t="shared" si="6"/>
        <v>Fund Transfer: From x0264 to YES RERA 0377 (Bank Reference: YESME6131008786800) (Type: Master 2 RERA) (BU: Casa Romana) (Head: Internal)</v>
      </c>
      <c r="X58" s="59"/>
      <c r="Y58" s="2"/>
      <c r="Z58" s="2"/>
      <c r="AA58" s="2"/>
      <c r="AB58" s="2"/>
    </row>
    <row r="59" ht="15.75" customHeight="1">
      <c r="A59" s="56">
        <v>18.0</v>
      </c>
      <c r="B59" s="56" t="str">
        <f t="shared" si="8"/>
        <v>#NAME?</v>
      </c>
      <c r="C59" s="56">
        <f t="shared" si="9"/>
        <v>5</v>
      </c>
      <c r="D59" s="66">
        <v>46151.0</v>
      </c>
      <c r="E59" s="66">
        <v>46151.0</v>
      </c>
      <c r="F59" s="45"/>
      <c r="G59" s="45" t="s">
        <v>127</v>
      </c>
      <c r="H59" s="67" t="s">
        <v>390</v>
      </c>
      <c r="I59" s="46"/>
      <c r="J59" s="46">
        <v>223129.0</v>
      </c>
      <c r="K59" s="46">
        <f t="shared" si="5"/>
        <v>1007798</v>
      </c>
      <c r="L59" s="62" t="s">
        <v>45</v>
      </c>
      <c r="M59" s="62" t="s">
        <v>47</v>
      </c>
      <c r="N59" s="63"/>
      <c r="O59" s="62" t="s">
        <v>60</v>
      </c>
      <c r="P59" s="30" t="s">
        <v>61</v>
      </c>
      <c r="Q59" s="63" t="s">
        <v>50</v>
      </c>
      <c r="R59" s="36"/>
      <c r="S59" s="36"/>
      <c r="T59" s="36"/>
      <c r="U59" s="36"/>
      <c r="V59" s="30"/>
      <c r="W59" s="30" t="str">
        <f t="shared" si="6"/>
        <v>Fund Transfer: From x0264 to YES RERA 0377 (Bank Reference: YESME6129003685800) (Type: Master 2 RERA) (BU: Casa Romana) (Head: Internal)</v>
      </c>
      <c r="X59" s="59"/>
      <c r="Y59" s="2"/>
      <c r="Z59" s="2"/>
      <c r="AA59" s="2"/>
      <c r="AB59" s="2"/>
    </row>
    <row r="60" ht="15.75" customHeight="1">
      <c r="A60" s="56">
        <v>17.0</v>
      </c>
      <c r="B60" s="56" t="str">
        <f t="shared" si="8"/>
        <v>#NAME?</v>
      </c>
      <c r="C60" s="56">
        <f t="shared" si="9"/>
        <v>5</v>
      </c>
      <c r="D60" s="66">
        <v>46151.0</v>
      </c>
      <c r="E60" s="66">
        <v>46151.0</v>
      </c>
      <c r="F60" s="45"/>
      <c r="G60" s="45" t="s">
        <v>127</v>
      </c>
      <c r="H60" s="67" t="s">
        <v>395</v>
      </c>
      <c r="I60" s="46"/>
      <c r="J60" s="46">
        <v>127490.0</v>
      </c>
      <c r="K60" s="46">
        <f t="shared" si="5"/>
        <v>784669</v>
      </c>
      <c r="L60" s="62" t="s">
        <v>45</v>
      </c>
      <c r="M60" s="62" t="s">
        <v>47</v>
      </c>
      <c r="N60" s="63"/>
      <c r="O60" s="62" t="s">
        <v>60</v>
      </c>
      <c r="P60" s="30" t="s">
        <v>61</v>
      </c>
      <c r="Q60" s="63" t="s">
        <v>50</v>
      </c>
      <c r="R60" s="36"/>
      <c r="S60" s="36"/>
      <c r="T60" s="36"/>
      <c r="U60" s="36"/>
      <c r="V60" s="30"/>
      <c r="W60" s="30" t="str">
        <f t="shared" si="6"/>
        <v>Fund Transfer: From x0264 to YES RERA 0377 (Bank Reference: YESME6129003685400) (Type: Master 2 RERA) (BU: Casa Romana) (Head: Internal)</v>
      </c>
      <c r="X60" s="59"/>
      <c r="Y60" s="2"/>
      <c r="Z60" s="2"/>
      <c r="AA60" s="2"/>
      <c r="AB60" s="2"/>
    </row>
    <row r="61" ht="15.75" customHeight="1">
      <c r="A61" s="56">
        <v>16.0</v>
      </c>
      <c r="B61" s="56" t="str">
        <f t="shared" si="8"/>
        <v>#NAME?</v>
      </c>
      <c r="C61" s="56">
        <f t="shared" si="9"/>
        <v>5</v>
      </c>
      <c r="D61" s="66">
        <v>46149.0</v>
      </c>
      <c r="E61" s="66">
        <v>46149.0</v>
      </c>
      <c r="F61" s="45"/>
      <c r="G61" s="45" t="s">
        <v>127</v>
      </c>
      <c r="H61" s="67" t="s">
        <v>402</v>
      </c>
      <c r="I61" s="46"/>
      <c r="J61" s="46">
        <v>7420.0</v>
      </c>
      <c r="K61" s="46">
        <f t="shared" si="5"/>
        <v>657179</v>
      </c>
      <c r="L61" s="62" t="s">
        <v>45</v>
      </c>
      <c r="M61" s="62" t="s">
        <v>47</v>
      </c>
      <c r="N61" s="63"/>
      <c r="O61" s="62" t="s">
        <v>60</v>
      </c>
      <c r="P61" s="30" t="s">
        <v>61</v>
      </c>
      <c r="Q61" s="63" t="s">
        <v>50</v>
      </c>
      <c r="R61" s="36"/>
      <c r="S61" s="36"/>
      <c r="T61" s="36"/>
      <c r="U61" s="36"/>
      <c r="V61" s="30"/>
      <c r="W61" s="30" t="str">
        <f t="shared" si="6"/>
        <v>Fund Transfer: From x0264 to YES RERA 0377 (Bank Reference: YESME6127006561800) (Type: Master 2 RERA) (BU: Casa Romana) (Head: Internal)</v>
      </c>
      <c r="X61" s="59"/>
      <c r="Y61" s="2"/>
      <c r="Z61" s="2"/>
      <c r="AA61" s="2"/>
      <c r="AB61" s="2"/>
    </row>
    <row r="62" ht="15.75" customHeight="1">
      <c r="A62" s="56">
        <v>15.0</v>
      </c>
      <c r="B62" s="56" t="str">
        <f t="shared" si="8"/>
        <v>#NAME?</v>
      </c>
      <c r="C62" s="56">
        <f t="shared" si="9"/>
        <v>5</v>
      </c>
      <c r="D62" s="66">
        <v>46149.0</v>
      </c>
      <c r="E62" s="66">
        <v>46149.0</v>
      </c>
      <c r="F62" s="45"/>
      <c r="G62" s="45" t="s">
        <v>225</v>
      </c>
      <c r="H62" s="67" t="s">
        <v>413</v>
      </c>
      <c r="I62" s="46">
        <v>900000.0</v>
      </c>
      <c r="J62" s="46"/>
      <c r="K62" s="46">
        <f t="shared" si="5"/>
        <v>649759</v>
      </c>
      <c r="L62" s="62" t="s">
        <v>45</v>
      </c>
      <c r="M62" s="62" t="s">
        <v>47</v>
      </c>
      <c r="N62" s="63"/>
      <c r="O62" s="62" t="s">
        <v>60</v>
      </c>
      <c r="P62" s="30" t="s">
        <v>49</v>
      </c>
      <c r="Q62" s="63" t="s">
        <v>50</v>
      </c>
      <c r="R62" s="36"/>
      <c r="S62" s="36"/>
      <c r="T62" s="36"/>
      <c r="U62" s="36"/>
      <c r="V62" s="30"/>
      <c r="W62" s="30" t="str">
        <f t="shared" si="6"/>
        <v>Fund Transfer: From YES RERA 0377 to x0490 (Bank Reference: YESME6127003957500) (Type: RERA 2 IDW) (BU: Casa Romana) (Head: Internal)</v>
      </c>
      <c r="X62" s="59"/>
      <c r="Y62" s="2"/>
      <c r="Z62" s="2"/>
      <c r="AA62" s="2"/>
      <c r="AB62" s="2"/>
    </row>
    <row r="63" ht="15.75" customHeight="1">
      <c r="A63" s="56">
        <v>14.0</v>
      </c>
      <c r="B63" s="56" t="str">
        <f t="shared" si="8"/>
        <v>#NAME?</v>
      </c>
      <c r="C63" s="56">
        <f t="shared" si="9"/>
        <v>5</v>
      </c>
      <c r="D63" s="66">
        <v>46148.0</v>
      </c>
      <c r="E63" s="66">
        <v>46148.0</v>
      </c>
      <c r="F63" s="45"/>
      <c r="G63" s="45" t="s">
        <v>127</v>
      </c>
      <c r="H63" s="67" t="s">
        <v>418</v>
      </c>
      <c r="I63" s="46"/>
      <c r="J63" s="46">
        <v>177447.0</v>
      </c>
      <c r="K63" s="46">
        <f t="shared" si="5"/>
        <v>1549759</v>
      </c>
      <c r="L63" s="62" t="s">
        <v>45</v>
      </c>
      <c r="M63" s="62" t="s">
        <v>47</v>
      </c>
      <c r="N63" s="63"/>
      <c r="O63" s="62" t="s">
        <v>60</v>
      </c>
      <c r="P63" s="30" t="s">
        <v>61</v>
      </c>
      <c r="Q63" s="63" t="s">
        <v>50</v>
      </c>
      <c r="R63" s="36"/>
      <c r="S63" s="36"/>
      <c r="T63" s="36"/>
      <c r="U63" s="36"/>
      <c r="V63" s="30"/>
      <c r="W63" s="30" t="str">
        <f t="shared" si="6"/>
        <v>Fund Transfer: From x0264 to YES RERA 0377 (Bank Reference: YESME6126005382800) (Type: Master 2 RERA) (BU: Casa Romana) (Head: Internal)</v>
      </c>
      <c r="X63" s="59"/>
      <c r="Y63" s="2"/>
      <c r="Z63" s="2"/>
      <c r="AA63" s="2"/>
      <c r="AB63" s="2"/>
    </row>
    <row r="64" ht="15.75" customHeight="1">
      <c r="A64" s="56">
        <v>13.0</v>
      </c>
      <c r="B64" s="56" t="str">
        <f t="shared" si="8"/>
        <v>#NAME?</v>
      </c>
      <c r="C64" s="56">
        <f t="shared" si="9"/>
        <v>5</v>
      </c>
      <c r="D64" s="66">
        <v>46147.0</v>
      </c>
      <c r="E64" s="66">
        <v>46147.0</v>
      </c>
      <c r="F64" s="45"/>
      <c r="G64" s="45" t="s">
        <v>127</v>
      </c>
      <c r="H64" s="67" t="s">
        <v>426</v>
      </c>
      <c r="I64" s="46"/>
      <c r="J64" s="46">
        <v>381714.0</v>
      </c>
      <c r="K64" s="46">
        <f t="shared" si="5"/>
        <v>1372312</v>
      </c>
      <c r="L64" s="62" t="s">
        <v>45</v>
      </c>
      <c r="M64" s="62" t="s">
        <v>47</v>
      </c>
      <c r="N64" s="63"/>
      <c r="O64" s="62" t="s">
        <v>60</v>
      </c>
      <c r="P64" s="30" t="s">
        <v>61</v>
      </c>
      <c r="Q64" s="63" t="s">
        <v>82</v>
      </c>
      <c r="R64" s="36"/>
      <c r="S64" s="36"/>
      <c r="T64" s="36"/>
      <c r="U64" s="36"/>
      <c r="V64" s="30"/>
      <c r="W64" s="30" t="str">
        <f t="shared" si="6"/>
        <v>Fund Transfer: From x0264 to YES RERA 0377 (Bank Reference: YESME6125006751600) (Type: Master 2 RERA) (BU: Casa Romana) (Head: Internal)</v>
      </c>
      <c r="X64" s="59"/>
      <c r="Y64" s="2"/>
      <c r="Z64" s="2"/>
      <c r="AA64" s="2"/>
      <c r="AB64" s="2"/>
    </row>
    <row r="65" ht="15.75" customHeight="1">
      <c r="A65" s="56">
        <v>12.0</v>
      </c>
      <c r="B65" s="56" t="str">
        <f t="shared" si="8"/>
        <v>#NAME?</v>
      </c>
      <c r="C65" s="56">
        <f t="shared" si="9"/>
        <v>5</v>
      </c>
      <c r="D65" s="66">
        <v>46146.0</v>
      </c>
      <c r="E65" s="66">
        <v>46146.0</v>
      </c>
      <c r="F65" s="45"/>
      <c r="G65" s="45" t="s">
        <v>127</v>
      </c>
      <c r="H65" s="67" t="s">
        <v>431</v>
      </c>
      <c r="I65" s="46"/>
      <c r="J65" s="46">
        <v>41490.0</v>
      </c>
      <c r="K65" s="46">
        <f t="shared" si="5"/>
        <v>990598</v>
      </c>
      <c r="L65" s="62" t="s">
        <v>45</v>
      </c>
      <c r="M65" s="62" t="s">
        <v>47</v>
      </c>
      <c r="N65" s="63"/>
      <c r="O65" s="62" t="s">
        <v>60</v>
      </c>
      <c r="P65" s="30" t="s">
        <v>61</v>
      </c>
      <c r="Q65" s="63" t="s">
        <v>82</v>
      </c>
      <c r="R65" s="36"/>
      <c r="S65" s="36"/>
      <c r="T65" s="36"/>
      <c r="U65" s="36"/>
      <c r="V65" s="30"/>
      <c r="W65" s="30" t="str">
        <f t="shared" si="6"/>
        <v>Fund Transfer: From x0264 to YES RERA 0377 (Bank Reference: YESME6124007732000) (Type: Master 2 RERA) (BU: Casa Romana) (Head: Internal)</v>
      </c>
      <c r="X65" s="59"/>
      <c r="Y65" s="2"/>
      <c r="Z65" s="2"/>
      <c r="AA65" s="2"/>
      <c r="AB65" s="2"/>
    </row>
    <row r="66" ht="15.75" customHeight="1">
      <c r="A66" s="56">
        <v>11.0</v>
      </c>
      <c r="B66" s="56" t="str">
        <f t="shared" si="8"/>
        <v>#NAME?</v>
      </c>
      <c r="C66" s="56">
        <f t="shared" si="9"/>
        <v>5</v>
      </c>
      <c r="D66" s="66">
        <v>46146.0</v>
      </c>
      <c r="E66" s="66">
        <v>46146.0</v>
      </c>
      <c r="F66" s="45"/>
      <c r="G66" s="45" t="s">
        <v>127</v>
      </c>
      <c r="H66" s="67" t="s">
        <v>440</v>
      </c>
      <c r="I66" s="46"/>
      <c r="J66" s="46">
        <v>35000.0</v>
      </c>
      <c r="K66" s="46">
        <f t="shared" si="5"/>
        <v>949108</v>
      </c>
      <c r="L66" s="62" t="s">
        <v>45</v>
      </c>
      <c r="M66" s="62" t="s">
        <v>47</v>
      </c>
      <c r="N66" s="63"/>
      <c r="O66" s="62" t="s">
        <v>60</v>
      </c>
      <c r="P66" s="30" t="s">
        <v>61</v>
      </c>
      <c r="Q66" s="63" t="s">
        <v>82</v>
      </c>
      <c r="R66" s="36"/>
      <c r="S66" s="36"/>
      <c r="T66" s="36"/>
      <c r="U66" s="36"/>
      <c r="V66" s="30"/>
      <c r="W66" s="30" t="str">
        <f t="shared" si="6"/>
        <v>Fund Transfer: From x0264 to YES RERA 0377 (Bank Reference: YESME6124007568200) (Type: Master 2 RERA) (BU: Casa Romana) (Head: Internal)</v>
      </c>
      <c r="X66" s="59"/>
      <c r="Y66" s="2"/>
      <c r="Z66" s="2"/>
      <c r="AA66" s="2"/>
      <c r="AB66" s="2"/>
    </row>
    <row r="67" ht="15.75" customHeight="1">
      <c r="A67" s="56">
        <v>10.0</v>
      </c>
      <c r="B67" s="56" t="str">
        <f t="shared" si="8"/>
        <v>#NAME?</v>
      </c>
      <c r="C67" s="56">
        <f t="shared" si="9"/>
        <v>5</v>
      </c>
      <c r="D67" s="66">
        <v>46146.0</v>
      </c>
      <c r="E67" s="66">
        <v>46146.0</v>
      </c>
      <c r="F67" s="45"/>
      <c r="G67" s="45" t="s">
        <v>127</v>
      </c>
      <c r="H67" s="67" t="s">
        <v>448</v>
      </c>
      <c r="I67" s="46"/>
      <c r="J67" s="46">
        <v>791139.0</v>
      </c>
      <c r="K67" s="46">
        <f t="shared" si="5"/>
        <v>914108</v>
      </c>
      <c r="L67" s="62" t="s">
        <v>45</v>
      </c>
      <c r="M67" s="62" t="s">
        <v>47</v>
      </c>
      <c r="N67" s="63"/>
      <c r="O67" s="62" t="s">
        <v>60</v>
      </c>
      <c r="P67" s="30" t="s">
        <v>61</v>
      </c>
      <c r="Q67" s="63" t="s">
        <v>82</v>
      </c>
      <c r="R67" s="36"/>
      <c r="S67" s="36"/>
      <c r="T67" s="36"/>
      <c r="U67" s="36"/>
      <c r="V67" s="30"/>
      <c r="W67" s="30" t="str">
        <f t="shared" si="6"/>
        <v>Fund Transfer: From x0264 to YES RERA 0377 (Bank Reference: YESME6124003686900) (Type: Master 2 RERA) (BU: Casa Romana) (Head: Internal)</v>
      </c>
      <c r="X67" s="59"/>
      <c r="Y67" s="2"/>
      <c r="Z67" s="2"/>
      <c r="AA67" s="2"/>
      <c r="AB67" s="2"/>
    </row>
    <row r="68" ht="15.75" customHeight="1">
      <c r="A68" s="56">
        <v>9.0</v>
      </c>
      <c r="B68" s="56" t="str">
        <f t="shared" si="8"/>
        <v>#NAME?</v>
      </c>
      <c r="C68" s="56">
        <f t="shared" si="9"/>
        <v>5</v>
      </c>
      <c r="D68" s="66">
        <v>46144.0</v>
      </c>
      <c r="E68" s="66">
        <v>46144.0</v>
      </c>
      <c r="F68" s="45"/>
      <c r="G68" s="45" t="s">
        <v>377</v>
      </c>
      <c r="H68" s="67" t="s">
        <v>454</v>
      </c>
      <c r="I68" s="46">
        <v>100000.0</v>
      </c>
      <c r="J68" s="46"/>
      <c r="K68" s="46">
        <f t="shared" si="5"/>
        <v>122969</v>
      </c>
      <c r="L68" s="62" t="s">
        <v>45</v>
      </c>
      <c r="M68" s="62" t="s">
        <v>47</v>
      </c>
      <c r="N68" s="63"/>
      <c r="O68" s="62" t="s">
        <v>60</v>
      </c>
      <c r="P68" s="30" t="s">
        <v>49</v>
      </c>
      <c r="Q68" s="63" t="s">
        <v>50</v>
      </c>
      <c r="R68" s="36"/>
      <c r="S68" s="36"/>
      <c r="T68" s="36"/>
      <c r="U68" s="36"/>
      <c r="V68" s="30"/>
      <c r="W68" s="30" t="str">
        <f t="shared" si="6"/>
        <v>Fund Transfer: From YES RERA 0377 to x0490 (Bank Reference: YESME6122005804600) (Type: RERA 2 IDW) (BU: Casa Romana) (Head: Internal)</v>
      </c>
      <c r="X68" s="59"/>
      <c r="Y68" s="2"/>
      <c r="Z68" s="2"/>
      <c r="AA68" s="2"/>
      <c r="AB68" s="2"/>
    </row>
    <row r="69" ht="15.75" customHeight="1">
      <c r="A69" s="56">
        <v>8.0</v>
      </c>
      <c r="B69" s="56" t="str">
        <f t="shared" si="8"/>
        <v>#NAME?</v>
      </c>
      <c r="C69" s="56">
        <f t="shared" si="9"/>
        <v>5</v>
      </c>
      <c r="D69" s="66">
        <v>46143.0</v>
      </c>
      <c r="E69" s="66">
        <v>46143.0</v>
      </c>
      <c r="F69" s="45"/>
      <c r="G69" s="45" t="s">
        <v>127</v>
      </c>
      <c r="H69" s="67" t="s">
        <v>460</v>
      </c>
      <c r="I69" s="46"/>
      <c r="J69" s="46">
        <v>47785.0</v>
      </c>
      <c r="K69" s="46">
        <f t="shared" si="5"/>
        <v>222969</v>
      </c>
      <c r="L69" s="62" t="s">
        <v>45</v>
      </c>
      <c r="M69" s="62" t="s">
        <v>47</v>
      </c>
      <c r="N69" s="63"/>
      <c r="O69" s="62" t="s">
        <v>60</v>
      </c>
      <c r="P69" s="30" t="s">
        <v>61</v>
      </c>
      <c r="Q69" s="63" t="s">
        <v>82</v>
      </c>
      <c r="R69" s="36"/>
      <c r="S69" s="36"/>
      <c r="T69" s="36"/>
      <c r="U69" s="36"/>
      <c r="V69" s="30"/>
      <c r="W69" s="30" t="str">
        <f t="shared" si="6"/>
        <v>Fund Transfer: From x0264 to YES RERA 0377 (Bank Reference: YESME6121002471700) (Type: Master 2 RERA) (BU: Casa Romana) (Head: Internal)</v>
      </c>
      <c r="X69" s="59"/>
      <c r="Y69" s="2"/>
      <c r="Z69" s="2"/>
      <c r="AA69" s="2"/>
      <c r="AB69" s="2"/>
    </row>
    <row r="70" ht="15.75" customHeight="1">
      <c r="A70" s="56">
        <v>7.0</v>
      </c>
      <c r="B70" s="56" t="str">
        <f t="shared" si="8"/>
        <v>#NAME?</v>
      </c>
      <c r="C70" s="56">
        <f t="shared" si="9"/>
        <v>4</v>
      </c>
      <c r="D70" s="66">
        <v>46142.0</v>
      </c>
      <c r="E70" s="66">
        <v>46142.0</v>
      </c>
      <c r="F70" s="45"/>
      <c r="G70" s="45" t="s">
        <v>127</v>
      </c>
      <c r="H70" s="67" t="s">
        <v>470</v>
      </c>
      <c r="I70" s="46"/>
      <c r="J70" s="46">
        <v>35000.0</v>
      </c>
      <c r="K70" s="46">
        <f t="shared" si="5"/>
        <v>175184</v>
      </c>
      <c r="L70" s="62" t="s">
        <v>45</v>
      </c>
      <c r="M70" s="62" t="s">
        <v>47</v>
      </c>
      <c r="N70" s="63"/>
      <c r="O70" s="62" t="s">
        <v>60</v>
      </c>
      <c r="P70" s="30" t="s">
        <v>61</v>
      </c>
      <c r="Q70" s="63" t="s">
        <v>82</v>
      </c>
      <c r="R70" s="36"/>
      <c r="S70" s="36"/>
      <c r="T70" s="36"/>
      <c r="U70" s="36"/>
      <c r="V70" s="30"/>
      <c r="W70" s="30" t="str">
        <f t="shared" si="6"/>
        <v>Fund Transfer: From x0264 to YES RERA 0377 (Bank Reference: YESME6120006890400) (Type: Master 2 RERA) (BU: Casa Romana) (Head: Internal)</v>
      </c>
      <c r="X70" s="59"/>
      <c r="Y70" s="2"/>
      <c r="Z70" s="2"/>
      <c r="AA70" s="2"/>
      <c r="AB70" s="2"/>
    </row>
    <row r="71" ht="15.75" customHeight="1">
      <c r="A71" s="56">
        <v>6.0</v>
      </c>
      <c r="B71" s="56" t="str">
        <f t="shared" si="8"/>
        <v>#NAME?</v>
      </c>
      <c r="C71" s="56">
        <f t="shared" si="9"/>
        <v>4</v>
      </c>
      <c r="D71" s="66">
        <v>46142.0</v>
      </c>
      <c r="E71" s="66">
        <v>46142.0</v>
      </c>
      <c r="F71" s="45"/>
      <c r="G71" s="45" t="s">
        <v>127</v>
      </c>
      <c r="H71" s="67" t="s">
        <v>478</v>
      </c>
      <c r="I71" s="46"/>
      <c r="J71" s="46">
        <v>114768.0</v>
      </c>
      <c r="K71" s="46">
        <f t="shared" si="5"/>
        <v>140184</v>
      </c>
      <c r="L71" s="62" t="s">
        <v>45</v>
      </c>
      <c r="M71" s="62" t="s">
        <v>47</v>
      </c>
      <c r="N71" s="63"/>
      <c r="O71" s="62" t="s">
        <v>60</v>
      </c>
      <c r="P71" s="30" t="s">
        <v>61</v>
      </c>
      <c r="Q71" s="63" t="s">
        <v>82</v>
      </c>
      <c r="R71" s="36"/>
      <c r="S71" s="36"/>
      <c r="T71" s="36"/>
      <c r="U71" s="36"/>
      <c r="V71" s="30"/>
      <c r="W71" s="30" t="str">
        <f t="shared" si="6"/>
        <v>Fund Transfer: From x0264 to YES RERA 0377 (Bank Reference: YESME6120006789500) (Type: Master 2 RERA) (BU: Casa Romana) (Head: Internal)</v>
      </c>
      <c r="X71" s="59"/>
      <c r="Y71" s="2"/>
      <c r="Z71" s="2"/>
      <c r="AA71" s="2"/>
      <c r="AB71" s="2"/>
    </row>
    <row r="72" ht="15.75" customHeight="1">
      <c r="A72" s="56">
        <v>5.0</v>
      </c>
      <c r="B72" s="56" t="str">
        <f t="shared" si="8"/>
        <v>#NAME?</v>
      </c>
      <c r="C72" s="56">
        <f t="shared" si="9"/>
        <v>4</v>
      </c>
      <c r="D72" s="66">
        <v>46140.0</v>
      </c>
      <c r="E72" s="66">
        <v>46140.0</v>
      </c>
      <c r="F72" s="45"/>
      <c r="G72" s="45" t="s">
        <v>225</v>
      </c>
      <c r="H72" s="67" t="s">
        <v>487</v>
      </c>
      <c r="I72" s="46">
        <v>70000.0</v>
      </c>
      <c r="J72" s="46"/>
      <c r="K72" s="46">
        <f t="shared" si="5"/>
        <v>25416</v>
      </c>
      <c r="L72" s="62" t="s">
        <v>45</v>
      </c>
      <c r="M72" s="62" t="s">
        <v>47</v>
      </c>
      <c r="N72" s="63"/>
      <c r="O72" s="62" t="s">
        <v>60</v>
      </c>
      <c r="P72" s="30" t="s">
        <v>49</v>
      </c>
      <c r="Q72" s="63" t="s">
        <v>50</v>
      </c>
      <c r="R72" s="36"/>
      <c r="S72" s="36"/>
      <c r="T72" s="36"/>
      <c r="U72" s="36"/>
      <c r="V72" s="30"/>
      <c r="W72" s="30" t="str">
        <f t="shared" si="6"/>
        <v>Fund Transfer: From YES RERA 0377 to x0490 (Bank Reference: YESME6118003633400) (Type: RERA 2 IDW) (BU: Casa Romana) (Head: Internal)</v>
      </c>
      <c r="X72" s="59"/>
      <c r="Y72" s="2"/>
      <c r="Z72" s="2"/>
      <c r="AA72" s="2"/>
      <c r="AB72" s="2"/>
    </row>
    <row r="73" ht="15.75" customHeight="1">
      <c r="A73" s="56">
        <v>4.0</v>
      </c>
      <c r="B73" s="56" t="str">
        <f t="shared" si="8"/>
        <v>#NAME?</v>
      </c>
      <c r="C73" s="56">
        <f t="shared" si="9"/>
        <v>4</v>
      </c>
      <c r="D73" s="66">
        <v>46139.0</v>
      </c>
      <c r="E73" s="66">
        <v>46139.0</v>
      </c>
      <c r="F73" s="45"/>
      <c r="G73" s="45" t="s">
        <v>127</v>
      </c>
      <c r="H73" s="67" t="s">
        <v>492</v>
      </c>
      <c r="I73" s="46"/>
      <c r="J73" s="46">
        <v>70000.0</v>
      </c>
      <c r="K73" s="46">
        <f t="shared" si="5"/>
        <v>95416</v>
      </c>
      <c r="L73" s="62" t="s">
        <v>45</v>
      </c>
      <c r="M73" s="62" t="s">
        <v>47</v>
      </c>
      <c r="N73" s="63"/>
      <c r="O73" s="62" t="s">
        <v>60</v>
      </c>
      <c r="P73" s="30" t="s">
        <v>61</v>
      </c>
      <c r="Q73" s="63" t="s">
        <v>82</v>
      </c>
      <c r="R73" s="36"/>
      <c r="S73" s="36"/>
      <c r="T73" s="36"/>
      <c r="U73" s="36"/>
      <c r="V73" s="30"/>
      <c r="W73" s="30" t="str">
        <f t="shared" si="6"/>
        <v>Fund Transfer: From x0264 to YES RERA 0377 (Bank Reference: YESME6117007191200) (Type: Master 2 RERA) (BU: Casa Romana) (Head: Internal)</v>
      </c>
      <c r="X73" s="59"/>
      <c r="Y73" s="2"/>
      <c r="Z73" s="2"/>
      <c r="AA73" s="2"/>
      <c r="AB73" s="2"/>
    </row>
    <row r="74" ht="15.75" customHeight="1">
      <c r="A74" s="56">
        <v>3.0</v>
      </c>
      <c r="B74" s="56" t="str">
        <f t="shared" si="8"/>
        <v>#NAME?</v>
      </c>
      <c r="C74" s="56">
        <f t="shared" si="9"/>
        <v>4</v>
      </c>
      <c r="D74" s="66">
        <v>46134.0</v>
      </c>
      <c r="E74" s="66">
        <v>46134.0</v>
      </c>
      <c r="F74" s="45"/>
      <c r="G74" s="45" t="s">
        <v>497</v>
      </c>
      <c r="H74" s="67" t="s">
        <v>498</v>
      </c>
      <c r="I74" s="46">
        <v>50000.0</v>
      </c>
      <c r="J74" s="46"/>
      <c r="K74" s="46">
        <f t="shared" si="5"/>
        <v>25416</v>
      </c>
      <c r="L74" s="62" t="s">
        <v>45</v>
      </c>
      <c r="M74" s="62" t="s">
        <v>47</v>
      </c>
      <c r="N74" s="63"/>
      <c r="O74" s="62" t="s">
        <v>60</v>
      </c>
      <c r="P74" s="30" t="s">
        <v>49</v>
      </c>
      <c r="Q74" s="63" t="s">
        <v>50</v>
      </c>
      <c r="R74" s="36"/>
      <c r="S74" s="36"/>
      <c r="T74" s="36"/>
      <c r="U74" s="36"/>
      <c r="V74" s="30"/>
      <c r="W74" s="30" t="str">
        <f t="shared" si="6"/>
        <v>Fund Transfer: From YES RERA 0377 to x0490 (Bank Reference: YESME6112005561500) (Type: RERA 2 IDW) (BU: Casa Romana) (Head: Internal)</v>
      </c>
      <c r="X74" s="59"/>
      <c r="Y74" s="2"/>
      <c r="Z74" s="2"/>
      <c r="AA74" s="2"/>
      <c r="AB74" s="2"/>
    </row>
    <row r="75" ht="15.75" customHeight="1">
      <c r="A75" s="56">
        <v>2.0</v>
      </c>
      <c r="B75" s="56" t="str">
        <f t="shared" si="8"/>
        <v>#NAME?</v>
      </c>
      <c r="C75" s="56">
        <f t="shared" si="9"/>
        <v>4</v>
      </c>
      <c r="D75" s="66">
        <v>46134.0</v>
      </c>
      <c r="E75" s="66">
        <v>46134.0</v>
      </c>
      <c r="F75" s="45"/>
      <c r="G75" s="45" t="s">
        <v>127</v>
      </c>
      <c r="H75" s="67" t="s">
        <v>507</v>
      </c>
      <c r="I75" s="46"/>
      <c r="J75" s="46">
        <v>39858.0</v>
      </c>
      <c r="K75" s="46">
        <f t="shared" si="5"/>
        <v>75416</v>
      </c>
      <c r="L75" s="62" t="s">
        <v>45</v>
      </c>
      <c r="M75" s="62" t="s">
        <v>47</v>
      </c>
      <c r="N75" s="63"/>
      <c r="O75" s="62" t="s">
        <v>60</v>
      </c>
      <c r="P75" s="30" t="s">
        <v>61</v>
      </c>
      <c r="Q75" s="63" t="s">
        <v>82</v>
      </c>
      <c r="R75" s="36"/>
      <c r="S75" s="36"/>
      <c r="T75" s="36"/>
      <c r="U75" s="36"/>
      <c r="V75" s="30"/>
      <c r="W75" s="30" t="str">
        <f t="shared" si="6"/>
        <v>Fund Transfer: From x0264 to YES RERA 0377 (Bank Reference: YESME6112002311100) (Type: Master 2 RERA) (BU: Casa Romana) (Head: Internal)</v>
      </c>
      <c r="X75" s="59"/>
      <c r="Y75" s="2"/>
      <c r="Z75" s="2"/>
      <c r="AA75" s="2"/>
      <c r="AB75" s="2"/>
    </row>
    <row r="76" ht="15.75" customHeight="1">
      <c r="A76" s="56">
        <v>1.0</v>
      </c>
      <c r="B76" s="56" t="str">
        <f t="shared" si="8"/>
        <v>#NAME?</v>
      </c>
      <c r="C76" s="56">
        <f t="shared" si="9"/>
        <v>4</v>
      </c>
      <c r="D76" s="66">
        <v>46113.0</v>
      </c>
      <c r="E76" s="66">
        <v>46113.0</v>
      </c>
      <c r="F76" s="84"/>
      <c r="G76" s="84" t="s">
        <v>514</v>
      </c>
      <c r="H76" s="67"/>
      <c r="I76" s="46"/>
      <c r="J76" s="46">
        <v>35558.0</v>
      </c>
      <c r="K76" s="46">
        <v>35558.0</v>
      </c>
      <c r="L76" s="62"/>
      <c r="M76" s="62"/>
      <c r="N76" s="63"/>
      <c r="O76" s="62"/>
      <c r="P76" s="30" t="s">
        <v>516</v>
      </c>
      <c r="Q76" s="63"/>
      <c r="R76" s="36"/>
      <c r="S76" s="36"/>
      <c r="T76" s="36"/>
      <c r="U76" s="36"/>
      <c r="V76" s="36"/>
      <c r="W76" s="36"/>
      <c r="X76" s="10"/>
      <c r="Y76" s="1"/>
      <c r="Z76" s="1"/>
      <c r="AA76" s="1"/>
      <c r="AB76" s="1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B$76"/>
  <customSheetViews>
    <customSheetView guid="{349BE81A-EADF-4EC0-BA06-361C2A3477E7}" filter="1" showAutoFilter="1">
      <autoFilter ref="$A$2:$W$76">
        <filterColumn colId="9">
          <filters>
            <filter val="1,11,216.00"/>
            <filter val="2,39,841.00"/>
            <filter val="1,15,326"/>
            <filter val="2,19,324.70"/>
            <filter val="1,57,500.00"/>
            <filter val="2,32,344"/>
            <filter val="2,23,129.00"/>
            <filter val="1,92,500.00"/>
            <filter val="5,76,177.00"/>
            <filter val="70,000.00"/>
            <filter val="4,26,532.00"/>
            <filter val="1,98,629"/>
            <filter val="39,858.00"/>
            <filter val="7,420.00"/>
            <filter val="1,77,447.00"/>
            <filter val="3,81,714.00"/>
            <filter val="36,428.00"/>
            <filter val="41,490.00"/>
            <filter val="47,785"/>
            <filter val="1,59,227"/>
            <filter val="4,66,939.00"/>
            <filter val="2,40,798"/>
            <filter val="47,785.00"/>
            <filter val="1,27,490.00"/>
            <filter val="5,12,192.80"/>
            <filter val="7,91,139.00"/>
            <filter val="17,500.00"/>
            <filter val="35,558.00"/>
            <filter val="92,453.90"/>
            <filter val="2,47,548.00"/>
            <filter val="37,644.00"/>
            <filter val="2,76,523.00"/>
            <filter val="34,300.00"/>
            <filter val="1,05,000"/>
            <filter val="1,73,860.00"/>
            <filter val="1,14,768.00"/>
            <filter val="64,015.00"/>
            <filter val="35,000.00"/>
            <filter val="1,27,190.00"/>
          </filters>
        </filterColumn>
      </autoFilter>
      <extLst>
        <ext uri="GoogleSheetsCustomDataVersion1">
          <go:sheetsCustomData xmlns:go="http://customooxmlschemas.google.com/" filterViewId="2134138193"/>
        </ext>
      </extLst>
    </customSheetView>
  </customSheetViews>
  <conditionalFormatting sqref="K1:K76 X3:X14">
    <cfRule type="expression" dxfId="0" priority="1">
      <formula>O:O="Reco"</formula>
    </cfRule>
  </conditionalFormatting>
  <conditionalFormatting sqref="K1:K76 X3:X14">
    <cfRule type="expression" dxfId="1" priority="2">
      <formula>O:O="eNTRY"</formula>
    </cfRule>
  </conditionalFormatting>
  <conditionalFormatting sqref="X15:X16">
    <cfRule type="expression" dxfId="1" priority="3">
      <formula>O:O="eNTRY"</formula>
    </cfRule>
  </conditionalFormatting>
  <conditionalFormatting sqref="X15:X16">
    <cfRule type="expression" dxfId="0" priority="4">
      <formula>O:O="Reco"</formula>
    </cfRule>
  </conditionalFormatting>
  <dataValidations>
    <dataValidation type="list" allowBlank="1" showErrorMessage="1" sqref="L3:M76 P3:Q76">
      <formula1>#REF!</formula1>
    </dataValidation>
    <dataValidation type="list" allowBlank="1" sqref="O3:O76">
      <formula1>"Reco,Suspense,Entry,Reverse Entry,Pending"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ollapsed="1" customWidth="1" min="1" max="1" width="6.13"/>
    <col customWidth="1" hidden="1" min="2" max="3" width="6.0" outlineLevel="1"/>
    <col customWidth="1" hidden="1" min="4" max="4" width="10.63" outlineLevel="1"/>
    <col customWidth="1" min="5" max="5" width="10.63"/>
    <col customWidth="1" min="6" max="6" width="10.38"/>
    <col customWidth="1" min="7" max="7" width="42.63"/>
    <col customWidth="1" min="8" max="8" width="22.63"/>
    <col customWidth="1" min="9" max="10" width="12.13"/>
    <col customWidth="1" min="11" max="11" width="11.63"/>
    <col customWidth="1" min="12" max="12" width="13.13"/>
    <col customWidth="1" min="13" max="13" width="12.38"/>
    <col customWidth="1" hidden="1" min="14" max="14" width="7.63" outlineLevel="1"/>
    <col customWidth="1" min="15" max="15" width="7.63"/>
    <col customWidth="1" min="16" max="16" width="11.88"/>
    <col customWidth="1" min="17" max="17" width="11.38"/>
    <col customWidth="1" hidden="1" min="18" max="18" width="10.13"/>
    <col customWidth="1" hidden="1" min="19" max="19" width="13.5"/>
    <col customWidth="1" min="21" max="21" width="14.0"/>
    <col customWidth="1" min="23" max="23" width="42.5"/>
    <col customWidth="1" min="24" max="24" width="11.13"/>
    <col customWidth="1" min="25" max="25" width="6.13"/>
    <col customWidth="1" min="26" max="31" width="7.88"/>
  </cols>
  <sheetData>
    <row r="1" ht="15.75" customHeight="1">
      <c r="A1" s="2" t="s">
        <v>0</v>
      </c>
      <c r="B1" s="2"/>
      <c r="C1" s="2"/>
      <c r="D1" s="2"/>
      <c r="E1" s="2"/>
      <c r="F1" s="3"/>
      <c r="G1" s="5" t="s">
        <v>3</v>
      </c>
      <c r="H1" s="4">
        <v>46258.0</v>
      </c>
      <c r="I1" s="9">
        <f t="shared" ref="I1:J1" si="1">SUBTOTAL(9,I2:I432)</f>
        <v>12659889</v>
      </c>
      <c r="J1" s="9">
        <f t="shared" si="1"/>
        <v>12722543</v>
      </c>
      <c r="K1" s="9">
        <f>J1-I1</f>
        <v>62654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3"/>
      <c r="X1" s="2"/>
      <c r="Y1" s="2"/>
      <c r="Z1" s="2"/>
      <c r="AA1" s="2"/>
      <c r="AB1" s="2"/>
      <c r="AC1" s="2"/>
      <c r="AD1" s="2"/>
      <c r="AE1" s="2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1" t="str">
        <f>'YES Master 0264'!D2</f>
        <v>TXN DATE</v>
      </c>
      <c r="E2" s="11" t="str">
        <f>'YES Master 0264'!E2</f>
        <v>VALUE DATE</v>
      </c>
      <c r="F2" s="11" t="str">
        <f>'YES Master 0264'!F2</f>
        <v>TYPE</v>
      </c>
      <c r="G2" s="11" t="str">
        <f>'YES Master 0264'!G2</f>
        <v>DESCRIPTION</v>
      </c>
      <c r="H2" s="11" t="str">
        <f>'YES Master 0264'!H2</f>
        <v>REFERENCE</v>
      </c>
      <c r="I2" s="27" t="str">
        <f>'YES Master 0264'!I2</f>
        <v>DEBITS</v>
      </c>
      <c r="J2" s="27" t="str">
        <f>'YES Master 0264'!J2</f>
        <v>CREDITS</v>
      </c>
      <c r="K2" s="27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11" t="str">
        <f>'YES Master 0264'!P2</f>
        <v>TYPE FOR RERA IDW</v>
      </c>
      <c r="Q2" s="11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42" t="str">
        <f>'YES Master 0264'!W2</f>
        <v>NARRATION</v>
      </c>
      <c r="X2" s="26" t="s">
        <v>28</v>
      </c>
      <c r="Y2" s="26" t="s">
        <v>29</v>
      </c>
      <c r="Z2" s="26" t="s">
        <v>30</v>
      </c>
      <c r="AA2" s="26" t="s">
        <v>31</v>
      </c>
      <c r="AB2" s="26" t="s">
        <v>32</v>
      </c>
      <c r="AC2" s="26"/>
      <c r="AD2" s="26"/>
      <c r="AE2" s="26"/>
    </row>
    <row r="3" ht="15.75" customHeight="1">
      <c r="A3" s="45"/>
      <c r="B3" s="30"/>
      <c r="C3" s="29"/>
      <c r="D3" s="31"/>
      <c r="E3" s="31"/>
      <c r="F3" s="36"/>
      <c r="G3" s="30"/>
      <c r="H3" s="30"/>
      <c r="I3" s="47"/>
      <c r="J3" s="47"/>
      <c r="K3" s="48"/>
      <c r="L3" s="30"/>
      <c r="M3" s="30"/>
      <c r="N3" s="36"/>
      <c r="O3" s="36"/>
      <c r="P3" s="30"/>
      <c r="Q3" s="30"/>
      <c r="R3" s="36"/>
      <c r="S3" s="36"/>
      <c r="T3" s="36"/>
      <c r="U3" s="30"/>
      <c r="V3" s="36"/>
      <c r="W3" s="51"/>
      <c r="X3" s="44"/>
      <c r="Y3" s="50"/>
      <c r="Z3" s="53"/>
      <c r="AA3" s="53"/>
      <c r="AB3" s="53"/>
      <c r="AC3" s="53"/>
      <c r="AD3" s="53"/>
      <c r="AE3" s="53"/>
    </row>
    <row r="4" ht="15.75" customHeight="1">
      <c r="A4" s="29">
        <f t="shared" ref="A4:A14" si="2">ROW()-1</f>
        <v>3</v>
      </c>
      <c r="B4" s="30" t="str">
        <f t="shared" ref="B4:B14" si="3">IFERROR("Q"&amp;(INT(MOD(C4-4,12)/3)+1),"")</f>
        <v>Q2</v>
      </c>
      <c r="C4" s="29">
        <f t="shared" ref="C4:C14" si="4">IFERROR(MONTH(DATEVALUE(D4)),"")</f>
        <v>8</v>
      </c>
      <c r="D4" s="52" t="s">
        <v>52</v>
      </c>
      <c r="E4" s="52" t="s">
        <v>52</v>
      </c>
      <c r="F4" s="36" t="s">
        <v>37</v>
      </c>
      <c r="G4" s="30" t="s">
        <v>54</v>
      </c>
      <c r="H4" s="36" t="s">
        <v>37</v>
      </c>
      <c r="I4" s="44">
        <v>49500.0</v>
      </c>
      <c r="J4" s="44"/>
      <c r="K4" s="32">
        <f t="shared" ref="K4:K14" si="5">IFERROR(K5+J4-I4,"")</f>
        <v>62654</v>
      </c>
      <c r="L4" s="30" t="s">
        <v>45</v>
      </c>
      <c r="M4" s="30" t="s">
        <v>55</v>
      </c>
      <c r="N4" s="36" t="s">
        <v>37</v>
      </c>
      <c r="O4" s="36" t="s">
        <v>37</v>
      </c>
      <c r="P4" s="30" t="s">
        <v>57</v>
      </c>
      <c r="Q4" s="30" t="s">
        <v>58</v>
      </c>
      <c r="R4" s="36" t="s">
        <v>37</v>
      </c>
      <c r="S4" s="36" t="s">
        <v>37</v>
      </c>
      <c r="T4" s="36" t="s">
        <v>37</v>
      </c>
      <c r="U4" s="36" t="s">
        <v>37</v>
      </c>
      <c r="V4" s="36" t="s">
        <v>37</v>
      </c>
      <c r="W4" s="33" t="s">
        <v>59</v>
      </c>
      <c r="X4" s="44">
        <v>62653.97</v>
      </c>
      <c r="Y4" s="44">
        <f t="shared" ref="Y4:Y14" si="6">IFERROR(ROUND(X4-K4,2),"")</f>
        <v>-0.03</v>
      </c>
      <c r="Z4" s="1"/>
      <c r="AA4" s="1"/>
      <c r="AB4" s="1"/>
      <c r="AC4" s="1"/>
      <c r="AD4" s="1"/>
      <c r="AE4" s="1"/>
    </row>
    <row r="5" ht="15.75" customHeight="1">
      <c r="A5" s="29">
        <f t="shared" si="2"/>
        <v>4</v>
      </c>
      <c r="B5" s="30" t="str">
        <f t="shared" si="3"/>
        <v>Q2</v>
      </c>
      <c r="C5" s="29">
        <f t="shared" si="4"/>
        <v>8</v>
      </c>
      <c r="D5" s="52" t="s">
        <v>52</v>
      </c>
      <c r="E5" s="52" t="s">
        <v>52</v>
      </c>
      <c r="F5" s="36" t="s">
        <v>37</v>
      </c>
      <c r="G5" s="30" t="s">
        <v>64</v>
      </c>
      <c r="H5" s="36" t="s">
        <v>37</v>
      </c>
      <c r="I5" s="44">
        <v>30000.0</v>
      </c>
      <c r="J5" s="44"/>
      <c r="K5" s="32">
        <f t="shared" si="5"/>
        <v>112154</v>
      </c>
      <c r="L5" s="30" t="s">
        <v>45</v>
      </c>
      <c r="M5" s="30" t="s">
        <v>67</v>
      </c>
      <c r="N5" s="36" t="s">
        <v>37</v>
      </c>
      <c r="O5" s="36" t="s">
        <v>37</v>
      </c>
      <c r="P5" s="30" t="s">
        <v>57</v>
      </c>
      <c r="Q5" s="30" t="s">
        <v>58</v>
      </c>
      <c r="R5" s="36" t="s">
        <v>37</v>
      </c>
      <c r="S5" s="36" t="s">
        <v>37</v>
      </c>
      <c r="T5" s="36" t="s">
        <v>37</v>
      </c>
      <c r="U5" s="36" t="s">
        <v>37</v>
      </c>
      <c r="V5" s="36" t="s">
        <v>37</v>
      </c>
      <c r="W5" s="57" t="s">
        <v>68</v>
      </c>
      <c r="X5" s="44">
        <v>112153.97</v>
      </c>
      <c r="Y5" s="44">
        <f t="shared" si="6"/>
        <v>-0.03</v>
      </c>
      <c r="Z5" s="1"/>
      <c r="AA5" s="1"/>
      <c r="AB5" s="1"/>
      <c r="AC5" s="1"/>
      <c r="AD5" s="1"/>
      <c r="AE5" s="1"/>
    </row>
    <row r="6" ht="15.75" customHeight="1">
      <c r="A6" s="29">
        <f t="shared" si="2"/>
        <v>5</v>
      </c>
      <c r="B6" s="30" t="str">
        <f t="shared" si="3"/>
        <v>Q2</v>
      </c>
      <c r="C6" s="29">
        <f t="shared" si="4"/>
        <v>8</v>
      </c>
      <c r="D6" s="52" t="s">
        <v>52</v>
      </c>
      <c r="E6" s="52" t="s">
        <v>52</v>
      </c>
      <c r="F6" s="36" t="s">
        <v>37</v>
      </c>
      <c r="G6" s="30" t="s">
        <v>70</v>
      </c>
      <c r="H6" s="36" t="s">
        <v>37</v>
      </c>
      <c r="I6" s="44">
        <v>49500.0</v>
      </c>
      <c r="J6" s="44"/>
      <c r="K6" s="32">
        <f t="shared" si="5"/>
        <v>142154</v>
      </c>
      <c r="L6" s="30" t="s">
        <v>45</v>
      </c>
      <c r="M6" s="30" t="s">
        <v>55</v>
      </c>
      <c r="N6" s="36" t="s">
        <v>37</v>
      </c>
      <c r="O6" s="36" t="s">
        <v>37</v>
      </c>
      <c r="P6" s="30" t="s">
        <v>57</v>
      </c>
      <c r="Q6" s="30" t="s">
        <v>58</v>
      </c>
      <c r="R6" s="36" t="s">
        <v>37</v>
      </c>
      <c r="S6" s="36" t="s">
        <v>37</v>
      </c>
      <c r="T6" s="36" t="s">
        <v>37</v>
      </c>
      <c r="U6" s="36" t="s">
        <v>37</v>
      </c>
      <c r="V6" s="36" t="s">
        <v>37</v>
      </c>
      <c r="W6" s="57" t="s">
        <v>71</v>
      </c>
      <c r="X6" s="44">
        <v>142153.97</v>
      </c>
      <c r="Y6" s="44">
        <f t="shared" si="6"/>
        <v>-0.03</v>
      </c>
      <c r="Z6" s="53"/>
      <c r="AA6" s="53"/>
      <c r="AB6" s="53"/>
      <c r="AC6" s="53"/>
      <c r="AD6" s="53"/>
      <c r="AE6" s="53"/>
    </row>
    <row r="7" ht="15.75" customHeight="1">
      <c r="A7" s="29">
        <f t="shared" si="2"/>
        <v>6</v>
      </c>
      <c r="B7" s="30" t="str">
        <f t="shared" si="3"/>
        <v>Q2</v>
      </c>
      <c r="C7" s="29">
        <f t="shared" si="4"/>
        <v>8</v>
      </c>
      <c r="D7" s="52" t="s">
        <v>52</v>
      </c>
      <c r="E7" s="52" t="s">
        <v>52</v>
      </c>
      <c r="F7" s="36" t="s">
        <v>37</v>
      </c>
      <c r="G7" s="30" t="s">
        <v>76</v>
      </c>
      <c r="H7" s="36" t="s">
        <v>37</v>
      </c>
      <c r="I7" s="44">
        <v>200000.0</v>
      </c>
      <c r="J7" s="44"/>
      <c r="K7" s="32">
        <f t="shared" si="5"/>
        <v>191654</v>
      </c>
      <c r="L7" s="30" t="s">
        <v>45</v>
      </c>
      <c r="M7" s="30" t="s">
        <v>67</v>
      </c>
      <c r="N7" s="36" t="s">
        <v>37</v>
      </c>
      <c r="O7" s="36" t="s">
        <v>37</v>
      </c>
      <c r="P7" s="30" t="s">
        <v>57</v>
      </c>
      <c r="Q7" s="30" t="s">
        <v>58</v>
      </c>
      <c r="R7" s="36" t="s">
        <v>37</v>
      </c>
      <c r="S7" s="36" t="s">
        <v>37</v>
      </c>
      <c r="T7" s="36" t="s">
        <v>37</v>
      </c>
      <c r="U7" s="36" t="s">
        <v>37</v>
      </c>
      <c r="V7" s="36" t="s">
        <v>37</v>
      </c>
      <c r="W7" s="57" t="s">
        <v>80</v>
      </c>
      <c r="X7" s="44">
        <v>191653.97</v>
      </c>
      <c r="Y7" s="44">
        <f t="shared" si="6"/>
        <v>-0.03</v>
      </c>
      <c r="Z7" s="53"/>
      <c r="AA7" s="53"/>
      <c r="AB7" s="53"/>
      <c r="AC7" s="53"/>
      <c r="AD7" s="53"/>
      <c r="AE7" s="53"/>
    </row>
    <row r="8" ht="15.75" customHeight="1">
      <c r="A8" s="29">
        <f t="shared" si="2"/>
        <v>7</v>
      </c>
      <c r="B8" s="30" t="str">
        <f t="shared" si="3"/>
        <v>Q2</v>
      </c>
      <c r="C8" s="29">
        <f t="shared" si="4"/>
        <v>8</v>
      </c>
      <c r="D8" s="52" t="s">
        <v>52</v>
      </c>
      <c r="E8" s="52" t="s">
        <v>52</v>
      </c>
      <c r="F8" s="36" t="s">
        <v>37</v>
      </c>
      <c r="G8" s="30" t="s">
        <v>83</v>
      </c>
      <c r="H8" s="36" t="s">
        <v>37</v>
      </c>
      <c r="I8" s="44">
        <v>10000.0</v>
      </c>
      <c r="J8" s="44"/>
      <c r="K8" s="32">
        <f t="shared" si="5"/>
        <v>391654</v>
      </c>
      <c r="L8" s="30" t="s">
        <v>45</v>
      </c>
      <c r="M8" s="30" t="s">
        <v>85</v>
      </c>
      <c r="N8" s="36" t="s">
        <v>37</v>
      </c>
      <c r="O8" s="36" t="s">
        <v>37</v>
      </c>
      <c r="P8" s="30" t="s">
        <v>57</v>
      </c>
      <c r="Q8" s="30" t="s">
        <v>58</v>
      </c>
      <c r="R8" s="36" t="s">
        <v>37</v>
      </c>
      <c r="S8" s="36" t="s">
        <v>37</v>
      </c>
      <c r="T8" s="36" t="s">
        <v>37</v>
      </c>
      <c r="U8" s="36" t="s">
        <v>37</v>
      </c>
      <c r="V8" s="36" t="s">
        <v>37</v>
      </c>
      <c r="W8" s="57" t="s">
        <v>87</v>
      </c>
      <c r="X8" s="44">
        <v>391653.97</v>
      </c>
      <c r="Y8" s="44">
        <f t="shared" si="6"/>
        <v>-0.03</v>
      </c>
      <c r="Z8" s="53"/>
      <c r="AA8" s="53"/>
      <c r="AB8" s="53"/>
      <c r="AC8" s="53"/>
      <c r="AD8" s="53"/>
      <c r="AE8" s="53"/>
    </row>
    <row r="9" ht="15.75" customHeight="1">
      <c r="A9" s="29">
        <f t="shared" si="2"/>
        <v>8</v>
      </c>
      <c r="B9" s="30" t="str">
        <f t="shared" si="3"/>
        <v>Q2</v>
      </c>
      <c r="C9" s="29">
        <f t="shared" si="4"/>
        <v>8</v>
      </c>
      <c r="D9" s="52" t="s">
        <v>52</v>
      </c>
      <c r="E9" s="52" t="s">
        <v>52</v>
      </c>
      <c r="F9" s="36" t="s">
        <v>37</v>
      </c>
      <c r="G9" s="30" t="s">
        <v>88</v>
      </c>
      <c r="H9" s="36" t="s">
        <v>37</v>
      </c>
      <c r="I9" s="44">
        <v>24750.0</v>
      </c>
      <c r="J9" s="44"/>
      <c r="K9" s="32">
        <f t="shared" si="5"/>
        <v>401654</v>
      </c>
      <c r="L9" s="30" t="s">
        <v>45</v>
      </c>
      <c r="M9" s="30" t="s">
        <v>55</v>
      </c>
      <c r="N9" s="36" t="s">
        <v>37</v>
      </c>
      <c r="O9" s="36" t="s">
        <v>37</v>
      </c>
      <c r="P9" s="30" t="s">
        <v>57</v>
      </c>
      <c r="Q9" s="30" t="s">
        <v>58</v>
      </c>
      <c r="R9" s="36" t="s">
        <v>37</v>
      </c>
      <c r="S9" s="36" t="s">
        <v>37</v>
      </c>
      <c r="T9" s="36" t="s">
        <v>37</v>
      </c>
      <c r="U9" s="36" t="s">
        <v>37</v>
      </c>
      <c r="V9" s="36" t="s">
        <v>37</v>
      </c>
      <c r="W9" s="57" t="s">
        <v>92</v>
      </c>
      <c r="X9" s="44">
        <v>401653.97</v>
      </c>
      <c r="Y9" s="44">
        <f t="shared" si="6"/>
        <v>-0.03</v>
      </c>
      <c r="Z9" s="53"/>
      <c r="AA9" s="53"/>
      <c r="AB9" s="53"/>
      <c r="AC9" s="53"/>
      <c r="AD9" s="53"/>
      <c r="AE9" s="53"/>
    </row>
    <row r="10" ht="15.75" customHeight="1">
      <c r="A10" s="29">
        <f t="shared" si="2"/>
        <v>9</v>
      </c>
      <c r="B10" s="30" t="str">
        <f t="shared" si="3"/>
        <v>Q2</v>
      </c>
      <c r="C10" s="29">
        <f t="shared" si="4"/>
        <v>8</v>
      </c>
      <c r="D10" s="52" t="s">
        <v>52</v>
      </c>
      <c r="E10" s="52" t="s">
        <v>52</v>
      </c>
      <c r="F10" s="36" t="s">
        <v>37</v>
      </c>
      <c r="G10" s="30" t="s">
        <v>96</v>
      </c>
      <c r="H10" s="36" t="s">
        <v>37</v>
      </c>
      <c r="I10" s="44">
        <v>19800.0</v>
      </c>
      <c r="J10" s="44"/>
      <c r="K10" s="32">
        <f t="shared" si="5"/>
        <v>426404</v>
      </c>
      <c r="L10" s="30" t="s">
        <v>45</v>
      </c>
      <c r="M10" s="30" t="s">
        <v>55</v>
      </c>
      <c r="N10" s="36" t="s">
        <v>37</v>
      </c>
      <c r="O10" s="36" t="s">
        <v>37</v>
      </c>
      <c r="P10" s="30" t="s">
        <v>57</v>
      </c>
      <c r="Q10" s="30" t="s">
        <v>58</v>
      </c>
      <c r="R10" s="36" t="s">
        <v>37</v>
      </c>
      <c r="S10" s="36" t="s">
        <v>37</v>
      </c>
      <c r="T10" s="36" t="s">
        <v>37</v>
      </c>
      <c r="U10" s="36" t="s">
        <v>37</v>
      </c>
      <c r="V10" s="36" t="s">
        <v>37</v>
      </c>
      <c r="W10" s="57" t="s">
        <v>102</v>
      </c>
      <c r="X10" s="44">
        <v>426403.97</v>
      </c>
      <c r="Y10" s="44">
        <f t="shared" si="6"/>
        <v>-0.03</v>
      </c>
      <c r="Z10" s="53"/>
      <c r="AA10" s="53"/>
      <c r="AB10" s="53"/>
      <c r="AC10" s="53"/>
      <c r="AD10" s="53"/>
      <c r="AE10" s="53"/>
    </row>
    <row r="11" ht="15.75" customHeight="1">
      <c r="A11" s="29">
        <f t="shared" si="2"/>
        <v>10</v>
      </c>
      <c r="B11" s="30" t="str">
        <f t="shared" si="3"/>
        <v>Q2</v>
      </c>
      <c r="C11" s="29">
        <f t="shared" si="4"/>
        <v>8</v>
      </c>
      <c r="D11" s="52" t="s">
        <v>52</v>
      </c>
      <c r="E11" s="52" t="s">
        <v>52</v>
      </c>
      <c r="F11" s="36" t="s">
        <v>37</v>
      </c>
      <c r="G11" s="30" t="s">
        <v>106</v>
      </c>
      <c r="H11" s="36" t="s">
        <v>37</v>
      </c>
      <c r="I11" s="44">
        <v>29898.0</v>
      </c>
      <c r="J11" s="44"/>
      <c r="K11" s="32">
        <f t="shared" si="5"/>
        <v>446204</v>
      </c>
      <c r="L11" s="30" t="s">
        <v>45</v>
      </c>
      <c r="M11" s="30" t="s">
        <v>110</v>
      </c>
      <c r="N11" s="36" t="s">
        <v>37</v>
      </c>
      <c r="O11" s="36" t="s">
        <v>37</v>
      </c>
      <c r="P11" s="30" t="s">
        <v>57</v>
      </c>
      <c r="Q11" s="30" t="s">
        <v>58</v>
      </c>
      <c r="R11" s="36" t="s">
        <v>37</v>
      </c>
      <c r="S11" s="36" t="s">
        <v>37</v>
      </c>
      <c r="T11" s="36" t="s">
        <v>37</v>
      </c>
      <c r="U11" s="36" t="s">
        <v>37</v>
      </c>
      <c r="V11" s="36" t="s">
        <v>37</v>
      </c>
      <c r="W11" s="33" t="s">
        <v>113</v>
      </c>
      <c r="X11" s="44">
        <v>446203.97</v>
      </c>
      <c r="Y11" s="44">
        <f t="shared" si="6"/>
        <v>-0.03</v>
      </c>
      <c r="Z11" s="53"/>
      <c r="AA11" s="53"/>
      <c r="AB11" s="53"/>
      <c r="AC11" s="53"/>
      <c r="AD11" s="53"/>
      <c r="AE11" s="53"/>
    </row>
    <row r="12" ht="15.75" customHeight="1">
      <c r="A12" s="29">
        <f t="shared" si="2"/>
        <v>11</v>
      </c>
      <c r="B12" s="30" t="str">
        <f t="shared" si="3"/>
        <v>Q2</v>
      </c>
      <c r="C12" s="29">
        <f t="shared" si="4"/>
        <v>8</v>
      </c>
      <c r="D12" s="52" t="s">
        <v>52</v>
      </c>
      <c r="E12" s="52" t="s">
        <v>52</v>
      </c>
      <c r="F12" s="36" t="s">
        <v>37</v>
      </c>
      <c r="G12" s="30" t="s">
        <v>114</v>
      </c>
      <c r="H12" s="36" t="s">
        <v>37</v>
      </c>
      <c r="I12" s="44">
        <v>17684.0</v>
      </c>
      <c r="J12" s="44"/>
      <c r="K12" s="32">
        <f t="shared" si="5"/>
        <v>476102</v>
      </c>
      <c r="L12" s="30" t="s">
        <v>45</v>
      </c>
      <c r="M12" s="30" t="s">
        <v>110</v>
      </c>
      <c r="N12" s="36" t="s">
        <v>37</v>
      </c>
      <c r="O12" s="36" t="s">
        <v>37</v>
      </c>
      <c r="P12" s="30" t="s">
        <v>57</v>
      </c>
      <c r="Q12" s="30" t="s">
        <v>58</v>
      </c>
      <c r="R12" s="36" t="s">
        <v>37</v>
      </c>
      <c r="S12" s="36" t="s">
        <v>37</v>
      </c>
      <c r="T12" s="36" t="s">
        <v>37</v>
      </c>
      <c r="U12" s="36" t="s">
        <v>37</v>
      </c>
      <c r="V12" s="36" t="s">
        <v>37</v>
      </c>
      <c r="W12" s="57" t="s">
        <v>120</v>
      </c>
      <c r="X12" s="44">
        <v>476101.97</v>
      </c>
      <c r="Y12" s="44">
        <f t="shared" si="6"/>
        <v>-0.03</v>
      </c>
      <c r="Z12" s="53"/>
      <c r="AA12" s="53"/>
      <c r="AB12" s="53"/>
      <c r="AC12" s="53"/>
      <c r="AD12" s="53"/>
      <c r="AE12" s="53"/>
    </row>
    <row r="13" ht="15.75" customHeight="1">
      <c r="A13" s="29">
        <f t="shared" si="2"/>
        <v>12</v>
      </c>
      <c r="B13" s="30" t="str">
        <f t="shared" si="3"/>
        <v>Q2</v>
      </c>
      <c r="C13" s="29">
        <f t="shared" si="4"/>
        <v>8</v>
      </c>
      <c r="D13" s="52" t="s">
        <v>52</v>
      </c>
      <c r="E13" s="52" t="s">
        <v>52</v>
      </c>
      <c r="F13" s="36" t="s">
        <v>37</v>
      </c>
      <c r="G13" s="30" t="s">
        <v>121</v>
      </c>
      <c r="H13" s="36" t="s">
        <v>37</v>
      </c>
      <c r="I13" s="44">
        <v>148500.0</v>
      </c>
      <c r="J13" s="44"/>
      <c r="K13" s="32">
        <f t="shared" si="5"/>
        <v>493786</v>
      </c>
      <c r="L13" s="30" t="s">
        <v>45</v>
      </c>
      <c r="M13" s="30" t="s">
        <v>55</v>
      </c>
      <c r="N13" s="36" t="s">
        <v>37</v>
      </c>
      <c r="O13" s="36" t="s">
        <v>37</v>
      </c>
      <c r="P13" s="30" t="s">
        <v>57</v>
      </c>
      <c r="Q13" s="30" t="s">
        <v>58</v>
      </c>
      <c r="R13" s="36" t="s">
        <v>37</v>
      </c>
      <c r="S13" s="36" t="s">
        <v>37</v>
      </c>
      <c r="T13" s="36" t="s">
        <v>37</v>
      </c>
      <c r="U13" s="36" t="s">
        <v>37</v>
      </c>
      <c r="V13" s="36" t="s">
        <v>37</v>
      </c>
      <c r="W13" s="57" t="s">
        <v>125</v>
      </c>
      <c r="X13" s="44">
        <v>493785.97</v>
      </c>
      <c r="Y13" s="44">
        <f t="shared" si="6"/>
        <v>-0.03</v>
      </c>
      <c r="Z13" s="53"/>
      <c r="AA13" s="53"/>
      <c r="AB13" s="53"/>
      <c r="AC13" s="53"/>
      <c r="AD13" s="53"/>
      <c r="AE13" s="53"/>
    </row>
    <row r="14" ht="15.75" customHeight="1">
      <c r="A14" s="29">
        <f t="shared" si="2"/>
        <v>13</v>
      </c>
      <c r="B14" s="30" t="str">
        <f t="shared" si="3"/>
        <v>Q2</v>
      </c>
      <c r="C14" s="29">
        <f t="shared" si="4"/>
        <v>8</v>
      </c>
      <c r="D14" s="52" t="s">
        <v>52</v>
      </c>
      <c r="E14" s="52" t="s">
        <v>52</v>
      </c>
      <c r="F14" s="36" t="s">
        <v>37</v>
      </c>
      <c r="G14" s="30" t="s">
        <v>129</v>
      </c>
      <c r="H14" s="36" t="s">
        <v>37</v>
      </c>
      <c r="I14" s="44">
        <v>29700.0</v>
      </c>
      <c r="J14" s="44"/>
      <c r="K14" s="32">
        <f t="shared" si="5"/>
        <v>642286</v>
      </c>
      <c r="L14" s="30" t="s">
        <v>45</v>
      </c>
      <c r="M14" s="30" t="s">
        <v>55</v>
      </c>
      <c r="N14" s="36" t="s">
        <v>37</v>
      </c>
      <c r="O14" s="36" t="s">
        <v>37</v>
      </c>
      <c r="P14" s="30" t="s">
        <v>57</v>
      </c>
      <c r="Q14" s="30" t="s">
        <v>58</v>
      </c>
      <c r="R14" s="36" t="s">
        <v>37</v>
      </c>
      <c r="S14" s="36" t="s">
        <v>37</v>
      </c>
      <c r="T14" s="36" t="s">
        <v>37</v>
      </c>
      <c r="U14" s="36" t="s">
        <v>37</v>
      </c>
      <c r="V14" s="36" t="s">
        <v>37</v>
      </c>
      <c r="W14" s="57" t="s">
        <v>133</v>
      </c>
      <c r="X14" s="44">
        <v>642285.97</v>
      </c>
      <c r="Y14" s="44">
        <f t="shared" si="6"/>
        <v>-0.03</v>
      </c>
      <c r="Z14" s="53"/>
      <c r="AA14" s="53"/>
      <c r="AB14" s="53"/>
      <c r="AC14" s="53"/>
      <c r="AD14" s="53"/>
      <c r="AE14" s="53"/>
    </row>
    <row r="15" ht="15.75" customHeight="1">
      <c r="A15" s="45">
        <v>419.0</v>
      </c>
      <c r="B15" s="30"/>
      <c r="C15" s="29"/>
      <c r="D15" s="31">
        <v>46256.0</v>
      </c>
      <c r="E15" s="31">
        <v>46256.0</v>
      </c>
      <c r="F15" s="36"/>
      <c r="G15" s="30" t="s">
        <v>141</v>
      </c>
      <c r="H15" s="30" t="s">
        <v>73</v>
      </c>
      <c r="I15" s="47"/>
      <c r="J15" s="47">
        <v>600000.0</v>
      </c>
      <c r="K15" s="48">
        <f t="shared" ref="K15:K431" si="7">K16+J15-I15</f>
        <v>671986</v>
      </c>
      <c r="L15" s="30" t="s">
        <v>45</v>
      </c>
      <c r="M15" s="30" t="s">
        <v>47</v>
      </c>
      <c r="N15" s="36"/>
      <c r="O15" s="36"/>
      <c r="P15" s="30" t="s">
        <v>74</v>
      </c>
      <c r="Q15" s="30" t="s">
        <v>50</v>
      </c>
      <c r="R15" s="36"/>
      <c r="S15" s="36"/>
      <c r="T15" s="36"/>
      <c r="U15" s="30" t="s">
        <v>75</v>
      </c>
      <c r="V15" s="36"/>
      <c r="W15" s="51" t="str">
        <f>IFERROR(__xludf.DUMMYFUNCTION("LET(ref, IF(ISBLANK(H15), ""N/A"", H15), vendor, IF(ISNUMBER(SEARCH(""/"", G15)), TRIM(LEFT(SUBSTITUTE(MID(G15, SEARCH(""/"", G15)+1, 100), ""/"", REPT("" "", 100)), 100)), ""Vendor""), apt, IF(OR(ISBLANK(S15), TRIM(S15)="""", TRIM(S15)=""-""), """", "" |"&amp;" Apt: "" &amp; S15), IF(ISBLANK(U15), ""Remarks Compulsory For Narration"", TRIM(IF(M15=""Internal"", IF(LEN(G15)-LEN(SUBSTITUTE(G15,""-"",""""))&gt;=3, IF(N(J15)&gt;0, ""Internal Fund Transfer (From x"" &amp; RIGHT(MID(G15, FIND(""-"", SUBSTITUTE(G15, ""-"", ""-"", 3)"&amp;") + 1, LEN(G15)), 4) &amp; "" to YES IDW 0490)"", ""Internal Fund Transfer (From YES IDW 0490 to x"" &amp; RIGHT(MID(G15, FIND(""-"", SUBSTITUTE(G15, ""-"", ""-"", 3)) + 1, LEN(G15)), 4) &amp; "")"") &amp; "" | Ref: "" &amp; ref &amp; "" | Type: "" &amp; P15 &amp; "" | BU: "" &amp; L15 &amp; """&amp;" | Head: "" &amp; M15, ""Internal Transfer | Ref: "" &amp; ref &amp; "" | Type: "" &amp; P15 &amp; "" | BU: "" &amp; L15 &amp; "" | Head: "" &amp; M15), IF(N(J15)&gt;0, IF(P15=""Customer Collection"", ""Receipt Credit (Collection) "" &amp; apt &amp; "" | Ref: "" &amp; ref &amp; "" | From: "" &amp; IF(ISNUMBER"&amp;"(SEARCH(""SOHNA ROAD"", G15)), ""Sohna Road"", ""Party"") &amp; "" | BU: "" &amp; L15, ""Receipt Credit from x"" &amp; RIGHT(MID(G15, FIND(""-"", SUBSTITUTE(G15, ""-"", ""-"", 3)) + 1, LEN(G15)), 4) &amp; "" (Purpose: "" &amp; IF(OR(ISBLANK(U15), U15=""N/A""), L15, U15) &amp; """&amp;") "" &amp; apt &amp; "" | Ref: "" &amp; ref &amp; "" | BU: "" &amp; L15 &amp; "" | Head: "" &amp; M15), ""Payment Disbursement (Purpose: "" &amp; IF(ISNUMBER(SEARCH(""salary"", M15)), ""Salary"", U15) &amp; "") | To: "" &amp; IF(ISNUMBER(SEARCH(""/"",G15)), IF(ISNUMBER(SEARCH(""FINO PAYMENTS"","&amp;"G15)), MID(G15, FIND(""/"",G15, SEARCH(""FINO PAYMENTS"",G15))+1, FIND(""/"", G15, FIND(""/"",G15, SEARCH(""FINO PAYMENTS"",G15))+1) - FIND(""/"",G15, SEARCH(""FINO PAYMENTS"",G15)) - 1), IFERROR(REGEXEXTRACT(G15, ""(?:[^/]*/){6}([^/]+)""), TRIM(RIGHT(SUB"&amp;"STITUTE(G15,""/"",REPT("" "",LEN(G15))),LEN(G15))))), IFERROR(MID(G15, FIND(""-"", G15, FIND(""-"", G15, FIND(""-"", G15) + 1) + 1) + 1, FIND(""-"", G15, FIND(""-"", G15, FIND(""-"", G15, FIND(""-"", G15) + 1) + 1) + 1) - FIND(""-"", G15, FIND(""-"", G15,"&amp;" FIND(""-"", G15) + 1) + 1) - 1), ""Vendor"")) &amp; "" | Ref: "" &amp; ref &amp; "" | BU: "" &amp; L15 &amp; "" | Head: "" &amp; M15 &amp; apt)))))"),"Internal Fund Transfer (From x2477 to YES IDW 0490) | Ref: YESME6234001095800 | Type: Free &amp; IDW Loan | BU: Casa Romana | Head: Internal")</f>
        <v>Internal Fund Transfer (From x2477 to YES IDW 0490) | Ref: YESME6234001095800 | Type: Free &amp; IDW Loan | BU: Casa Romana | Head: Internal</v>
      </c>
      <c r="X15" s="44"/>
      <c r="Y15" s="50"/>
      <c r="Z15" s="53"/>
      <c r="AA15" s="53"/>
      <c r="AB15" s="53"/>
      <c r="AC15" s="53"/>
      <c r="AD15" s="53"/>
      <c r="AE15" s="53"/>
    </row>
    <row r="16" ht="15.75" customHeight="1">
      <c r="A16" s="45">
        <v>418.0</v>
      </c>
      <c r="B16" s="30" t="s">
        <v>150</v>
      </c>
      <c r="C16" s="29">
        <v>8.0</v>
      </c>
      <c r="D16" s="31">
        <v>46254.0</v>
      </c>
      <c r="E16" s="31">
        <v>46254.0</v>
      </c>
      <c r="F16" s="36"/>
      <c r="G16" s="30" t="s">
        <v>153</v>
      </c>
      <c r="H16" s="30" t="s">
        <v>154</v>
      </c>
      <c r="I16" s="47">
        <v>21780.0</v>
      </c>
      <c r="J16" s="47"/>
      <c r="K16" s="48">
        <f t="shared" si="7"/>
        <v>71986</v>
      </c>
      <c r="L16" s="30" t="s">
        <v>45</v>
      </c>
      <c r="M16" s="30" t="s">
        <v>55</v>
      </c>
      <c r="N16" s="36"/>
      <c r="O16" s="36"/>
      <c r="P16" s="30" t="s">
        <v>57</v>
      </c>
      <c r="Q16" s="30" t="s">
        <v>58</v>
      </c>
      <c r="R16" s="36"/>
      <c r="S16" s="36"/>
      <c r="T16" s="36"/>
      <c r="U16" s="30" t="s">
        <v>156</v>
      </c>
      <c r="V16" s="36"/>
      <c r="W16" s="51" t="str">
        <f>IFERROR(__xludf.DUMMYFUNCTION("LET(ref, IF(ISBLANK(H16), ""N/A"", H16), vendor, IF(ISNUMBER(SEARCH(""/"", G16)), TRIM(LEFT(SUBSTITUTE(MID(G16, SEARCH(""/"", G16)+1, 100), ""/"", REPT("" "", 100)), 100)), ""Vendor""), apt, IF(OR(ISBLANK(S16), TRIM(S16)="""", TRIM(S16)=""-""), """", "" |"&amp;" Apt: "" &amp; S16), IF(ISBLANK(U16), ""Remarks Compulsory For Narration"", TRIM(IF(M16=""Internal"", IF(LEN(G16)-LEN(SUBSTITUTE(G16,""-"",""""))&gt;=3, IF(N(J16)&gt;0, ""Internal Fund Transfer (From x"" &amp; RIGHT(MID(G16, FIND(""-"", SUBSTITUTE(G16, ""-"", ""-"", 3)"&amp;") + 1, LEN(G16)), 4) &amp; "" to YES IDW 0490)"", ""Internal Fund Transfer (From YES IDW 0490 to x"" &amp; RIGHT(MID(G16, FIND(""-"", SUBSTITUTE(G16, ""-"", ""-"", 3)) + 1, LEN(G16)), 4) &amp; "")"") &amp; "" | Ref: "" &amp; ref &amp; "" | Type: "" &amp; P16 &amp; "" | BU: "" &amp; L16 &amp; """&amp;" | Head: "" &amp; M16, ""Internal Transfer | Ref: "" &amp; ref &amp; "" | Type: "" &amp; P16 &amp; "" | BU: "" &amp; L16 &amp; "" | Head: "" &amp; M16), IF(N(J16)&gt;0, IF(P16=""Customer Collection"", ""Receipt Credit (Collection) "" &amp; apt &amp; "" | Ref: "" &amp; ref &amp; "" | From: "" &amp; IF(ISNUMBER"&amp;"(SEARCH(""SOHNA ROAD"", G16)), ""Sohna Road"", ""Party"") &amp; "" | BU: "" &amp; L16, ""Receipt Credit from x"" &amp; RIGHT(MID(G16, FIND(""-"", SUBSTITUTE(G16, ""-"", ""-"", 3)) + 1, LEN(G16)), 4) &amp; "" (Purpose: "" &amp; IF(OR(ISBLANK(U16), U16=""N/A""), L16, U16) &amp; """&amp;") "" &amp; apt &amp; "" | Ref: "" &amp; ref &amp; "" | BU: "" &amp; L16 &amp; "" | Head: "" &amp; M16), ""Payment Disbursement (Purpose: "" &amp; IF(ISNUMBER(SEARCH(""salary"", M16)), ""Salary"", U16) &amp; "") | To: "" &amp; IF(ISNUMBER(SEARCH(""/"",G16)), IF(ISNUMBER(SEARCH(""FINO PAYMENTS"","&amp;"G16)), MID(G16, FIND(""/"",G16, SEARCH(""FINO PAYMENTS"",G16))+1, FIND(""/"", G16, FIND(""/"",G16, SEARCH(""FINO PAYMENTS"",G16))+1) - FIND(""/"",G16, SEARCH(""FINO PAYMENTS"",G16)) - 1), IFERROR(REGEXEXTRACT(G16, ""(?:[^/]*/){6}([^/]+)""), TRIM(RIGHT(SUB"&amp;"STITUTE(G16,""/"",REPT("" "",LEN(G16))),LEN(G16))))), IFERROR(MID(G16, FIND(""-"", G16, FIND(""-"", G16, FIND(""-"", G16) + 1) + 1) + 1, FIND(""-"", G16, FIND(""-"", G16, FIND(""-"", G16, FIND(""-"", G16) + 1) + 1) + 1) - FIND(""-"", G16, FIND(""-"", G16,"&amp;" FIND(""-"", G16) + 1) + 1) - 1), ""Vendor"")) &amp; "" | Ref: "" &amp; ref &amp; "" | BU: "" &amp; L16 &amp; "" | Head: "" &amp; M16 &amp; apt)))))"),"Payment Disbursement (Purpose: Construction Expenses) | To: Ram Kishan | Ref: YESME6232005533200 | BU: Casa Romana | Head: Contractor")</f>
        <v>Payment Disbursement (Purpose: Construction Expenses) | To: Ram Kishan | Ref: YESME6232005533200 | BU: Casa Romana | Head: Contractor</v>
      </c>
      <c r="X16" s="44">
        <v>71986.0</v>
      </c>
      <c r="Y16" s="50">
        <v>0.0</v>
      </c>
      <c r="Z16" s="53"/>
      <c r="AA16" s="53"/>
      <c r="AB16" s="53"/>
      <c r="AC16" s="53"/>
      <c r="AD16" s="53"/>
      <c r="AE16" s="53"/>
    </row>
    <row r="17" ht="15.75" customHeight="1">
      <c r="A17" s="45">
        <v>417.0</v>
      </c>
      <c r="B17" s="30" t="str">
        <f t="shared" ref="B17:B84" si="8">IFERROR("Q"&amp;(INT(MOD(C17-4,12)/3)+1),"")</f>
        <v>Q2</v>
      </c>
      <c r="C17" s="29">
        <f t="shared" ref="C17:C84" si="9">IFERROR(MONTH(DATEVALUE(D17)),"")</f>
        <v>8</v>
      </c>
      <c r="D17" s="31">
        <v>46254.0</v>
      </c>
      <c r="E17" s="31">
        <v>46254.0</v>
      </c>
      <c r="F17" s="36" t="s">
        <v>37</v>
      </c>
      <c r="G17" s="30" t="s">
        <v>161</v>
      </c>
      <c r="H17" s="30" t="s">
        <v>162</v>
      </c>
      <c r="I17" s="47">
        <v>10616.0</v>
      </c>
      <c r="J17" s="47"/>
      <c r="K17" s="48">
        <f t="shared" si="7"/>
        <v>93766</v>
      </c>
      <c r="L17" s="30" t="s">
        <v>45</v>
      </c>
      <c r="M17" s="30" t="s">
        <v>110</v>
      </c>
      <c r="N17" s="36" t="s">
        <v>37</v>
      </c>
      <c r="O17" s="36" t="s">
        <v>37</v>
      </c>
      <c r="P17" s="30" t="s">
        <v>57</v>
      </c>
      <c r="Q17" s="30" t="s">
        <v>58</v>
      </c>
      <c r="R17" s="36" t="s">
        <v>37</v>
      </c>
      <c r="S17" s="36" t="s">
        <v>37</v>
      </c>
      <c r="T17" s="36" t="s">
        <v>37</v>
      </c>
      <c r="U17" s="30" t="s">
        <v>103</v>
      </c>
      <c r="V17" s="36" t="s">
        <v>37</v>
      </c>
      <c r="W17" s="51" t="str">
        <f>IFERROR(__xludf.DUMMYFUNCTION("LET(ref, IF(ISBLANK(H17), ""N/A"", H17), vendor, IF(ISNUMBER(SEARCH(""/"", G17)), TRIM(LEFT(SUBSTITUTE(MID(G17, SEARCH(""/"", G17)+1, 100), ""/"", REPT("" "", 100)), 100)), ""Vendor""), apt, IF(OR(ISBLANK(S17), TRIM(S17)="""", TRIM(S17)=""-""), """", "" |"&amp;" Apt: "" &amp; S17), IF(ISBLANK(U17), ""Remarks Compulsory For Narration"", TRIM(IF(M17=""Internal"", IF(LEN(G17)-LEN(SUBSTITUTE(G17,""-"",""""))&gt;=3, IF(N(J17)&gt;0, ""Internal Fund Transfer (From x"" &amp; RIGHT(MID(G17, FIND(""-"", SUBSTITUTE(G17, ""-"", ""-"", 3)"&amp;") + 1, LEN(G17)), 4) &amp; "" to YES IDW 0490)"", ""Internal Fund Transfer (From YES IDW 0490 to x"" &amp; RIGHT(MID(G17, FIND(""-"", SUBSTITUTE(G17, ""-"", ""-"", 3)) + 1, LEN(G17)), 4) &amp; "")"") &amp; "" | Ref: "" &amp; ref &amp; "" | Type: "" &amp; P17 &amp; "" | BU: "" &amp; L17 &amp; """&amp;" | Head: "" &amp; M17, ""Internal Transfer | Ref: "" &amp; ref &amp; "" | Type: "" &amp; P17 &amp; "" | BU: "" &amp; L17 &amp; "" | Head: "" &amp; M17), IF(N(J17)&gt;0, IF(P17=""Customer Collection"", ""Receipt Credit (Collection) "" &amp; apt &amp; "" | Ref: "" &amp; ref &amp; "" | From: "" &amp; IF(ISNUMBER"&amp;"(SEARCH(""SOHNA ROAD"", G17)), ""Sohna Road"", ""Party"") &amp; "" | BU: "" &amp; L17, ""Receipt Credit from x"" &amp; RIGHT(MID(G17, FIND(""-"", SUBSTITUTE(G17, ""-"", ""-"", 3)) + 1, LEN(G17)), 4) &amp; "" (Purpose: "" &amp; IF(OR(ISBLANK(U17), U17=""N/A""), L17, U17) &amp; """&amp;") "" &amp; apt &amp; "" | Ref: "" &amp; ref &amp; "" | BU: "" &amp; L17 &amp; "" | Head: "" &amp; M17), ""Payment Disbursement (Purpose: "" &amp; IF(ISNUMBER(SEARCH(""salary"", M17)), ""Salary"", U17) &amp; "") | To: "" &amp; IF(ISNUMBER(SEARCH(""/"",G17)), IF(ISNUMBER(SEARCH(""FINO PAYMENTS"","&amp;"G17)), MID(G17, FIND(""/"",G17, SEARCH(""FINO PAYMENTS"",G17))+1, FIND(""/"", G17, FIND(""/"",G17, SEARCH(""FINO PAYMENTS"",G17))+1) - FIND(""/"",G17, SEARCH(""FINO PAYMENTS"",G17)) - 1), IFERROR(REGEXEXTRACT(G17, ""(?:[^/]*/){6}([^/]+)""), TRIM(RIGHT(SUB"&amp;"STITUTE(G17,""/"",REPT("" "",LEN(G17))),LEN(G17))))), IFERROR(MID(G17, FIND(""-"", G17, FIND(""-"", G17, FIND(""-"", G17) + 1) + 1) + 1, FIND(""-"", G17, FIND(""-"", G17, FIND(""-"", G17, FIND(""-"", G17) + 1) + 1) + 1) - FIND(""-"", G17, FIND(""-"", G17,"&amp;" FIND(""-"", G17) + 1) + 1) - 1), ""Vendor"")) &amp; "" | Ref: "" &amp; ref &amp; "" | BU: "" &amp; L17 &amp; "" | Head: "" &amp; M17 &amp; apt)))))"),"Payment Disbursement (Purpose: Salary) | To: Ramabati Devi | Ref: YESME6232005353800 | BU: Casa Romana | Head: Salary Site")</f>
        <v>Payment Disbursement (Purpose: Salary) | To: Ramabati Devi | Ref: YESME6232005353800 | BU: Casa Romana | Head: Salary Site</v>
      </c>
      <c r="X17" s="44">
        <v>82601.97</v>
      </c>
      <c r="Y17" s="50">
        <f t="shared" ref="Y17:Y40" si="10">IFERROR(ROUND(X17-K17,2),"")</f>
        <v>-11164.03</v>
      </c>
      <c r="Z17" s="53"/>
      <c r="AA17" s="53"/>
      <c r="AB17" s="53"/>
      <c r="AC17" s="53"/>
      <c r="AD17" s="53"/>
      <c r="AE17" s="53"/>
    </row>
    <row r="18" ht="15.75" customHeight="1">
      <c r="A18" s="45">
        <v>416.0</v>
      </c>
      <c r="B18" s="30" t="str">
        <f t="shared" si="8"/>
        <v>Q2</v>
      </c>
      <c r="C18" s="29">
        <f t="shared" si="9"/>
        <v>8</v>
      </c>
      <c r="D18" s="31">
        <v>46254.0</v>
      </c>
      <c r="E18" s="31">
        <v>46254.0</v>
      </c>
      <c r="F18" s="36" t="s">
        <v>37</v>
      </c>
      <c r="G18" s="30" t="s">
        <v>171</v>
      </c>
      <c r="H18" s="30" t="s">
        <v>172</v>
      </c>
      <c r="I18" s="47">
        <v>11290.0</v>
      </c>
      <c r="J18" s="47"/>
      <c r="K18" s="48">
        <f t="shared" si="7"/>
        <v>104382</v>
      </c>
      <c r="L18" s="30" t="s">
        <v>45</v>
      </c>
      <c r="M18" s="30" t="s">
        <v>110</v>
      </c>
      <c r="N18" s="36" t="s">
        <v>37</v>
      </c>
      <c r="O18" s="36" t="s">
        <v>60</v>
      </c>
      <c r="P18" s="30" t="s">
        <v>57</v>
      </c>
      <c r="Q18" s="30" t="s">
        <v>58</v>
      </c>
      <c r="R18" s="36" t="s">
        <v>37</v>
      </c>
      <c r="S18" s="36" t="s">
        <v>37</v>
      </c>
      <c r="T18" s="36" t="s">
        <v>37</v>
      </c>
      <c r="U18" s="30" t="s">
        <v>103</v>
      </c>
      <c r="V18" s="36" t="s">
        <v>37</v>
      </c>
      <c r="W18" s="51" t="str">
        <f>IFERROR(__xludf.DUMMYFUNCTION("LET(ref, IF(ISBLANK(H18), ""N/A"", H18), vendor, IF(ISNUMBER(SEARCH(""/"", G18)), TRIM(LEFT(SUBSTITUTE(MID(G18, SEARCH(""/"", G18)+1, 100), ""/"", REPT("" "", 100)), 100)), ""Vendor""), apt, IF(OR(ISBLANK(S18), TRIM(S18)="""", TRIM(S18)=""-""), """", "" |"&amp;" Apt: "" &amp; S18), IF(ISBLANK(U18), ""Remarks Compulsory For Narration"", TRIM(IF(M18=""Internal"", IF(LEN(G18)-LEN(SUBSTITUTE(G18,""-"",""""))&gt;=3, IF(N(J18)&gt;0, ""Internal Fund Transfer (From x"" &amp; RIGHT(MID(G18, FIND(""-"", SUBSTITUTE(G18, ""-"", ""-"", 3)"&amp;") + 1, LEN(G18)), 4) &amp; "" to YES IDW 0490)"", ""Internal Fund Transfer (From YES IDW 0490 to x"" &amp; RIGHT(MID(G18, FIND(""-"", SUBSTITUTE(G18, ""-"", ""-"", 3)) + 1, LEN(G18)), 4) &amp; "")"") &amp; "" | Ref: "" &amp; ref &amp; "" | Type: "" &amp; P18 &amp; "" | BU: "" &amp; L18 &amp; """&amp;" | Head: "" &amp; M18, ""Internal Transfer | Ref: "" &amp; ref &amp; "" | Type: "" &amp; P18 &amp; "" | BU: "" &amp; L18 &amp; "" | Head: "" &amp; M18), IF(N(J18)&gt;0, IF(P18=""Customer Collection"", ""Receipt Credit (Collection) "" &amp; apt &amp; "" | Ref: "" &amp; ref &amp; "" | From: "" &amp; IF(ISNUMBER"&amp;"(SEARCH(""SOHNA ROAD"", G18)), ""Sohna Road"", ""Party"") &amp; "" | BU: "" &amp; L18, ""Receipt Credit from x"" &amp; RIGHT(MID(G18, FIND(""-"", SUBSTITUTE(G18, ""-"", ""-"", 3)) + 1, LEN(G18)), 4) &amp; "" (Purpose: "" &amp; IF(OR(ISBLANK(U18), U18=""N/A""), L18, U18) &amp; """&amp;") "" &amp; apt &amp; "" | Ref: "" &amp; ref &amp; "" | BU: "" &amp; L18 &amp; "" | Head: "" &amp; M18), ""Payment Disbursement (Purpose: "" &amp; IF(ISNUMBER(SEARCH(""salary"", M18)), ""Salary"", U18) &amp; "") | To: "" &amp; IF(ISNUMBER(SEARCH(""/"",G18)), IF(ISNUMBER(SEARCH(""FINO PAYMENTS"","&amp;"G18)), MID(G18, FIND(""/"",G18, SEARCH(""FINO PAYMENTS"",G18))+1, FIND(""/"", G18, FIND(""/"",G18, SEARCH(""FINO PAYMENTS"",G18))+1) - FIND(""/"",G18, SEARCH(""FINO PAYMENTS"",G18)) - 1), IFERROR(REGEXEXTRACT(G18, ""(?:[^/]*/){6}([^/]+)""), TRIM(RIGHT(SUB"&amp;"STITUTE(G18,""/"",REPT("" "",LEN(G18))),LEN(G18))))), IFERROR(MID(G18, FIND(""-"", G18, FIND(""-"", G18, FIND(""-"", G18) + 1) + 1) + 1, FIND(""-"", G18, FIND(""-"", G18, FIND(""-"", G18, FIND(""-"", G18) + 1) + 1) + 1) - FIND(""-"", G18, FIND(""-"", G18,"&amp;" FIND(""-"", G18) + 1) + 1) - 1), ""Vendor"")) &amp; "" | Ref: "" &amp; ref &amp; "" | BU: "" &amp; L18 &amp; "" | Head: "" &amp; M18 &amp; apt)))))"),"Payment Disbursement (Purpose: Salary) | To: Santosh | Ref: YESME6232005353500 | BU: Casa Romana | Head: Salary Site")</f>
        <v>Payment Disbursement (Purpose: Salary) | To: Santosh | Ref: YESME6232005353500 | BU: Casa Romana | Head: Salary Site</v>
      </c>
      <c r="X18" s="44">
        <v>104381.97</v>
      </c>
      <c r="Y18" s="50">
        <f t="shared" si="10"/>
        <v>-0.03</v>
      </c>
      <c r="Z18" s="53"/>
      <c r="AA18" s="53"/>
      <c r="AB18" s="53"/>
      <c r="AC18" s="53"/>
      <c r="AD18" s="53"/>
      <c r="AE18" s="53"/>
    </row>
    <row r="19" ht="15.75" customHeight="1">
      <c r="A19" s="45">
        <v>415.0</v>
      </c>
      <c r="B19" s="30" t="str">
        <f t="shared" si="8"/>
        <v>Q2</v>
      </c>
      <c r="C19" s="29">
        <f t="shared" si="9"/>
        <v>8</v>
      </c>
      <c r="D19" s="31">
        <v>46254.0</v>
      </c>
      <c r="E19" s="31">
        <v>46254.0</v>
      </c>
      <c r="F19" s="36" t="s">
        <v>37</v>
      </c>
      <c r="G19" s="30" t="s">
        <v>179</v>
      </c>
      <c r="H19" s="30" t="s">
        <v>181</v>
      </c>
      <c r="I19" s="47">
        <v>29750.0</v>
      </c>
      <c r="J19" s="47"/>
      <c r="K19" s="48">
        <f t="shared" si="7"/>
        <v>115672</v>
      </c>
      <c r="L19" s="30" t="s">
        <v>45</v>
      </c>
      <c r="M19" s="30" t="s">
        <v>110</v>
      </c>
      <c r="N19" s="36" t="s">
        <v>37</v>
      </c>
      <c r="O19" s="36" t="s">
        <v>60</v>
      </c>
      <c r="P19" s="30" t="s">
        <v>57</v>
      </c>
      <c r="Q19" s="30" t="s">
        <v>58</v>
      </c>
      <c r="R19" s="36" t="s">
        <v>37</v>
      </c>
      <c r="S19" s="36" t="s">
        <v>37</v>
      </c>
      <c r="T19" s="36" t="s">
        <v>37</v>
      </c>
      <c r="U19" s="30" t="s">
        <v>103</v>
      </c>
      <c r="V19" s="36" t="s">
        <v>37</v>
      </c>
      <c r="W19" s="51" t="str">
        <f>IFERROR(__xludf.DUMMYFUNCTION("LET(ref, IF(ISBLANK(H19), ""N/A"", H19), vendor, IF(ISNUMBER(SEARCH(""/"", G19)), TRIM(LEFT(SUBSTITUTE(MID(G19, SEARCH(""/"", G19)+1, 100), ""/"", REPT("" "", 100)), 100)), ""Vendor""), apt, IF(OR(ISBLANK(S19), TRIM(S19)="""", TRIM(S19)=""-""), """", "" |"&amp;" Apt: "" &amp; S19), IF(ISBLANK(U19), ""Remarks Compulsory For Narration"", TRIM(IF(M19=""Internal"", IF(LEN(G19)-LEN(SUBSTITUTE(G19,""-"",""""))&gt;=3, IF(N(J19)&gt;0, ""Internal Fund Transfer (From x"" &amp; RIGHT(MID(G19, FIND(""-"", SUBSTITUTE(G19, ""-"", ""-"", 3)"&amp;") + 1, LEN(G19)), 4) &amp; "" to YES IDW 0490)"", ""Internal Fund Transfer (From YES IDW 0490 to x"" &amp; RIGHT(MID(G19, FIND(""-"", SUBSTITUTE(G19, ""-"", ""-"", 3)) + 1, LEN(G19)), 4) &amp; "")"") &amp; "" | Ref: "" &amp; ref &amp; "" | Type: "" &amp; P19 &amp; "" | BU: "" &amp; L19 &amp; """&amp;" | Head: "" &amp; M19, ""Internal Transfer | Ref: "" &amp; ref &amp; "" | Type: "" &amp; P19 &amp; "" | BU: "" &amp; L19 &amp; "" | Head: "" &amp; M19), IF(N(J19)&gt;0, IF(P19=""Customer Collection"", ""Receipt Credit (Collection) "" &amp; apt &amp; "" | Ref: "" &amp; ref &amp; "" | From: "" &amp; IF(ISNUMBER"&amp;"(SEARCH(""SOHNA ROAD"", G19)), ""Sohna Road"", ""Party"") &amp; "" | BU: "" &amp; L19, ""Receipt Credit from x"" &amp; RIGHT(MID(G19, FIND(""-"", SUBSTITUTE(G19, ""-"", ""-"", 3)) + 1, LEN(G19)), 4) &amp; "" (Purpose: "" &amp; IF(OR(ISBLANK(U19), U19=""N/A""), L19, U19) &amp; """&amp;") "" &amp; apt &amp; "" | Ref: "" &amp; ref &amp; "" | BU: "" &amp; L19 &amp; "" | Head: "" &amp; M19), ""Payment Disbursement (Purpose: "" &amp; IF(ISNUMBER(SEARCH(""salary"", M19)), ""Salary"", U19) &amp; "") | To: "" &amp; IF(ISNUMBER(SEARCH(""/"",G19)), IF(ISNUMBER(SEARCH(""FINO PAYMENTS"","&amp;"G19)), MID(G19, FIND(""/"",G19, SEARCH(""FINO PAYMENTS"",G19))+1, FIND(""/"", G19, FIND(""/"",G19, SEARCH(""FINO PAYMENTS"",G19))+1) - FIND(""/"",G19, SEARCH(""FINO PAYMENTS"",G19)) - 1), IFERROR(REGEXEXTRACT(G19, ""(?:[^/]*/){6}([^/]+)""), TRIM(RIGHT(SUB"&amp;"STITUTE(G19,""/"",REPT("" "",LEN(G19))),LEN(G19))))), IFERROR(MID(G19, FIND(""-"", G19, FIND(""-"", G19, FIND(""-"", G19) + 1) + 1) + 1, FIND(""-"", G19, FIND(""-"", G19, FIND(""-"", G19, FIND(""-"", G19) + 1) + 1) + 1) - FIND(""-"", G19, FIND(""-"", G19,"&amp;" FIND(""-"", G19) + 1) + 1) - 1), ""Vendor"")) &amp; "" | Ref: "" &amp; ref &amp; "" | BU: "" &amp; L19 &amp; "" | Head: "" &amp; M19 &amp; apt)))))"),"Payment Disbursement (Purpose: Salary) | To: Ravi Vats | Ref: YESME6232005532900 | BU: Casa Romana | Head: Salary Site")</f>
        <v>Payment Disbursement (Purpose: Salary) | To: Ravi Vats | Ref: YESME6232005532900 | BU: Casa Romana | Head: Salary Site</v>
      </c>
      <c r="X19" s="44">
        <v>134131.97</v>
      </c>
      <c r="Y19" s="50">
        <f t="shared" si="10"/>
        <v>18459.97</v>
      </c>
      <c r="Z19" s="53"/>
      <c r="AA19" s="53"/>
      <c r="AB19" s="53"/>
      <c r="AC19" s="53"/>
      <c r="AD19" s="53"/>
      <c r="AE19" s="53"/>
    </row>
    <row r="20" ht="15.75" customHeight="1">
      <c r="A20" s="45">
        <v>414.0</v>
      </c>
      <c r="B20" s="30" t="str">
        <f t="shared" si="8"/>
        <v>Q2</v>
      </c>
      <c r="C20" s="29">
        <f t="shared" si="9"/>
        <v>8</v>
      </c>
      <c r="D20" s="31">
        <v>46254.0</v>
      </c>
      <c r="E20" s="31">
        <v>46254.0</v>
      </c>
      <c r="F20" s="36" t="s">
        <v>37</v>
      </c>
      <c r="G20" s="30" t="s">
        <v>191</v>
      </c>
      <c r="H20" s="30" t="s">
        <v>193</v>
      </c>
      <c r="I20" s="47">
        <v>26298.0</v>
      </c>
      <c r="J20" s="47"/>
      <c r="K20" s="48">
        <f t="shared" si="7"/>
        <v>145422</v>
      </c>
      <c r="L20" s="30" t="s">
        <v>45</v>
      </c>
      <c r="M20" s="30" t="s">
        <v>110</v>
      </c>
      <c r="N20" s="36" t="s">
        <v>37</v>
      </c>
      <c r="O20" s="36" t="s">
        <v>60</v>
      </c>
      <c r="P20" s="30" t="s">
        <v>57</v>
      </c>
      <c r="Q20" s="30" t="s">
        <v>58</v>
      </c>
      <c r="R20" s="36" t="s">
        <v>37</v>
      </c>
      <c r="S20" s="36" t="s">
        <v>37</v>
      </c>
      <c r="T20" s="36" t="s">
        <v>37</v>
      </c>
      <c r="U20" s="30" t="s">
        <v>103</v>
      </c>
      <c r="V20" s="36" t="s">
        <v>37</v>
      </c>
      <c r="W20" s="51" t="str">
        <f>IFERROR(__xludf.DUMMYFUNCTION("LET(ref, IF(ISBLANK(H20), ""N/A"", H20), vendor, IF(ISNUMBER(SEARCH(""/"", G20)), TRIM(LEFT(SUBSTITUTE(MID(G20, SEARCH(""/"", G20)+1, 100), ""/"", REPT("" "", 100)), 100)), ""Vendor""), apt, IF(OR(ISBLANK(S20), TRIM(S20)="""", TRIM(S20)=""-""), """", "" |"&amp;" Apt: "" &amp; S20), IF(ISBLANK(U20), ""Remarks Compulsory For Narration"", TRIM(IF(M20=""Internal"", IF(LEN(G20)-LEN(SUBSTITUTE(G20,""-"",""""))&gt;=3, IF(N(J20)&gt;0, ""Internal Fund Transfer (From x"" &amp; RIGHT(MID(G20, FIND(""-"", SUBSTITUTE(G20, ""-"", ""-"", 3)"&amp;") + 1, LEN(G20)), 4) &amp; "" to YES IDW 0490)"", ""Internal Fund Transfer (From YES IDW 0490 to x"" &amp; RIGHT(MID(G20, FIND(""-"", SUBSTITUTE(G20, ""-"", ""-"", 3)) + 1, LEN(G20)), 4) &amp; "")"") &amp; "" | Ref: "" &amp; ref &amp; "" | Type: "" &amp; P20 &amp; "" | BU: "" &amp; L20 &amp; """&amp;" | Head: "" &amp; M20, ""Internal Transfer | Ref: "" &amp; ref &amp; "" | Type: "" &amp; P20 &amp; "" | BU: "" &amp; L20 &amp; "" | Head: "" &amp; M20), IF(N(J20)&gt;0, IF(P20=""Customer Collection"", ""Receipt Credit (Collection) "" &amp; apt &amp; "" | Ref: "" &amp; ref &amp; "" | From: "" &amp; IF(ISNUMBER"&amp;"(SEARCH(""SOHNA ROAD"", G20)), ""Sohna Road"", ""Party"") &amp; "" | BU: "" &amp; L20, ""Receipt Credit from x"" &amp; RIGHT(MID(G20, FIND(""-"", SUBSTITUTE(G20, ""-"", ""-"", 3)) + 1, LEN(G20)), 4) &amp; "" (Purpose: "" &amp; IF(OR(ISBLANK(U20), U20=""N/A""), L20, U20) &amp; """&amp;") "" &amp; apt &amp; "" | Ref: "" &amp; ref &amp; "" | BU: "" &amp; L20 &amp; "" | Head: "" &amp; M20), ""Payment Disbursement (Purpose: "" &amp; IF(ISNUMBER(SEARCH(""salary"", M20)), ""Salary"", U20) &amp; "") | To: "" &amp; IF(ISNUMBER(SEARCH(""/"",G20)), IF(ISNUMBER(SEARCH(""FINO PAYMENTS"","&amp;"G20)), MID(G20, FIND(""/"",G20, SEARCH(""FINO PAYMENTS"",G20))+1, FIND(""/"", G20, FIND(""/"",G20, SEARCH(""FINO PAYMENTS"",G20))+1) - FIND(""/"",G20, SEARCH(""FINO PAYMENTS"",G20)) - 1), IFERROR(REGEXEXTRACT(G20, ""(?:[^/]*/){6}([^/]+)""), TRIM(RIGHT(SUB"&amp;"STITUTE(G20,""/"",REPT("" "",LEN(G20))),LEN(G20))))), IFERROR(MID(G20, FIND(""-"", G20, FIND(""-"", G20, FIND(""-"", G20) + 1) + 1) + 1, FIND(""-"", G20, FIND(""-"", G20, FIND(""-"", G20, FIND(""-"", G20) + 1) + 1) + 1) - FIND(""-"", G20, FIND(""-"", G20,"&amp;" FIND(""-"", G20) + 1) + 1) - 1), ""Vendor"")) &amp; "" | Ref: "" &amp; ref &amp; "" | BU: "" &amp; L20 &amp; "" | Head: "" &amp; M20 &amp; apt)))))"),"Payment Disbursement (Purpose: Salary) | To: Maya Choudhary | Ref: YESME6232005353400 | BU: Casa Romana | Head: Salary Site")</f>
        <v>Payment Disbursement (Purpose: Salary) | To: Maya Choudhary | Ref: YESME6232005353400 | BU: Casa Romana | Head: Salary Site</v>
      </c>
      <c r="X20" s="44">
        <v>145421.97</v>
      </c>
      <c r="Y20" s="50">
        <f t="shared" si="10"/>
        <v>-0.03</v>
      </c>
      <c r="Z20" s="53"/>
      <c r="AA20" s="53"/>
      <c r="AB20" s="53"/>
      <c r="AC20" s="53"/>
      <c r="AD20" s="53"/>
      <c r="AE20" s="53"/>
    </row>
    <row r="21" ht="15.75" customHeight="1">
      <c r="A21" s="45">
        <v>413.0</v>
      </c>
      <c r="B21" s="30" t="str">
        <f t="shared" si="8"/>
        <v>Q2</v>
      </c>
      <c r="C21" s="29">
        <f t="shared" si="9"/>
        <v>8</v>
      </c>
      <c r="D21" s="31">
        <v>46254.0</v>
      </c>
      <c r="E21" s="31">
        <v>46254.0</v>
      </c>
      <c r="F21" s="36" t="s">
        <v>37</v>
      </c>
      <c r="G21" s="30" t="s">
        <v>201</v>
      </c>
      <c r="H21" s="30" t="s">
        <v>202</v>
      </c>
      <c r="I21" s="47">
        <v>12043.0</v>
      </c>
      <c r="J21" s="47"/>
      <c r="K21" s="48">
        <f t="shared" si="7"/>
        <v>171720</v>
      </c>
      <c r="L21" s="30" t="s">
        <v>45</v>
      </c>
      <c r="M21" s="30" t="s">
        <v>110</v>
      </c>
      <c r="N21" s="36" t="s">
        <v>37</v>
      </c>
      <c r="O21" s="36" t="s">
        <v>60</v>
      </c>
      <c r="P21" s="30" t="s">
        <v>57</v>
      </c>
      <c r="Q21" s="30" t="s">
        <v>58</v>
      </c>
      <c r="R21" s="36" t="s">
        <v>37</v>
      </c>
      <c r="S21" s="36" t="s">
        <v>37</v>
      </c>
      <c r="T21" s="36" t="s">
        <v>37</v>
      </c>
      <c r="U21" s="30" t="s">
        <v>103</v>
      </c>
      <c r="V21" s="36" t="s">
        <v>37</v>
      </c>
      <c r="W21" s="51" t="str">
        <f>IFERROR(__xludf.DUMMYFUNCTION("LET(ref, IF(ISBLANK(H21), ""N/A"", H21), vendor, IF(ISNUMBER(SEARCH(""/"", G21)), TRIM(LEFT(SUBSTITUTE(MID(G21, SEARCH(""/"", G21)+1, 100), ""/"", REPT("" "", 100)), 100)), ""Vendor""), apt, IF(OR(ISBLANK(S21), TRIM(S21)="""", TRIM(S21)=""-""), """", "" |"&amp;" Apt: "" &amp; S21), IF(ISBLANK(U21), ""Remarks Compulsory For Narration"", TRIM(IF(M21=""Internal"", IF(LEN(G21)-LEN(SUBSTITUTE(G21,""-"",""""))&gt;=3, IF(N(J21)&gt;0, ""Internal Fund Transfer (From x"" &amp; RIGHT(MID(G21, FIND(""-"", SUBSTITUTE(G21, ""-"", ""-"", 3)"&amp;") + 1, LEN(G21)), 4) &amp; "" to YES IDW 0490)"", ""Internal Fund Transfer (From YES IDW 0490 to x"" &amp; RIGHT(MID(G21, FIND(""-"", SUBSTITUTE(G21, ""-"", ""-"", 3)) + 1, LEN(G21)), 4) &amp; "")"") &amp; "" | Ref: "" &amp; ref &amp; "" | Type: "" &amp; P21 &amp; "" | BU: "" &amp; L21 &amp; """&amp;" | Head: "" &amp; M21, ""Internal Transfer | Ref: "" &amp; ref &amp; "" | Type: "" &amp; P21 &amp; "" | BU: "" &amp; L21 &amp; "" | Head: "" &amp; M21), IF(N(J21)&gt;0, IF(P21=""Customer Collection"", ""Receipt Credit (Collection) "" &amp; apt &amp; "" | Ref: "" &amp; ref &amp; "" | From: "" &amp; IF(ISNUMBER"&amp;"(SEARCH(""SOHNA ROAD"", G21)), ""Sohna Road"", ""Party"") &amp; "" | BU: "" &amp; L21, ""Receipt Credit from x"" &amp; RIGHT(MID(G21, FIND(""-"", SUBSTITUTE(G21, ""-"", ""-"", 3)) + 1, LEN(G21)), 4) &amp; "" (Purpose: "" &amp; IF(OR(ISBLANK(U21), U21=""N/A""), L21, U21) &amp; """&amp;") "" &amp; apt &amp; "" | Ref: "" &amp; ref &amp; "" | BU: "" &amp; L21 &amp; "" | Head: "" &amp; M21), ""Payment Disbursement (Purpose: "" &amp; IF(ISNUMBER(SEARCH(""salary"", M21)), ""Salary"", U21) &amp; "") | To: "" &amp; IF(ISNUMBER(SEARCH(""/"",G21)), IF(ISNUMBER(SEARCH(""FINO PAYMENTS"","&amp;"G21)), MID(G21, FIND(""/"",G21, SEARCH(""FINO PAYMENTS"",G21))+1, FIND(""/"", G21, FIND(""/"",G21, SEARCH(""FINO PAYMENTS"",G21))+1) - FIND(""/"",G21, SEARCH(""FINO PAYMENTS"",G21)) - 1), IFERROR(REGEXEXTRACT(G21, ""(?:[^/]*/){6}([^/]+)""), TRIM(RIGHT(SUB"&amp;"STITUTE(G21,""/"",REPT("" "",LEN(G21))),LEN(G21))))), IFERROR(MID(G21, FIND(""-"", G21, FIND(""-"", G21, FIND(""-"", G21) + 1) + 1) + 1, FIND(""-"", G21, FIND(""-"", G21, FIND(""-"", G21, FIND(""-"", G21) + 1) + 1) + 1) - FIND(""-"", G21, FIND(""-"", G21,"&amp;" FIND(""-"", G21) + 1) + 1) - 1), ""Vendor"")) &amp; "" | Ref: "" &amp; ref &amp; "" | BU: "" &amp; L21 &amp; "" | Head: "" &amp; M21 &amp; apt)))))"),"Payment Disbursement (Purpose: Salary) | To: Amar jeet | Ref: YESME6232005353300 | BU: Casa Romana | Head: Salary Site")</f>
        <v>Payment Disbursement (Purpose: Salary) | To: Amar jeet | Ref: YESME6232005353300 | BU: Casa Romana | Head: Salary Site</v>
      </c>
      <c r="X21" s="44">
        <v>171719.97</v>
      </c>
      <c r="Y21" s="50">
        <f t="shared" si="10"/>
        <v>-0.03</v>
      </c>
      <c r="Z21" s="53"/>
      <c r="AA21" s="53"/>
      <c r="AB21" s="53"/>
      <c r="AC21" s="53"/>
      <c r="AD21" s="53"/>
      <c r="AE21" s="53"/>
    </row>
    <row r="22" ht="15.75" customHeight="1">
      <c r="A22" s="45">
        <v>412.0</v>
      </c>
      <c r="B22" s="30" t="str">
        <f t="shared" si="8"/>
        <v>Q2</v>
      </c>
      <c r="C22" s="29">
        <f t="shared" si="9"/>
        <v>8</v>
      </c>
      <c r="D22" s="31">
        <v>46254.0</v>
      </c>
      <c r="E22" s="31">
        <v>46254.0</v>
      </c>
      <c r="F22" s="36" t="s">
        <v>37</v>
      </c>
      <c r="G22" s="30" t="s">
        <v>209</v>
      </c>
      <c r="H22" s="30" t="s">
        <v>210</v>
      </c>
      <c r="I22" s="47">
        <v>8273.0</v>
      </c>
      <c r="J22" s="47"/>
      <c r="K22" s="48">
        <f t="shared" si="7"/>
        <v>183763</v>
      </c>
      <c r="L22" s="30" t="s">
        <v>45</v>
      </c>
      <c r="M22" s="30" t="s">
        <v>110</v>
      </c>
      <c r="N22" s="36" t="s">
        <v>37</v>
      </c>
      <c r="O22" s="36" t="s">
        <v>60</v>
      </c>
      <c r="P22" s="30" t="s">
        <v>57</v>
      </c>
      <c r="Q22" s="30" t="s">
        <v>58</v>
      </c>
      <c r="R22" s="36" t="s">
        <v>37</v>
      </c>
      <c r="S22" s="36" t="s">
        <v>37</v>
      </c>
      <c r="T22" s="36" t="s">
        <v>37</v>
      </c>
      <c r="U22" s="30" t="s">
        <v>103</v>
      </c>
      <c r="V22" s="36" t="s">
        <v>37</v>
      </c>
      <c r="W22" s="51" t="str">
        <f>IFERROR(__xludf.DUMMYFUNCTION("LET(ref, IF(ISBLANK(H22), ""N/A"", H22), vendor, IF(ISNUMBER(SEARCH(""/"", G22)), TRIM(LEFT(SUBSTITUTE(MID(G22, SEARCH(""/"", G22)+1, 100), ""/"", REPT("" "", 100)), 100)), ""Vendor""), apt, IF(OR(ISBLANK(S22), TRIM(S22)="""", TRIM(S22)=""-""), """", "" |"&amp;" Apt: "" &amp; S22), IF(ISBLANK(U22), ""Remarks Compulsory For Narration"", TRIM(IF(M22=""Internal"", IF(LEN(G22)-LEN(SUBSTITUTE(G22,""-"",""""))&gt;=3, IF(N(J22)&gt;0, ""Internal Fund Transfer (From x"" &amp; RIGHT(MID(G22, FIND(""-"", SUBSTITUTE(G22, ""-"", ""-"", 3)"&amp;") + 1, LEN(G22)), 4) &amp; "" to YES IDW 0490)"", ""Internal Fund Transfer (From YES IDW 0490 to x"" &amp; RIGHT(MID(G22, FIND(""-"", SUBSTITUTE(G22, ""-"", ""-"", 3)) + 1, LEN(G22)), 4) &amp; "")"") &amp; "" | Ref: "" &amp; ref &amp; "" | Type: "" &amp; P22 &amp; "" | BU: "" &amp; L22 &amp; """&amp;" | Head: "" &amp; M22, ""Internal Transfer | Ref: "" &amp; ref &amp; "" | Type: "" &amp; P22 &amp; "" | BU: "" &amp; L22 &amp; "" | Head: "" &amp; M22), IF(N(J22)&gt;0, IF(P22=""Customer Collection"", ""Receipt Credit (Collection) "" &amp; apt &amp; "" | Ref: "" &amp; ref &amp; "" | From: "" &amp; IF(ISNUMBER"&amp;"(SEARCH(""SOHNA ROAD"", G22)), ""Sohna Road"", ""Party"") &amp; "" | BU: "" &amp; L22, ""Receipt Credit from x"" &amp; RIGHT(MID(G22, FIND(""-"", SUBSTITUTE(G22, ""-"", ""-"", 3)) + 1, LEN(G22)), 4) &amp; "" (Purpose: "" &amp; IF(OR(ISBLANK(U22), U22=""N/A""), L22, U22) &amp; """&amp;") "" &amp; apt &amp; "" | Ref: "" &amp; ref &amp; "" | BU: "" &amp; L22 &amp; "" | Head: "" &amp; M22), ""Payment Disbursement (Purpose: "" &amp; IF(ISNUMBER(SEARCH(""salary"", M22)), ""Salary"", U22) &amp; "") | To: "" &amp; IF(ISNUMBER(SEARCH(""/"",G22)), IF(ISNUMBER(SEARCH(""FINO PAYMENTS"","&amp;"G22)), MID(G22, FIND(""/"",G22, SEARCH(""FINO PAYMENTS"",G22))+1, FIND(""/"", G22, FIND(""/"",G22, SEARCH(""FINO PAYMENTS"",G22))+1) - FIND(""/"",G22, SEARCH(""FINO PAYMENTS"",G22)) - 1), IFERROR(REGEXEXTRACT(G22, ""(?:[^/]*/){6}([^/]+)""), TRIM(RIGHT(SUB"&amp;"STITUTE(G22,""/"",REPT("" "",LEN(G22))),LEN(G22))))), IFERROR(MID(G22, FIND(""-"", G22, FIND(""-"", G22, FIND(""-"", G22) + 1) + 1) + 1, FIND(""-"", G22, FIND(""-"", G22, FIND(""-"", G22, FIND(""-"", G22) + 1) + 1) + 1) - FIND(""-"", G22, FIND(""-"", G22,"&amp;" FIND(""-"", G22) + 1) + 1) - 1), ""Vendor"")) &amp; "" | Ref: "" &amp; ref &amp; "" | BU: "" &amp; L22 &amp; "" | Head: "" &amp; M22 &amp; apt)))))"),"Payment Disbursement (Purpose: Salary) | To: Rahul Kumar | Ref: YESME6232005532700 | BU: Casa Romana | Head: Salary Site")</f>
        <v>Payment Disbursement (Purpose: Salary) | To: Rahul Kumar | Ref: YESME6232005532700 | BU: Casa Romana | Head: Salary Site</v>
      </c>
      <c r="X22" s="44">
        <v>183762.97</v>
      </c>
      <c r="Y22" s="50">
        <f t="shared" si="10"/>
        <v>-0.03</v>
      </c>
      <c r="Z22" s="53"/>
      <c r="AA22" s="53"/>
      <c r="AB22" s="53"/>
      <c r="AC22" s="53"/>
      <c r="AD22" s="53"/>
      <c r="AE22" s="53"/>
    </row>
    <row r="23" ht="15.75" customHeight="1">
      <c r="A23" s="45">
        <v>411.0</v>
      </c>
      <c r="B23" s="30" t="str">
        <f t="shared" si="8"/>
        <v>Q2</v>
      </c>
      <c r="C23" s="29">
        <f t="shared" si="9"/>
        <v>8</v>
      </c>
      <c r="D23" s="31">
        <v>46254.0</v>
      </c>
      <c r="E23" s="31">
        <v>46254.0</v>
      </c>
      <c r="F23" s="36" t="s">
        <v>37</v>
      </c>
      <c r="G23" s="30" t="s">
        <v>217</v>
      </c>
      <c r="H23" s="30" t="s">
        <v>218</v>
      </c>
      <c r="I23" s="47">
        <v>9469.0</v>
      </c>
      <c r="J23" s="47"/>
      <c r="K23" s="48">
        <f t="shared" si="7"/>
        <v>192036</v>
      </c>
      <c r="L23" s="30" t="s">
        <v>45</v>
      </c>
      <c r="M23" s="30" t="s">
        <v>110</v>
      </c>
      <c r="N23" s="36" t="s">
        <v>37</v>
      </c>
      <c r="O23" s="36" t="s">
        <v>60</v>
      </c>
      <c r="P23" s="30" t="s">
        <v>57</v>
      </c>
      <c r="Q23" s="30" t="s">
        <v>58</v>
      </c>
      <c r="R23" s="36" t="s">
        <v>37</v>
      </c>
      <c r="S23" s="36" t="s">
        <v>37</v>
      </c>
      <c r="T23" s="36" t="s">
        <v>37</v>
      </c>
      <c r="U23" s="30" t="s">
        <v>103</v>
      </c>
      <c r="V23" s="36" t="s">
        <v>37</v>
      </c>
      <c r="W23" s="51" t="str">
        <f>IFERROR(__xludf.DUMMYFUNCTION("LET(ref, IF(ISBLANK(H23), ""N/A"", H23), vendor, IF(ISNUMBER(SEARCH(""/"", G23)), TRIM(LEFT(SUBSTITUTE(MID(G23, SEARCH(""/"", G23)+1, 100), ""/"", REPT("" "", 100)), 100)), ""Vendor""), apt, IF(OR(ISBLANK(S23), TRIM(S23)="""", TRIM(S23)=""-""), """", "" |"&amp;" Apt: "" &amp; S23), IF(ISBLANK(U23), ""Remarks Compulsory For Narration"", TRIM(IF(M23=""Internal"", IF(LEN(G23)-LEN(SUBSTITUTE(G23,""-"",""""))&gt;=3, IF(N(J23)&gt;0, ""Internal Fund Transfer (From x"" &amp; RIGHT(MID(G23, FIND(""-"", SUBSTITUTE(G23, ""-"", ""-"", 3)"&amp;") + 1, LEN(G23)), 4) &amp; "" to YES IDW 0490)"", ""Internal Fund Transfer (From YES IDW 0490 to x"" &amp; RIGHT(MID(G23, FIND(""-"", SUBSTITUTE(G23, ""-"", ""-"", 3)) + 1, LEN(G23)), 4) &amp; "")"") &amp; "" | Ref: "" &amp; ref &amp; "" | Type: "" &amp; P23 &amp; "" | BU: "" &amp; L23 &amp; """&amp;" | Head: "" &amp; M23, ""Internal Transfer | Ref: "" &amp; ref &amp; "" | Type: "" &amp; P23 &amp; "" | BU: "" &amp; L23 &amp; "" | Head: "" &amp; M23), IF(N(J23)&gt;0, IF(P23=""Customer Collection"", ""Receipt Credit (Collection) "" &amp; apt &amp; "" | Ref: "" &amp; ref &amp; "" | From: "" &amp; IF(ISNUMBER"&amp;"(SEARCH(""SOHNA ROAD"", G23)), ""Sohna Road"", ""Party"") &amp; "" | BU: "" &amp; L23, ""Receipt Credit from x"" &amp; RIGHT(MID(G23, FIND(""-"", SUBSTITUTE(G23, ""-"", ""-"", 3)) + 1, LEN(G23)), 4) &amp; "" (Purpose: "" &amp; IF(OR(ISBLANK(U23), U23=""N/A""), L23, U23) &amp; """&amp;") "" &amp; apt &amp; "" | Ref: "" &amp; ref &amp; "" | BU: "" &amp; L23 &amp; "" | Head: "" &amp; M23), ""Payment Disbursement (Purpose: "" &amp; IF(ISNUMBER(SEARCH(""salary"", M23)), ""Salary"", U23) &amp; "") | To: "" &amp; IF(ISNUMBER(SEARCH(""/"",G23)), IF(ISNUMBER(SEARCH(""FINO PAYMENTS"","&amp;"G23)), MID(G23, FIND(""/"",G23, SEARCH(""FINO PAYMENTS"",G23))+1, FIND(""/"", G23, FIND(""/"",G23, SEARCH(""FINO PAYMENTS"",G23))+1) - FIND(""/"",G23, SEARCH(""FINO PAYMENTS"",G23)) - 1), IFERROR(REGEXEXTRACT(G23, ""(?:[^/]*/){6}([^/]+)""), TRIM(RIGHT(SUB"&amp;"STITUTE(G23,""/"",REPT("" "",LEN(G23))),LEN(G23))))), IFERROR(MID(G23, FIND(""-"", G23, FIND(""-"", G23, FIND(""-"", G23) + 1) + 1) + 1, FIND(""-"", G23, FIND(""-"", G23, FIND(""-"", G23, FIND(""-"", G23) + 1) + 1) + 1) - FIND(""-"", G23, FIND(""-"", G23,"&amp;" FIND(""-"", G23) + 1) + 1) - 1), ""Vendor"")) &amp; "" | Ref: "" &amp; ref &amp; "" | BU: "" &amp; L23 &amp; "" | Head: "" &amp; M23 &amp; apt)))))"),"Payment Disbursement (Purpose: Salary) | To: Jyoti | Ref: YESME6232005352900 | BU: Casa Romana | Head: Salary Site")</f>
        <v>Payment Disbursement (Purpose: Salary) | To: Jyoti | Ref: YESME6232005352900 | BU: Casa Romana | Head: Salary Site</v>
      </c>
      <c r="X23" s="44">
        <v>192035.97</v>
      </c>
      <c r="Y23" s="50">
        <f t="shared" si="10"/>
        <v>-0.03</v>
      </c>
      <c r="Z23" s="53"/>
      <c r="AA23" s="53"/>
      <c r="AB23" s="53"/>
      <c r="AC23" s="53"/>
      <c r="AD23" s="53"/>
      <c r="AE23" s="53"/>
    </row>
    <row r="24" ht="15.75" customHeight="1">
      <c r="A24" s="45">
        <v>410.0</v>
      </c>
      <c r="B24" s="30" t="str">
        <f t="shared" si="8"/>
        <v>Q2</v>
      </c>
      <c r="C24" s="29">
        <f t="shared" si="9"/>
        <v>8</v>
      </c>
      <c r="D24" s="31">
        <v>46254.0</v>
      </c>
      <c r="E24" s="31">
        <v>46254.0</v>
      </c>
      <c r="F24" s="36" t="s">
        <v>37</v>
      </c>
      <c r="G24" s="30" t="s">
        <v>228</v>
      </c>
      <c r="H24" s="30" t="s">
        <v>229</v>
      </c>
      <c r="I24" s="47">
        <v>23584.0</v>
      </c>
      <c r="J24" s="47"/>
      <c r="K24" s="48">
        <f t="shared" si="7"/>
        <v>201505</v>
      </c>
      <c r="L24" s="30" t="s">
        <v>45</v>
      </c>
      <c r="M24" s="30" t="s">
        <v>110</v>
      </c>
      <c r="N24" s="36" t="s">
        <v>37</v>
      </c>
      <c r="O24" s="36" t="s">
        <v>60</v>
      </c>
      <c r="P24" s="30" t="s">
        <v>57</v>
      </c>
      <c r="Q24" s="30" t="s">
        <v>58</v>
      </c>
      <c r="R24" s="36" t="s">
        <v>37</v>
      </c>
      <c r="S24" s="36" t="s">
        <v>37</v>
      </c>
      <c r="T24" s="36" t="s">
        <v>37</v>
      </c>
      <c r="U24" s="30" t="s">
        <v>103</v>
      </c>
      <c r="V24" s="36" t="s">
        <v>37</v>
      </c>
      <c r="W24" s="51" t="str">
        <f>IFERROR(__xludf.DUMMYFUNCTION("LET(ref, IF(ISBLANK(H24), ""N/A"", H24), vendor, IF(ISNUMBER(SEARCH(""/"", G24)), TRIM(LEFT(SUBSTITUTE(MID(G24, SEARCH(""/"", G24)+1, 100), ""/"", REPT("" "", 100)), 100)), ""Vendor""), apt, IF(OR(ISBLANK(S24), TRIM(S24)="""", TRIM(S24)=""-""), """", "" |"&amp;" Apt: "" &amp; S24), IF(ISBLANK(U24), ""Remarks Compulsory For Narration"", TRIM(IF(M24=""Internal"", IF(LEN(G24)-LEN(SUBSTITUTE(G24,""-"",""""))&gt;=3, IF(N(J24)&gt;0, ""Internal Fund Transfer (From x"" &amp; RIGHT(MID(G24, FIND(""-"", SUBSTITUTE(G24, ""-"", ""-"", 3)"&amp;") + 1, LEN(G24)), 4) &amp; "" to YES IDW 0490)"", ""Internal Fund Transfer (From YES IDW 0490 to x"" &amp; RIGHT(MID(G24, FIND(""-"", SUBSTITUTE(G24, ""-"", ""-"", 3)) + 1, LEN(G24)), 4) &amp; "")"") &amp; "" | Ref: "" &amp; ref &amp; "" | Type: "" &amp; P24 &amp; "" | BU: "" &amp; L24 &amp; """&amp;" | Head: "" &amp; M24, ""Internal Transfer | Ref: "" &amp; ref &amp; "" | Type: "" &amp; P24 &amp; "" | BU: "" &amp; L24 &amp; "" | Head: "" &amp; M24), IF(N(J24)&gt;0, IF(P24=""Customer Collection"", ""Receipt Credit (Collection) "" &amp; apt &amp; "" | Ref: "" &amp; ref &amp; "" | From: "" &amp; IF(ISNUMBER"&amp;"(SEARCH(""SOHNA ROAD"", G24)), ""Sohna Road"", ""Party"") &amp; "" | BU: "" &amp; L24, ""Receipt Credit from x"" &amp; RIGHT(MID(G24, FIND(""-"", SUBSTITUTE(G24, ""-"", ""-"", 3)) + 1, LEN(G24)), 4) &amp; "" (Purpose: "" &amp; IF(OR(ISBLANK(U24), U24=""N/A""), L24, U24) &amp; """&amp;") "" &amp; apt &amp; "" | Ref: "" &amp; ref &amp; "" | BU: "" &amp; L24 &amp; "" | Head: "" &amp; M24), ""Payment Disbursement (Purpose: "" &amp; IF(ISNUMBER(SEARCH(""salary"", M24)), ""Salary"", U24) &amp; "") | To: "" &amp; IF(ISNUMBER(SEARCH(""/"",G24)), IF(ISNUMBER(SEARCH(""FINO PAYMENTS"","&amp;"G24)), MID(G24, FIND(""/"",G24, SEARCH(""FINO PAYMENTS"",G24))+1, FIND(""/"", G24, FIND(""/"",G24, SEARCH(""FINO PAYMENTS"",G24))+1) - FIND(""/"",G24, SEARCH(""FINO PAYMENTS"",G24)) - 1), IFERROR(REGEXEXTRACT(G24, ""(?:[^/]*/){6}([^/]+)""), TRIM(RIGHT(SUB"&amp;"STITUTE(G24,""/"",REPT("" "",LEN(G24))),LEN(G24))))), IFERROR(MID(G24, FIND(""-"", G24, FIND(""-"", G24, FIND(""-"", G24) + 1) + 1) + 1, FIND(""-"", G24, FIND(""-"", G24, FIND(""-"", G24, FIND(""-"", G24) + 1) + 1) + 1) - FIND(""-"", G24, FIND(""-"", G24,"&amp;" FIND(""-"", G24) + 1) + 1) - 1), ""Vendor"")) &amp; "" | Ref: "" &amp; ref &amp; "" | BU: "" &amp; L24 &amp; "" | Head: "" &amp; M24 &amp; apt)))))"),"Payment Disbursement (Purpose: Salary) | To: Sanjay Kumar | Ref: YESME6232005353100 | BU: Casa Romana | Head: Salary Site")</f>
        <v>Payment Disbursement (Purpose: Salary) | To: Sanjay Kumar | Ref: YESME6232005353100 | BU: Casa Romana | Head: Salary Site</v>
      </c>
      <c r="X24" s="44">
        <v>215619.97</v>
      </c>
      <c r="Y24" s="50">
        <f t="shared" si="10"/>
        <v>14114.97</v>
      </c>
      <c r="Z24" s="53"/>
      <c r="AA24" s="53"/>
      <c r="AB24" s="53"/>
      <c r="AC24" s="53"/>
      <c r="AD24" s="53"/>
      <c r="AE24" s="53"/>
    </row>
    <row r="25" ht="15.75" customHeight="1">
      <c r="A25" s="45">
        <v>409.0</v>
      </c>
      <c r="B25" s="30" t="str">
        <f t="shared" si="8"/>
        <v>Q2</v>
      </c>
      <c r="C25" s="29">
        <f t="shared" si="9"/>
        <v>8</v>
      </c>
      <c r="D25" s="31">
        <v>46254.0</v>
      </c>
      <c r="E25" s="31">
        <v>46254.0</v>
      </c>
      <c r="F25" s="36" t="s">
        <v>37</v>
      </c>
      <c r="G25" s="30" t="s">
        <v>238</v>
      </c>
      <c r="H25" s="30" t="s">
        <v>239</v>
      </c>
      <c r="I25" s="47">
        <v>11516.0</v>
      </c>
      <c r="J25" s="47"/>
      <c r="K25" s="48">
        <f t="shared" si="7"/>
        <v>225089</v>
      </c>
      <c r="L25" s="30" t="s">
        <v>45</v>
      </c>
      <c r="M25" s="30" t="s">
        <v>110</v>
      </c>
      <c r="N25" s="36" t="s">
        <v>37</v>
      </c>
      <c r="O25" s="36" t="s">
        <v>60</v>
      </c>
      <c r="P25" s="30" t="s">
        <v>57</v>
      </c>
      <c r="Q25" s="30" t="s">
        <v>58</v>
      </c>
      <c r="R25" s="36" t="s">
        <v>37</v>
      </c>
      <c r="S25" s="36" t="s">
        <v>37</v>
      </c>
      <c r="T25" s="36" t="s">
        <v>37</v>
      </c>
      <c r="U25" s="30" t="s">
        <v>103</v>
      </c>
      <c r="V25" s="36" t="s">
        <v>37</v>
      </c>
      <c r="W25" s="51" t="str">
        <f>IFERROR(__xludf.DUMMYFUNCTION("LET(ref, IF(ISBLANK(H25), ""N/A"", H25), vendor, IF(ISNUMBER(SEARCH(""/"", G25)), TRIM(LEFT(SUBSTITUTE(MID(G25, SEARCH(""/"", G25)+1, 100), ""/"", REPT("" "", 100)), 100)), ""Vendor""), apt, IF(OR(ISBLANK(S25), TRIM(S25)="""", TRIM(S25)=""-""), """", "" |"&amp;" Apt: "" &amp; S25), IF(ISBLANK(U25), ""Remarks Compulsory For Narration"", TRIM(IF(M25=""Internal"", IF(LEN(G25)-LEN(SUBSTITUTE(G25,""-"",""""))&gt;=3, IF(N(J25)&gt;0, ""Internal Fund Transfer (From x"" &amp; RIGHT(MID(G25, FIND(""-"", SUBSTITUTE(G25, ""-"", ""-"", 3)"&amp;") + 1, LEN(G25)), 4) &amp; "" to YES IDW 0490)"", ""Internal Fund Transfer (From YES IDW 0490 to x"" &amp; RIGHT(MID(G25, FIND(""-"", SUBSTITUTE(G25, ""-"", ""-"", 3)) + 1, LEN(G25)), 4) &amp; "")"") &amp; "" | Ref: "" &amp; ref &amp; "" | Type: "" &amp; P25 &amp; "" | BU: "" &amp; L25 &amp; """&amp;" | Head: "" &amp; M25, ""Internal Transfer | Ref: "" &amp; ref &amp; "" | Type: "" &amp; P25 &amp; "" | BU: "" &amp; L25 &amp; "" | Head: "" &amp; M25), IF(N(J25)&gt;0, IF(P25=""Customer Collection"", ""Receipt Credit (Collection) "" &amp; apt &amp; "" | Ref: "" &amp; ref &amp; "" | From: "" &amp; IF(ISNUMBER"&amp;"(SEARCH(""SOHNA ROAD"", G25)), ""Sohna Road"", ""Party"") &amp; "" | BU: "" &amp; L25, ""Receipt Credit from x"" &amp; RIGHT(MID(G25, FIND(""-"", SUBSTITUTE(G25, ""-"", ""-"", 3)) + 1, LEN(G25)), 4) &amp; "" (Purpose: "" &amp; IF(OR(ISBLANK(U25), U25=""N/A""), L25, U25) &amp; """&amp;") "" &amp; apt &amp; "" | Ref: "" &amp; ref &amp; "" | BU: "" &amp; L25 &amp; "" | Head: "" &amp; M25), ""Payment Disbursement (Purpose: "" &amp; IF(ISNUMBER(SEARCH(""salary"", M25)), ""Salary"", U25) &amp; "") | To: "" &amp; IF(ISNUMBER(SEARCH(""/"",G25)), IF(ISNUMBER(SEARCH(""FINO PAYMENTS"","&amp;"G25)), MID(G25, FIND(""/"",G25, SEARCH(""FINO PAYMENTS"",G25))+1, FIND(""/"", G25, FIND(""/"",G25, SEARCH(""FINO PAYMENTS"",G25))+1) - FIND(""/"",G25, SEARCH(""FINO PAYMENTS"",G25)) - 1), IFERROR(REGEXEXTRACT(G25, ""(?:[^/]*/){6}([^/]+)""), TRIM(RIGHT(SUB"&amp;"STITUTE(G25,""/"",REPT("" "",LEN(G25))),LEN(G25))))), IFERROR(MID(G25, FIND(""-"", G25, FIND(""-"", G25, FIND(""-"", G25) + 1) + 1) + 1, FIND(""-"", G25, FIND(""-"", G25, FIND(""-"", G25, FIND(""-"", G25) + 1) + 1) + 1) - FIND(""-"", G25, FIND(""-"", G25,"&amp;" FIND(""-"", G25) + 1) + 1) - 1), ""Vendor"")) &amp; "" | Ref: "" &amp; ref &amp; "" | BU: "" &amp; L25 &amp; "" | Head: "" &amp; M25 &amp; apt)))))"),"Payment Disbursement (Purpose: Salary) | To: Ram Sharan | Ref: YESME6232005353000 | BU: Casa Romana | Head: Salary Site")</f>
        <v>Payment Disbursement (Purpose: Salary) | To: Ram Sharan | Ref: YESME6232005353000 | BU: Casa Romana | Head: Salary Site</v>
      </c>
      <c r="X25" s="44">
        <v>227135.97</v>
      </c>
      <c r="Y25" s="50">
        <f t="shared" si="10"/>
        <v>2046.97</v>
      </c>
      <c r="Z25" s="53"/>
      <c r="AA25" s="53"/>
      <c r="AB25" s="53"/>
      <c r="AC25" s="53"/>
      <c r="AD25" s="53"/>
      <c r="AE25" s="53"/>
    </row>
    <row r="26" ht="15.75" customHeight="1">
      <c r="A26" s="45">
        <v>408.0</v>
      </c>
      <c r="B26" s="30" t="str">
        <f t="shared" si="8"/>
        <v>Q2</v>
      </c>
      <c r="C26" s="29">
        <f t="shared" si="9"/>
        <v>8</v>
      </c>
      <c r="D26" s="31">
        <v>46254.0</v>
      </c>
      <c r="E26" s="31">
        <v>46254.0</v>
      </c>
      <c r="F26" s="36" t="s">
        <v>37</v>
      </c>
      <c r="G26" s="30" t="s">
        <v>246</v>
      </c>
      <c r="H26" s="30" t="s">
        <v>247</v>
      </c>
      <c r="I26" s="47">
        <v>10201.0</v>
      </c>
      <c r="J26" s="47"/>
      <c r="K26" s="48">
        <f t="shared" si="7"/>
        <v>236605</v>
      </c>
      <c r="L26" s="30" t="s">
        <v>45</v>
      </c>
      <c r="M26" s="30" t="s">
        <v>110</v>
      </c>
      <c r="N26" s="36" t="s">
        <v>37</v>
      </c>
      <c r="O26" s="36" t="s">
        <v>60</v>
      </c>
      <c r="P26" s="30" t="s">
        <v>57</v>
      </c>
      <c r="Q26" s="30" t="s">
        <v>58</v>
      </c>
      <c r="R26" s="36" t="s">
        <v>37</v>
      </c>
      <c r="S26" s="36" t="s">
        <v>37</v>
      </c>
      <c r="T26" s="36" t="s">
        <v>37</v>
      </c>
      <c r="U26" s="30" t="s">
        <v>103</v>
      </c>
      <c r="V26" s="36" t="s">
        <v>37</v>
      </c>
      <c r="W26" s="51" t="str">
        <f>IFERROR(__xludf.DUMMYFUNCTION("LET(ref, IF(ISBLANK(H26), ""N/A"", H26), vendor, IF(ISNUMBER(SEARCH(""/"", G26)), TRIM(LEFT(SUBSTITUTE(MID(G26, SEARCH(""/"", G26)+1, 100), ""/"", REPT("" "", 100)), 100)), ""Vendor""), apt, IF(OR(ISBLANK(S26), TRIM(S26)="""", TRIM(S26)=""-""), """", "" |"&amp;" Apt: "" &amp; S26), IF(ISBLANK(U26), ""Remarks Compulsory For Narration"", TRIM(IF(M26=""Internal"", IF(LEN(G26)-LEN(SUBSTITUTE(G26,""-"",""""))&gt;=3, IF(N(J26)&gt;0, ""Internal Fund Transfer (From x"" &amp; RIGHT(MID(G26, FIND(""-"", SUBSTITUTE(G26, ""-"", ""-"", 3)"&amp;") + 1, LEN(G26)), 4) &amp; "" to YES IDW 0490)"", ""Internal Fund Transfer (From YES IDW 0490 to x"" &amp; RIGHT(MID(G26, FIND(""-"", SUBSTITUTE(G26, ""-"", ""-"", 3)) + 1, LEN(G26)), 4) &amp; "")"") &amp; "" | Ref: "" &amp; ref &amp; "" | Type: "" &amp; P26 &amp; "" | BU: "" &amp; L26 &amp; """&amp;" | Head: "" &amp; M26, ""Internal Transfer | Ref: "" &amp; ref &amp; "" | Type: "" &amp; P26 &amp; "" | BU: "" &amp; L26 &amp; "" | Head: "" &amp; M26), IF(N(J26)&gt;0, IF(P26=""Customer Collection"", ""Receipt Credit (Collection) "" &amp; apt &amp; "" | Ref: "" &amp; ref &amp; "" | From: "" &amp; IF(ISNUMBER"&amp;"(SEARCH(""SOHNA ROAD"", G26)), ""Sohna Road"", ""Party"") &amp; "" | BU: "" &amp; L26, ""Receipt Credit from x"" &amp; RIGHT(MID(G26, FIND(""-"", SUBSTITUTE(G26, ""-"", ""-"", 3)) + 1, LEN(G26)), 4) &amp; "" (Purpose: "" &amp; IF(OR(ISBLANK(U26), U26=""N/A""), L26, U26) &amp; """&amp;") "" &amp; apt &amp; "" | Ref: "" &amp; ref &amp; "" | BU: "" &amp; L26 &amp; "" | Head: "" &amp; M26), ""Payment Disbursement (Purpose: "" &amp; IF(ISNUMBER(SEARCH(""salary"", M26)), ""Salary"", U26) &amp; "") | To: "" &amp; IF(ISNUMBER(SEARCH(""/"",G26)), IF(ISNUMBER(SEARCH(""FINO PAYMENTS"","&amp;"G26)), MID(G26, FIND(""/"",G26, SEARCH(""FINO PAYMENTS"",G26))+1, FIND(""/"", G26, FIND(""/"",G26, SEARCH(""FINO PAYMENTS"",G26))+1) - FIND(""/"",G26, SEARCH(""FINO PAYMENTS"",G26)) - 1), IFERROR(REGEXEXTRACT(G26, ""(?:[^/]*/){6}([^/]+)""), TRIM(RIGHT(SUB"&amp;"STITUTE(G26,""/"",REPT("" "",LEN(G26))),LEN(G26))))), IFERROR(MID(G26, FIND(""-"", G26, FIND(""-"", G26, FIND(""-"", G26) + 1) + 1) + 1, FIND(""-"", G26, FIND(""-"", G26, FIND(""-"", G26, FIND(""-"", G26) + 1) + 1) + 1) - FIND(""-"", G26, FIND(""-"", G26,"&amp;" FIND(""-"", G26) + 1) + 1) - 1), ""Vendor"")) &amp; "" | Ref: "" &amp; ref &amp; "" | BU: "" &amp; L26 &amp; "" | Head: "" &amp; M26 &amp; apt)))))"),"Payment Disbursement (Purpose: Salary) | To: Vishwajeet | Ref: YESME6232005532600 | BU: Casa Romana | Head: Salary Site")</f>
        <v>Payment Disbursement (Purpose: Salary) | To: Vishwajeet | Ref: YESME6232005532600 | BU: Casa Romana | Head: Salary Site</v>
      </c>
      <c r="X26" s="44">
        <v>236604.97</v>
      </c>
      <c r="Y26" s="50">
        <f t="shared" si="10"/>
        <v>-0.03</v>
      </c>
      <c r="Z26" s="53"/>
      <c r="AA26" s="53"/>
      <c r="AB26" s="53"/>
      <c r="AC26" s="53"/>
      <c r="AD26" s="53"/>
      <c r="AE26" s="53"/>
    </row>
    <row r="27" ht="15.75" customHeight="1">
      <c r="A27" s="45">
        <v>407.0</v>
      </c>
      <c r="B27" s="30" t="str">
        <f t="shared" si="8"/>
        <v>Q2</v>
      </c>
      <c r="C27" s="29">
        <f t="shared" si="9"/>
        <v>8</v>
      </c>
      <c r="D27" s="31">
        <v>46254.0</v>
      </c>
      <c r="E27" s="31">
        <v>46254.0</v>
      </c>
      <c r="F27" s="36" t="s">
        <v>37</v>
      </c>
      <c r="G27" s="30" t="s">
        <v>255</v>
      </c>
      <c r="H27" s="30" t="s">
        <v>256</v>
      </c>
      <c r="I27" s="47">
        <v>38610.0</v>
      </c>
      <c r="J27" s="47"/>
      <c r="K27" s="48">
        <f t="shared" si="7"/>
        <v>246806</v>
      </c>
      <c r="L27" s="30" t="s">
        <v>45</v>
      </c>
      <c r="M27" s="30" t="s">
        <v>110</v>
      </c>
      <c r="N27" s="36" t="s">
        <v>37</v>
      </c>
      <c r="O27" s="36" t="s">
        <v>60</v>
      </c>
      <c r="P27" s="30" t="s">
        <v>57</v>
      </c>
      <c r="Q27" s="30" t="s">
        <v>58</v>
      </c>
      <c r="R27" s="36" t="s">
        <v>37</v>
      </c>
      <c r="S27" s="36" t="s">
        <v>37</v>
      </c>
      <c r="T27" s="36" t="s">
        <v>37</v>
      </c>
      <c r="U27" s="30" t="s">
        <v>103</v>
      </c>
      <c r="V27" s="36" t="s">
        <v>37</v>
      </c>
      <c r="W27" s="51" t="str">
        <f>IFERROR(__xludf.DUMMYFUNCTION("LET(ref, IF(ISBLANK(H27), ""N/A"", H27), vendor, IF(ISNUMBER(SEARCH(""/"", G27)), TRIM(LEFT(SUBSTITUTE(MID(G27, SEARCH(""/"", G27)+1, 100), ""/"", REPT("" "", 100)), 100)), ""Vendor""), apt, IF(OR(ISBLANK(S27), TRIM(S27)="""", TRIM(S27)=""-""), """", "" |"&amp;" Apt: "" &amp; S27), IF(ISBLANK(U27), ""Remarks Compulsory For Narration"", TRIM(IF(M27=""Internal"", IF(LEN(G27)-LEN(SUBSTITUTE(G27,""-"",""""))&gt;=3, IF(N(J27)&gt;0, ""Internal Fund Transfer (From x"" &amp; RIGHT(MID(G27, FIND(""-"", SUBSTITUTE(G27, ""-"", ""-"", 3)"&amp;") + 1, LEN(G27)), 4) &amp; "" to YES IDW 0490)"", ""Internal Fund Transfer (From YES IDW 0490 to x"" &amp; RIGHT(MID(G27, FIND(""-"", SUBSTITUTE(G27, ""-"", ""-"", 3)) + 1, LEN(G27)), 4) &amp; "")"") &amp; "" | Ref: "" &amp; ref &amp; "" | Type: "" &amp; P27 &amp; "" | BU: "" &amp; L27 &amp; """&amp;" | Head: "" &amp; M27, ""Internal Transfer | Ref: "" &amp; ref &amp; "" | Type: "" &amp; P27 &amp; "" | BU: "" &amp; L27 &amp; "" | Head: "" &amp; M27), IF(N(J27)&gt;0, IF(P27=""Customer Collection"", ""Receipt Credit (Collection) "" &amp; apt &amp; "" | Ref: "" &amp; ref &amp; "" | From: "" &amp; IF(ISNUMBER"&amp;"(SEARCH(""SOHNA ROAD"", G27)), ""Sohna Road"", ""Party"") &amp; "" | BU: "" &amp; L27, ""Receipt Credit from x"" &amp; RIGHT(MID(G27, FIND(""-"", SUBSTITUTE(G27, ""-"", ""-"", 3)) + 1, LEN(G27)), 4) &amp; "" (Purpose: "" &amp; IF(OR(ISBLANK(U27), U27=""N/A""), L27, U27) &amp; """&amp;") "" &amp; apt &amp; "" | Ref: "" &amp; ref &amp; "" | BU: "" &amp; L27 &amp; "" | Head: "" &amp; M27), ""Payment Disbursement (Purpose: "" &amp; IF(ISNUMBER(SEARCH(""salary"", M27)), ""Salary"", U27) &amp; "") | To: "" &amp; IF(ISNUMBER(SEARCH(""/"",G27)), IF(ISNUMBER(SEARCH(""FINO PAYMENTS"","&amp;"G27)), MID(G27, FIND(""/"",G27, SEARCH(""FINO PAYMENTS"",G27))+1, FIND(""/"", G27, FIND(""/"",G27, SEARCH(""FINO PAYMENTS"",G27))+1) - FIND(""/"",G27, SEARCH(""FINO PAYMENTS"",G27)) - 1), IFERROR(REGEXEXTRACT(G27, ""(?:[^/]*/){6}([^/]+)""), TRIM(RIGHT(SUB"&amp;"STITUTE(G27,""/"",REPT("" "",LEN(G27))),LEN(G27))))), IFERROR(MID(G27, FIND(""-"", G27, FIND(""-"", G27, FIND(""-"", G27) + 1) + 1) + 1, FIND(""-"", G27, FIND(""-"", G27, FIND(""-"", G27, FIND(""-"", G27) + 1) + 1) + 1) - FIND(""-"", G27, FIND(""-"", G27,"&amp;" FIND(""-"", G27) + 1) + 1) - 1), ""Vendor"")) &amp; "" | Ref: "" &amp; ref &amp; "" | BU: "" &amp; L27 &amp; "" | Head: "" &amp; M27 &amp; apt)))))"),"Payment Disbursement (Purpose: Salary) | To: Sandeep Kumar | Ref: YESME6232005352700 | BU: Casa Romana | Head: Salary Site")</f>
        <v>Payment Disbursement (Purpose: Salary) | To: Sandeep Kumar | Ref: YESME6232005352700 | BU: Casa Romana | Head: Salary Site</v>
      </c>
      <c r="X27" s="44">
        <v>259781.97</v>
      </c>
      <c r="Y27" s="50">
        <f t="shared" si="10"/>
        <v>12975.97</v>
      </c>
      <c r="Z27" s="53"/>
      <c r="AA27" s="53"/>
      <c r="AB27" s="53"/>
      <c r="AC27" s="53"/>
      <c r="AD27" s="53"/>
      <c r="AE27" s="53"/>
    </row>
    <row r="28" ht="15.75" customHeight="1">
      <c r="A28" s="45">
        <v>406.0</v>
      </c>
      <c r="B28" s="30" t="str">
        <f t="shared" si="8"/>
        <v>Q2</v>
      </c>
      <c r="C28" s="29">
        <f t="shared" si="9"/>
        <v>8</v>
      </c>
      <c r="D28" s="31">
        <v>46254.0</v>
      </c>
      <c r="E28" s="31">
        <v>46254.0</v>
      </c>
      <c r="F28" s="36" t="s">
        <v>37</v>
      </c>
      <c r="G28" s="30" t="s">
        <v>260</v>
      </c>
      <c r="H28" s="30" t="s">
        <v>261</v>
      </c>
      <c r="I28" s="47">
        <v>23177.0</v>
      </c>
      <c r="J28" s="47"/>
      <c r="K28" s="48">
        <f t="shared" si="7"/>
        <v>285416</v>
      </c>
      <c r="L28" s="30" t="s">
        <v>45</v>
      </c>
      <c r="M28" s="30" t="s">
        <v>110</v>
      </c>
      <c r="N28" s="36" t="s">
        <v>37</v>
      </c>
      <c r="O28" s="36" t="s">
        <v>60</v>
      </c>
      <c r="P28" s="30" t="s">
        <v>57</v>
      </c>
      <c r="Q28" s="30" t="s">
        <v>58</v>
      </c>
      <c r="R28" s="36" t="s">
        <v>37</v>
      </c>
      <c r="S28" s="36" t="s">
        <v>37</v>
      </c>
      <c r="T28" s="36" t="s">
        <v>37</v>
      </c>
      <c r="U28" s="30" t="s">
        <v>103</v>
      </c>
      <c r="V28" s="36" t="s">
        <v>37</v>
      </c>
      <c r="W28" s="51" t="str">
        <f>IFERROR(__xludf.DUMMYFUNCTION("LET(ref, IF(ISBLANK(H28), ""N/A"", H28), vendor, IF(ISNUMBER(SEARCH(""/"", G28)), TRIM(LEFT(SUBSTITUTE(MID(G28, SEARCH(""/"", G28)+1, 100), ""/"", REPT("" "", 100)), 100)), ""Vendor""), apt, IF(OR(ISBLANK(S28), TRIM(S28)="""", TRIM(S28)=""-""), """", "" |"&amp;" Apt: "" &amp; S28), IF(ISBLANK(U28), ""Remarks Compulsory For Narration"", TRIM(IF(M28=""Internal"", IF(LEN(G28)-LEN(SUBSTITUTE(G28,""-"",""""))&gt;=3, IF(N(J28)&gt;0, ""Internal Fund Transfer (From x"" &amp; RIGHT(MID(G28, FIND(""-"", SUBSTITUTE(G28, ""-"", ""-"", 3)"&amp;") + 1, LEN(G28)), 4) &amp; "" to YES IDW 0490)"", ""Internal Fund Transfer (From YES IDW 0490 to x"" &amp; RIGHT(MID(G28, FIND(""-"", SUBSTITUTE(G28, ""-"", ""-"", 3)) + 1, LEN(G28)), 4) &amp; "")"") &amp; "" | Ref: "" &amp; ref &amp; "" | Type: "" &amp; P28 &amp; "" | BU: "" &amp; L28 &amp; """&amp;" | Head: "" &amp; M28, ""Internal Transfer | Ref: "" &amp; ref &amp; "" | Type: "" &amp; P28 &amp; "" | BU: "" &amp; L28 &amp; "" | Head: "" &amp; M28), IF(N(J28)&gt;0, IF(P28=""Customer Collection"", ""Receipt Credit (Collection) "" &amp; apt &amp; "" | Ref: "" &amp; ref &amp; "" | From: "" &amp; IF(ISNUMBER"&amp;"(SEARCH(""SOHNA ROAD"", G28)), ""Sohna Road"", ""Party"") &amp; "" | BU: "" &amp; L28, ""Receipt Credit from x"" &amp; RIGHT(MID(G28, FIND(""-"", SUBSTITUTE(G28, ""-"", ""-"", 3)) + 1, LEN(G28)), 4) &amp; "" (Purpose: "" &amp; IF(OR(ISBLANK(U28), U28=""N/A""), L28, U28) &amp; """&amp;") "" &amp; apt &amp; "" | Ref: "" &amp; ref &amp; "" | BU: "" &amp; L28 &amp; "" | Head: "" &amp; M28), ""Payment Disbursement (Purpose: "" &amp; IF(ISNUMBER(SEARCH(""salary"", M28)), ""Salary"", U28) &amp; "") | To: "" &amp; IF(ISNUMBER(SEARCH(""/"",G28)), IF(ISNUMBER(SEARCH(""FINO PAYMENTS"","&amp;"G28)), MID(G28, FIND(""/"",G28, SEARCH(""FINO PAYMENTS"",G28))+1, FIND(""/"", G28, FIND(""/"",G28, SEARCH(""FINO PAYMENTS"",G28))+1) - FIND(""/"",G28, SEARCH(""FINO PAYMENTS"",G28)) - 1), IFERROR(REGEXEXTRACT(G28, ""(?:[^/]*/){6}([^/]+)""), TRIM(RIGHT(SUB"&amp;"STITUTE(G28,""/"",REPT("" "",LEN(G28))),LEN(G28))))), IFERROR(MID(G28, FIND(""-"", G28, FIND(""-"", G28, FIND(""-"", G28) + 1) + 1) + 1, FIND(""-"", G28, FIND(""-"", G28, FIND(""-"", G28, FIND(""-"", G28) + 1) + 1) + 1) - FIND(""-"", G28, FIND(""-"", G28,"&amp;" FIND(""-"", G28) + 1) + 1) - 1), ""Vendor"")) &amp; "" | Ref: "" &amp; ref &amp; "" | BU: "" &amp; L28 &amp; "" | Head: "" &amp; M28 &amp; apt)))))"),"Payment Disbursement (Purpose: Salary) | To: Mohan Singh | Ref: YESME6232005532500 | BU: Casa Romana | Head: Salary Site")</f>
        <v>Payment Disbursement (Purpose: Salary) | To: Mohan Singh | Ref: YESME6232005532500 | BU: Casa Romana | Head: Salary Site</v>
      </c>
      <c r="X28" s="44">
        <v>269982.97</v>
      </c>
      <c r="Y28" s="50">
        <f t="shared" si="10"/>
        <v>-15433.03</v>
      </c>
      <c r="Z28" s="53"/>
      <c r="AA28" s="53"/>
      <c r="AB28" s="53"/>
      <c r="AC28" s="53"/>
      <c r="AD28" s="53"/>
      <c r="AE28" s="53"/>
    </row>
    <row r="29" ht="15.75" customHeight="1">
      <c r="A29" s="45">
        <v>405.0</v>
      </c>
      <c r="B29" s="30" t="str">
        <f t="shared" si="8"/>
        <v>Q2</v>
      </c>
      <c r="C29" s="29">
        <f t="shared" si="9"/>
        <v>8</v>
      </c>
      <c r="D29" s="31">
        <v>46254.0</v>
      </c>
      <c r="E29" s="31">
        <v>46254.0</v>
      </c>
      <c r="F29" s="36" t="s">
        <v>37</v>
      </c>
      <c r="G29" s="30" t="s">
        <v>266</v>
      </c>
      <c r="H29" s="30" t="s">
        <v>267</v>
      </c>
      <c r="I29" s="47">
        <v>9506.0</v>
      </c>
      <c r="J29" s="47"/>
      <c r="K29" s="48">
        <f t="shared" si="7"/>
        <v>308593</v>
      </c>
      <c r="L29" s="30" t="s">
        <v>45</v>
      </c>
      <c r="M29" s="30" t="s">
        <v>110</v>
      </c>
      <c r="N29" s="36" t="s">
        <v>37</v>
      </c>
      <c r="O29" s="36" t="s">
        <v>60</v>
      </c>
      <c r="P29" s="30" t="s">
        <v>57</v>
      </c>
      <c r="Q29" s="30" t="s">
        <v>58</v>
      </c>
      <c r="R29" s="36" t="s">
        <v>37</v>
      </c>
      <c r="S29" s="36" t="s">
        <v>37</v>
      </c>
      <c r="T29" s="36" t="s">
        <v>37</v>
      </c>
      <c r="U29" s="30" t="s">
        <v>103</v>
      </c>
      <c r="V29" s="36" t="s">
        <v>37</v>
      </c>
      <c r="W29" s="51" t="str">
        <f>IFERROR(__xludf.DUMMYFUNCTION("LET(ref, IF(ISBLANK(H29), ""N/A"", H29), vendor, IF(ISNUMBER(SEARCH(""/"", G29)), TRIM(LEFT(SUBSTITUTE(MID(G29, SEARCH(""/"", G29)+1, 100), ""/"", REPT("" "", 100)), 100)), ""Vendor""), apt, IF(OR(ISBLANK(S29), TRIM(S29)="""", TRIM(S29)=""-""), """", "" |"&amp;" Apt: "" &amp; S29), IF(ISBLANK(U29), ""Remarks Compulsory For Narration"", TRIM(IF(M29=""Internal"", IF(LEN(G29)-LEN(SUBSTITUTE(G29,""-"",""""))&gt;=3, IF(N(J29)&gt;0, ""Internal Fund Transfer (From x"" &amp; RIGHT(MID(G29, FIND(""-"", SUBSTITUTE(G29, ""-"", ""-"", 3)"&amp;") + 1, LEN(G29)), 4) &amp; "" to YES IDW 0490)"", ""Internal Fund Transfer (From YES IDW 0490 to x"" &amp; RIGHT(MID(G29, FIND(""-"", SUBSTITUTE(G29, ""-"", ""-"", 3)) + 1, LEN(G29)), 4) &amp; "")"") &amp; "" | Ref: "" &amp; ref &amp; "" | Type: "" &amp; P29 &amp; "" | BU: "" &amp; L29 &amp; """&amp;" | Head: "" &amp; M29, ""Internal Transfer | Ref: "" &amp; ref &amp; "" | Type: "" &amp; P29 &amp; "" | BU: "" &amp; L29 &amp; "" | Head: "" &amp; M29), IF(N(J29)&gt;0, IF(P29=""Customer Collection"", ""Receipt Credit (Collection) "" &amp; apt &amp; "" | Ref: "" &amp; ref &amp; "" | From: "" &amp; IF(ISNUMBER"&amp;"(SEARCH(""SOHNA ROAD"", G29)), ""Sohna Road"", ""Party"") &amp; "" | BU: "" &amp; L29, ""Receipt Credit from x"" &amp; RIGHT(MID(G29, FIND(""-"", SUBSTITUTE(G29, ""-"", ""-"", 3)) + 1, LEN(G29)), 4) &amp; "" (Purpose: "" &amp; IF(OR(ISBLANK(U29), U29=""N/A""), L29, U29) &amp; """&amp;") "" &amp; apt &amp; "" | Ref: "" &amp; ref &amp; "" | BU: "" &amp; L29 &amp; "" | Head: "" &amp; M29), ""Payment Disbursement (Purpose: "" &amp; IF(ISNUMBER(SEARCH(""salary"", M29)), ""Salary"", U29) &amp; "") | To: "" &amp; IF(ISNUMBER(SEARCH(""/"",G29)), IF(ISNUMBER(SEARCH(""FINO PAYMENTS"","&amp;"G29)), MID(G29, FIND(""/"",G29, SEARCH(""FINO PAYMENTS"",G29))+1, FIND(""/"", G29, FIND(""/"",G29, SEARCH(""FINO PAYMENTS"",G29))+1) - FIND(""/"",G29, SEARCH(""FINO PAYMENTS"",G29)) - 1), IFERROR(REGEXEXTRACT(G29, ""(?:[^/]*/){6}([^/]+)""), TRIM(RIGHT(SUB"&amp;"STITUTE(G29,""/"",REPT("" "",LEN(G29))),LEN(G29))))), IFERROR(MID(G29, FIND(""-"", G29, FIND(""-"", G29, FIND(""-"", G29) + 1) + 1) + 1, FIND(""-"", G29, FIND(""-"", G29, FIND(""-"", G29, FIND(""-"", G29) + 1) + 1) + 1) - FIND(""-"", G29, FIND(""-"", G29,"&amp;" FIND(""-"", G29) + 1) + 1) - 1), ""Vendor"")) &amp; "" | Ref: "" &amp; ref &amp; "" | BU: "" &amp; L29 &amp; "" | Head: "" &amp; M29 &amp; apt)))))"),"Payment Disbursement (Purpose: Salary) | To: VISHAL KUMAR | Ref: YESME6232005532400 | BU: Casa Romana | Head: Salary Site")</f>
        <v>Payment Disbursement (Purpose: Salary) | To: VISHAL KUMAR | Ref: YESME6232005532400 | BU: Casa Romana | Head: Salary Site</v>
      </c>
      <c r="X29" s="44">
        <v>308592.97</v>
      </c>
      <c r="Y29" s="50">
        <f t="shared" si="10"/>
        <v>-0.03</v>
      </c>
      <c r="Z29" s="53"/>
      <c r="AA29" s="53"/>
      <c r="AB29" s="53"/>
      <c r="AC29" s="53"/>
      <c r="AD29" s="53"/>
      <c r="AE29" s="53"/>
    </row>
    <row r="30" ht="15.75" customHeight="1">
      <c r="A30" s="45">
        <v>404.0</v>
      </c>
      <c r="B30" s="30" t="str">
        <f t="shared" si="8"/>
        <v>Q2</v>
      </c>
      <c r="C30" s="29">
        <f t="shared" si="9"/>
        <v>8</v>
      </c>
      <c r="D30" s="31">
        <v>46254.0</v>
      </c>
      <c r="E30" s="31">
        <v>46254.0</v>
      </c>
      <c r="F30" s="36" t="s">
        <v>37</v>
      </c>
      <c r="G30" s="30" t="s">
        <v>276</v>
      </c>
      <c r="H30" s="30" t="s">
        <v>277</v>
      </c>
      <c r="I30" s="47">
        <v>9154.0</v>
      </c>
      <c r="J30" s="47"/>
      <c r="K30" s="48">
        <f t="shared" si="7"/>
        <v>318099</v>
      </c>
      <c r="L30" s="30" t="s">
        <v>45</v>
      </c>
      <c r="M30" s="30" t="s">
        <v>110</v>
      </c>
      <c r="N30" s="36" t="s">
        <v>37</v>
      </c>
      <c r="O30" s="36" t="s">
        <v>60</v>
      </c>
      <c r="P30" s="30" t="s">
        <v>57</v>
      </c>
      <c r="Q30" s="30" t="s">
        <v>58</v>
      </c>
      <c r="R30" s="36" t="s">
        <v>37</v>
      </c>
      <c r="S30" s="36" t="s">
        <v>37</v>
      </c>
      <c r="T30" s="36" t="s">
        <v>37</v>
      </c>
      <c r="U30" s="30" t="s">
        <v>103</v>
      </c>
      <c r="V30" s="36" t="s">
        <v>37</v>
      </c>
      <c r="W30" s="51" t="str">
        <f>IFERROR(__xludf.DUMMYFUNCTION("LET(ref, IF(ISBLANK(H30), ""N/A"", H30), vendor, IF(ISNUMBER(SEARCH(""/"", G30)), TRIM(LEFT(SUBSTITUTE(MID(G30, SEARCH(""/"", G30)+1, 100), ""/"", REPT("" "", 100)), 100)), ""Vendor""), apt, IF(OR(ISBLANK(S30), TRIM(S30)="""", TRIM(S30)=""-""), """", "" |"&amp;" Apt: "" &amp; S30), IF(ISBLANK(U30), ""Remarks Compulsory For Narration"", TRIM(IF(M30=""Internal"", IF(LEN(G30)-LEN(SUBSTITUTE(G30,""-"",""""))&gt;=3, IF(N(J30)&gt;0, ""Internal Fund Transfer (From x"" &amp; RIGHT(MID(G30, FIND(""-"", SUBSTITUTE(G30, ""-"", ""-"", 3)"&amp;") + 1, LEN(G30)), 4) &amp; "" to YES IDW 0490)"", ""Internal Fund Transfer (From YES IDW 0490 to x"" &amp; RIGHT(MID(G30, FIND(""-"", SUBSTITUTE(G30, ""-"", ""-"", 3)) + 1, LEN(G30)), 4) &amp; "")"") &amp; "" | Ref: "" &amp; ref &amp; "" | Type: "" &amp; P30 &amp; "" | BU: "" &amp; L30 &amp; """&amp;" | Head: "" &amp; M30, ""Internal Transfer | Ref: "" &amp; ref &amp; "" | Type: "" &amp; P30 &amp; "" | BU: "" &amp; L30 &amp; "" | Head: "" &amp; M30), IF(N(J30)&gt;0, IF(P30=""Customer Collection"", ""Receipt Credit (Collection) "" &amp; apt &amp; "" | Ref: "" &amp; ref &amp; "" | From: "" &amp; IF(ISNUMBER"&amp;"(SEARCH(""SOHNA ROAD"", G30)), ""Sohna Road"", ""Party"") &amp; "" | BU: "" &amp; L30, ""Receipt Credit from x"" &amp; RIGHT(MID(G30, FIND(""-"", SUBSTITUTE(G30, ""-"", ""-"", 3)) + 1, LEN(G30)), 4) &amp; "" (Purpose: "" &amp; IF(OR(ISBLANK(U30), U30=""N/A""), L30, U30) &amp; """&amp;") "" &amp; apt &amp; "" | Ref: "" &amp; ref &amp; "" | BU: "" &amp; L30 &amp; "" | Head: "" &amp; M30), ""Payment Disbursement (Purpose: "" &amp; IF(ISNUMBER(SEARCH(""salary"", M30)), ""Salary"", U30) &amp; "") | To: "" &amp; IF(ISNUMBER(SEARCH(""/"",G30)), IF(ISNUMBER(SEARCH(""FINO PAYMENTS"","&amp;"G30)), MID(G30, FIND(""/"",G30, SEARCH(""FINO PAYMENTS"",G30))+1, FIND(""/"", G30, FIND(""/"",G30, SEARCH(""FINO PAYMENTS"",G30))+1) - FIND(""/"",G30, SEARCH(""FINO PAYMENTS"",G30)) - 1), IFERROR(REGEXEXTRACT(G30, ""(?:[^/]*/){6}([^/]+)""), TRIM(RIGHT(SUB"&amp;"STITUTE(G30,""/"",REPT("" "",LEN(G30))),LEN(G30))))), IFERROR(MID(G30, FIND(""-"", G30, FIND(""-"", G30, FIND(""-"", G30) + 1) + 1) + 1, FIND(""-"", G30, FIND(""-"", G30, FIND(""-"", G30, FIND(""-"", G30) + 1) + 1) + 1) - FIND(""-"", G30, FIND(""-"", G30,"&amp;" FIND(""-"", G30) + 1) + 1) - 1), ""Vendor"")) &amp; "" | Ref: "" &amp; ref &amp; "" | BU: "" &amp; L30 &amp; "" | Head: "" &amp; M30 &amp; apt)))))"),"Payment Disbursement (Purpose: Salary) | To: Satish | Ref: YESME6232005352500 | BU: Casa Romana | Head: Salary Site")</f>
        <v>Payment Disbursement (Purpose: Salary) | To: Satish | Ref: YESME6232005352500 | BU: Casa Romana | Head: Salary Site</v>
      </c>
      <c r="X30" s="44">
        <v>334501.97</v>
      </c>
      <c r="Y30" s="50">
        <f t="shared" si="10"/>
        <v>16402.97</v>
      </c>
      <c r="Z30" s="53"/>
      <c r="AA30" s="53"/>
      <c r="AB30" s="53"/>
      <c r="AC30" s="53"/>
      <c r="AD30" s="53"/>
      <c r="AE30" s="53"/>
    </row>
    <row r="31" ht="15.75" customHeight="1">
      <c r="A31" s="45">
        <v>403.0</v>
      </c>
      <c r="B31" s="30" t="str">
        <f t="shared" si="8"/>
        <v>Q2</v>
      </c>
      <c r="C31" s="29">
        <f t="shared" si="9"/>
        <v>8</v>
      </c>
      <c r="D31" s="31">
        <v>46254.0</v>
      </c>
      <c r="E31" s="31">
        <v>46254.0</v>
      </c>
      <c r="F31" s="36" t="s">
        <v>37</v>
      </c>
      <c r="G31" s="30" t="s">
        <v>289</v>
      </c>
      <c r="H31" s="30" t="s">
        <v>291</v>
      </c>
      <c r="I31" s="47">
        <v>25909.0</v>
      </c>
      <c r="J31" s="47"/>
      <c r="K31" s="48">
        <f t="shared" si="7"/>
        <v>327253</v>
      </c>
      <c r="L31" s="30" t="s">
        <v>45</v>
      </c>
      <c r="M31" s="30" t="s">
        <v>110</v>
      </c>
      <c r="N31" s="36" t="s">
        <v>37</v>
      </c>
      <c r="O31" s="36" t="s">
        <v>60</v>
      </c>
      <c r="P31" s="30" t="s">
        <v>57</v>
      </c>
      <c r="Q31" s="30" t="s">
        <v>58</v>
      </c>
      <c r="R31" s="36" t="s">
        <v>37</v>
      </c>
      <c r="S31" s="36" t="s">
        <v>37</v>
      </c>
      <c r="T31" s="36" t="s">
        <v>37</v>
      </c>
      <c r="U31" s="30" t="s">
        <v>103</v>
      </c>
      <c r="V31" s="36" t="s">
        <v>37</v>
      </c>
      <c r="W31" s="51" t="str">
        <f>IFERROR(__xludf.DUMMYFUNCTION("LET(ref, IF(ISBLANK(H31), ""N/A"", H31), vendor, IF(ISNUMBER(SEARCH(""/"", G31)), TRIM(LEFT(SUBSTITUTE(MID(G31, SEARCH(""/"", G31)+1, 100), ""/"", REPT("" "", 100)), 100)), ""Vendor""), apt, IF(OR(ISBLANK(S31), TRIM(S31)="""", TRIM(S31)=""-""), """", "" |"&amp;" Apt: "" &amp; S31), IF(ISBLANK(U31), ""Remarks Compulsory For Narration"", TRIM(IF(M31=""Internal"", IF(LEN(G31)-LEN(SUBSTITUTE(G31,""-"",""""))&gt;=3, IF(N(J31)&gt;0, ""Internal Fund Transfer (From x"" &amp; RIGHT(MID(G31, FIND(""-"", SUBSTITUTE(G31, ""-"", ""-"", 3)"&amp;") + 1, LEN(G31)), 4) &amp; "" to YES IDW 0490)"", ""Internal Fund Transfer (From YES IDW 0490 to x"" &amp; RIGHT(MID(G31, FIND(""-"", SUBSTITUTE(G31, ""-"", ""-"", 3)) + 1, LEN(G31)), 4) &amp; "")"") &amp; "" | Ref: "" &amp; ref &amp; "" | Type: "" &amp; P31 &amp; "" | BU: "" &amp; L31 &amp; """&amp;" | Head: "" &amp; M31, ""Internal Transfer | Ref: "" &amp; ref &amp; "" | Type: "" &amp; P31 &amp; "" | BU: "" &amp; L31 &amp; "" | Head: "" &amp; M31), IF(N(J31)&gt;0, IF(P31=""Customer Collection"", ""Receipt Credit (Collection) "" &amp; apt &amp; "" | Ref: "" &amp; ref &amp; "" | From: "" &amp; IF(ISNUMBER"&amp;"(SEARCH(""SOHNA ROAD"", G31)), ""Sohna Road"", ""Party"") &amp; "" | BU: "" &amp; L31, ""Receipt Credit from x"" &amp; RIGHT(MID(G31, FIND(""-"", SUBSTITUTE(G31, ""-"", ""-"", 3)) + 1, LEN(G31)), 4) &amp; "" (Purpose: "" &amp; IF(OR(ISBLANK(U31), U31=""N/A""), L31, U31) &amp; """&amp;") "" &amp; apt &amp; "" | Ref: "" &amp; ref &amp; "" | BU: "" &amp; L31 &amp; "" | Head: "" &amp; M31), ""Payment Disbursement (Purpose: "" &amp; IF(ISNUMBER(SEARCH(""salary"", M31)), ""Salary"", U31) &amp; "") | To: "" &amp; IF(ISNUMBER(SEARCH(""/"",G31)), IF(ISNUMBER(SEARCH(""FINO PAYMENTS"","&amp;"G31)), MID(G31, FIND(""/"",G31, SEARCH(""FINO PAYMENTS"",G31))+1, FIND(""/"", G31, FIND(""/"",G31, SEARCH(""FINO PAYMENTS"",G31))+1) - FIND(""/"",G31, SEARCH(""FINO PAYMENTS"",G31)) - 1), IFERROR(REGEXEXTRACT(G31, ""(?:[^/]*/){6}([^/]+)""), TRIM(RIGHT(SUB"&amp;"STITUTE(G31,""/"",REPT("" "",LEN(G31))),LEN(G31))))), IFERROR(MID(G31, FIND(""-"", G31, FIND(""-"", G31, FIND(""-"", G31) + 1) + 1) + 1, FIND(""-"", G31, FIND(""-"", G31, FIND(""-"", G31, FIND(""-"", G31) + 1) + 1) + 1) - FIND(""-"", G31, FIND(""-"", G31,"&amp;" FIND(""-"", G31) + 1) + 1) - 1), ""Vendor"")) &amp; "" | Ref: "" &amp; ref &amp; "" | BU: "" &amp; L31 &amp; "" | Head: "" &amp; M31 &amp; apt)))))"),"Payment Disbursement (Purpose: Salary) | To: Devender Kumar | Ref: YESME6232005352400 | BU: Casa Romana | Head: Salary Site")</f>
        <v>Payment Disbursement (Purpose: Salary) | To: Devender Kumar | Ref: YESME6232005352400 | BU: Casa Romana | Head: Salary Site</v>
      </c>
      <c r="X31" s="44">
        <v>344007.97</v>
      </c>
      <c r="Y31" s="50">
        <f t="shared" si="10"/>
        <v>16754.97</v>
      </c>
      <c r="Z31" s="53"/>
      <c r="AA31" s="53"/>
      <c r="AB31" s="53"/>
      <c r="AC31" s="53"/>
      <c r="AD31" s="53"/>
      <c r="AE31" s="53"/>
    </row>
    <row r="32" ht="15.75" customHeight="1">
      <c r="A32" s="45">
        <v>402.0</v>
      </c>
      <c r="B32" s="30" t="str">
        <f t="shared" si="8"/>
        <v>Q2</v>
      </c>
      <c r="C32" s="29">
        <f t="shared" si="9"/>
        <v>8</v>
      </c>
      <c r="D32" s="31">
        <v>46254.0</v>
      </c>
      <c r="E32" s="31">
        <v>46254.0</v>
      </c>
      <c r="F32" s="36" t="s">
        <v>37</v>
      </c>
      <c r="G32" s="30" t="s">
        <v>302</v>
      </c>
      <c r="H32" s="30" t="s">
        <v>303</v>
      </c>
      <c r="I32" s="47">
        <v>7040.0</v>
      </c>
      <c r="J32" s="47"/>
      <c r="K32" s="48">
        <f t="shared" si="7"/>
        <v>353162</v>
      </c>
      <c r="L32" s="30" t="s">
        <v>45</v>
      </c>
      <c r="M32" s="30" t="s">
        <v>110</v>
      </c>
      <c r="N32" s="36" t="s">
        <v>37</v>
      </c>
      <c r="O32" s="36" t="s">
        <v>60</v>
      </c>
      <c r="P32" s="30" t="s">
        <v>57</v>
      </c>
      <c r="Q32" s="30" t="s">
        <v>58</v>
      </c>
      <c r="R32" s="36" t="s">
        <v>37</v>
      </c>
      <c r="S32" s="36" t="s">
        <v>37</v>
      </c>
      <c r="T32" s="36" t="s">
        <v>37</v>
      </c>
      <c r="U32" s="30" t="s">
        <v>103</v>
      </c>
      <c r="V32" s="36" t="s">
        <v>37</v>
      </c>
      <c r="W32" s="51" t="str">
        <f>IFERROR(__xludf.DUMMYFUNCTION("LET(ref, IF(ISBLANK(H32), ""N/A"", H32), vendor, IF(ISNUMBER(SEARCH(""/"", G32)), TRIM(LEFT(SUBSTITUTE(MID(G32, SEARCH(""/"", G32)+1, 100), ""/"", REPT("" "", 100)), 100)), ""Vendor""), apt, IF(OR(ISBLANK(S32), TRIM(S32)="""", TRIM(S32)=""-""), """", "" |"&amp;" Apt: "" &amp; S32), IF(ISBLANK(U32), ""Remarks Compulsory For Narration"", TRIM(IF(M32=""Internal"", IF(LEN(G32)-LEN(SUBSTITUTE(G32,""-"",""""))&gt;=3, IF(N(J32)&gt;0, ""Internal Fund Transfer (From x"" &amp; RIGHT(MID(G32, FIND(""-"", SUBSTITUTE(G32, ""-"", ""-"", 3)"&amp;") + 1, LEN(G32)), 4) &amp; "" to YES IDW 0490)"", ""Internal Fund Transfer (From YES IDW 0490 to x"" &amp; RIGHT(MID(G32, FIND(""-"", SUBSTITUTE(G32, ""-"", ""-"", 3)) + 1, LEN(G32)), 4) &amp; "")"") &amp; "" | Ref: "" &amp; ref &amp; "" | Type: "" &amp; P32 &amp; "" | BU: "" &amp; L32 &amp; """&amp;" | Head: "" &amp; M32, ""Internal Transfer | Ref: "" &amp; ref &amp; "" | Type: "" &amp; P32 &amp; "" | BU: "" &amp; L32 &amp; "" | Head: "" &amp; M32), IF(N(J32)&gt;0, IF(P32=""Customer Collection"", ""Receipt Credit (Collection) "" &amp; apt &amp; "" | Ref: "" &amp; ref &amp; "" | From: "" &amp; IF(ISNUMBER"&amp;"(SEARCH(""SOHNA ROAD"", G32)), ""Sohna Road"", ""Party"") &amp; "" | BU: "" &amp; L32, ""Receipt Credit from x"" &amp; RIGHT(MID(G32, FIND(""-"", SUBSTITUTE(G32, ""-"", ""-"", 3)) + 1, LEN(G32)), 4) &amp; "" (Purpose: "" &amp; IF(OR(ISBLANK(U32), U32=""N/A""), L32, U32) &amp; """&amp;") "" &amp; apt &amp; "" | Ref: "" &amp; ref &amp; "" | BU: "" &amp; L32 &amp; "" | Head: "" &amp; M32), ""Payment Disbursement (Purpose: "" &amp; IF(ISNUMBER(SEARCH(""salary"", M32)), ""Salary"", U32) &amp; "") | To: "" &amp; IF(ISNUMBER(SEARCH(""/"",G32)), IF(ISNUMBER(SEARCH(""FINO PAYMENTS"","&amp;"G32)), MID(G32, FIND(""/"",G32, SEARCH(""FINO PAYMENTS"",G32))+1, FIND(""/"", G32, FIND(""/"",G32, SEARCH(""FINO PAYMENTS"",G32))+1) - FIND(""/"",G32, SEARCH(""FINO PAYMENTS"",G32)) - 1), IFERROR(REGEXEXTRACT(G32, ""(?:[^/]*/){6}([^/]+)""), TRIM(RIGHT(SUB"&amp;"STITUTE(G32,""/"",REPT("" "",LEN(G32))),LEN(G32))))), IFERROR(MID(G32, FIND(""-"", G32, FIND(""-"", G32, FIND(""-"", G32) + 1) + 1) + 1, FIND(""-"", G32, FIND(""-"", G32, FIND(""-"", G32, FIND(""-"", G32) + 1) + 1) + 1) - FIND(""-"", G32, FIND(""-"", G32,"&amp;" FIND(""-"", G32) + 1) + 1) - 1), ""Vendor"")) &amp; "" | Ref: "" &amp; ref &amp; "" | BU: "" &amp; L32 &amp; "" | Head: "" &amp; M32 &amp; apt)))))"),"Payment Disbursement (Purpose: Salary) | To: Pooja | Ref: YESI66232008082900 | BU: Casa Romana | Head: Salary Site")</f>
        <v>Payment Disbursement (Purpose: Salary) | To: Pooja | Ref: YESI66232008082900 | BU: Casa Romana | Head: Salary Site</v>
      </c>
      <c r="X32" s="44">
        <v>353161.97</v>
      </c>
      <c r="Y32" s="50">
        <f t="shared" si="10"/>
        <v>-0.03</v>
      </c>
      <c r="Z32" s="53"/>
      <c r="AA32" s="53"/>
      <c r="AB32" s="53"/>
      <c r="AC32" s="53"/>
      <c r="AD32" s="53"/>
      <c r="AE32" s="53"/>
    </row>
    <row r="33" ht="15.75" customHeight="1">
      <c r="A33" s="45">
        <v>401.0</v>
      </c>
      <c r="B33" s="30" t="str">
        <f t="shared" si="8"/>
        <v>Q2</v>
      </c>
      <c r="C33" s="29">
        <f t="shared" si="9"/>
        <v>8</v>
      </c>
      <c r="D33" s="31">
        <v>46254.0</v>
      </c>
      <c r="E33" s="31">
        <v>46254.0</v>
      </c>
      <c r="F33" s="36" t="s">
        <v>37</v>
      </c>
      <c r="G33" s="30" t="s">
        <v>314</v>
      </c>
      <c r="H33" s="30" t="s">
        <v>316</v>
      </c>
      <c r="I33" s="47">
        <v>13541.0</v>
      </c>
      <c r="J33" s="47"/>
      <c r="K33" s="48">
        <f t="shared" si="7"/>
        <v>360202</v>
      </c>
      <c r="L33" s="30" t="s">
        <v>45</v>
      </c>
      <c r="M33" s="30" t="s">
        <v>55</v>
      </c>
      <c r="N33" s="36" t="s">
        <v>37</v>
      </c>
      <c r="O33" s="36" t="s">
        <v>60</v>
      </c>
      <c r="P33" s="30" t="s">
        <v>57</v>
      </c>
      <c r="Q33" s="30" t="s">
        <v>58</v>
      </c>
      <c r="R33" s="36" t="s">
        <v>37</v>
      </c>
      <c r="S33" s="36" t="s">
        <v>37</v>
      </c>
      <c r="T33" s="36" t="s">
        <v>37</v>
      </c>
      <c r="U33" s="30" t="s">
        <v>103</v>
      </c>
      <c r="V33" s="36" t="s">
        <v>37</v>
      </c>
      <c r="W33" s="51" t="str">
        <f t="shared" ref="W33:W83" si="11">_xludf.LET(ref, IF(ISBLANK(H33), "N/A", H33), vendor, IF(ISNUMBER(SEARCH("/", G33)), TRIM(LEFT(SUBSTITUTE(MID(G33, SEARCH("/", G33)+1, 100), "/", REPT(" ", 100)), 100)), "Vendor"), apt, IF(OR(ISBLANK(S33), TRIM(S33)="", TRIM(S33)="-"), "", " | Apt: " &amp; S33), IF(ISBLANK(U33), "Remarks Compulsory For Narration", TRIM(IF(M33="Internal", IF(LEN(G33)-LEN(SUBSTITUTE(G33,"-",""))&gt;=3, IF(N(J33)&gt;0, "Internal Fund Transfer (From x" &amp; RIGHT(MID(G33, FIND("-", SUBSTITUTE(G33, "-", "-", 3)) + 1, LEN(G33)), 4) &amp; " to YES IDW 0490)", "Internal Fund Transfer (From YES IDW 0490 to x" &amp; RIGHT(MID(G33, FIND("-", SUBSTITUTE(G33, "-", "-", 3)) + 1, LEN(G33)), 4) &amp; ")") &amp; " | Ref: " &amp; ref &amp; " | Type: " &amp; P33 &amp; " | BU: " &amp; L33 &amp; " | Head: " &amp; M33, "Internal Transfer | Ref: " &amp; ref &amp; " | Type: " &amp; P33 &amp; " | BU: " &amp; L33 &amp; " | Head: " &amp; M33), IF(N(J33)&gt;0, IF(P33="Customer Collection", "Receipt Credit (Collection) " &amp; apt &amp; " | Ref: " &amp; ref &amp; " | From: " &amp; IF(ISNUMBER(SEARCH("SOHNA ROAD", G33)), "Sohna Road", "Party") &amp; " | BU: " &amp; L33, "Receipt Credit from x" &amp; RIGHT(MID(G33, FIND("-", SUBSTITUTE(G33, "-", "-", 3)) + 1, LEN(G33)), 4) &amp; " (Purpose: " &amp; IF(OR(ISBLANK(U33), U33="N/A"), L33, U33) &amp; ") " &amp; apt &amp; " | Ref: " &amp; ref &amp; " | BU: " &amp; L33 &amp; " | Head: " &amp; M33), "Payment Disbursement (Purpose: " &amp; IF(ISNUMBER(SEARCH("salary", M33)), "Salary", U33) &amp; ") | To: " &amp; IF(ISNUMBER(SEARCH("/",G33)), IF(ISNUMBER(SEARCH("FINO PAYMENTS",G33)), MID(G33, FIND("/",G33, SEARCH("FINO PAYMENTS",G33))+1, FIND("/", G33, FIND("/",G33, SEARCH("FINO PAYMENTS",G33))+1) - FIND("/",G33, SEARCH("FINO PAYMENTS",G33)) - 1), IFERROR(MID(G33, FIND("/", G33, FIND("/", G33, FIND("/", G33, FIND("/", G33)+1)+1)+1)+1, FIND("/", G33, FIND("/", G33, FIND("/", G33, FIND("/", G33, FIND("/", G33)+1)+1)+1)+1) - FIND("/", G33, FIND("/", G33, FIND("/", G33)+1)+1) - 1), TRIM(RIGHT(SUBSTITUTE(G33,"/",REPT(" ",LEN(G33))),LEN(G33))))), IFERROR(MID(G33, FIND("-", G33, FIND("-", G33, FIND("-", G33) + 1) + 1) + 1, FIND("-", G33, FIND("-", G33, FIND("-", G33, FIND("-", G33) + 1) + 1) + 1) - FIND("-", G33, FIND("-", G33, FIND("-", G33) + 1) + 1) - 1), "Vendor")) &amp; " | Ref: " &amp; ref &amp; " | BU: " &amp; L33 &amp; " | Head: " &amp; M33 &amp; apt)))))</f>
        <v>#NAME?</v>
      </c>
      <c r="X33" s="44">
        <v>360201.97</v>
      </c>
      <c r="Y33" s="50">
        <f t="shared" si="10"/>
        <v>-0.03</v>
      </c>
      <c r="Z33" s="53"/>
      <c r="AA33" s="53"/>
      <c r="AB33" s="53"/>
      <c r="AC33" s="53"/>
      <c r="AD33" s="53"/>
      <c r="AE33" s="53"/>
    </row>
    <row r="34" ht="15.75" customHeight="1">
      <c r="A34" s="45">
        <v>400.0</v>
      </c>
      <c r="B34" s="30" t="str">
        <f t="shared" si="8"/>
        <v>Q2</v>
      </c>
      <c r="C34" s="29">
        <f t="shared" si="9"/>
        <v>8</v>
      </c>
      <c r="D34" s="31">
        <v>46254.0</v>
      </c>
      <c r="E34" s="31">
        <v>46254.0</v>
      </c>
      <c r="F34" s="36" t="s">
        <v>37</v>
      </c>
      <c r="G34" s="30" t="s">
        <v>348</v>
      </c>
      <c r="H34" s="30" t="s">
        <v>349</v>
      </c>
      <c r="I34" s="47">
        <v>1407.0</v>
      </c>
      <c r="J34" s="47"/>
      <c r="K34" s="48">
        <f t="shared" si="7"/>
        <v>373743</v>
      </c>
      <c r="L34" s="30" t="s">
        <v>45</v>
      </c>
      <c r="M34" s="30" t="s">
        <v>110</v>
      </c>
      <c r="N34" s="36" t="s">
        <v>37</v>
      </c>
      <c r="O34" s="36" t="s">
        <v>60</v>
      </c>
      <c r="P34" s="30" t="s">
        <v>57</v>
      </c>
      <c r="Q34" s="30" t="s">
        <v>58</v>
      </c>
      <c r="R34" s="36" t="s">
        <v>37</v>
      </c>
      <c r="S34" s="36" t="s">
        <v>37</v>
      </c>
      <c r="T34" s="36" t="s">
        <v>37</v>
      </c>
      <c r="U34" s="30" t="s">
        <v>103</v>
      </c>
      <c r="V34" s="36" t="s">
        <v>37</v>
      </c>
      <c r="W34" s="51" t="str">
        <f t="shared" si="11"/>
        <v>#NAME?</v>
      </c>
      <c r="X34" s="44">
        <v>373742.97</v>
      </c>
      <c r="Y34" s="50">
        <f t="shared" si="10"/>
        <v>-0.03</v>
      </c>
      <c r="Z34" s="53"/>
      <c r="AA34" s="53"/>
      <c r="AB34" s="53"/>
      <c r="AC34" s="53"/>
      <c r="AD34" s="53"/>
      <c r="AE34" s="53"/>
    </row>
    <row r="35" ht="15.75" customHeight="1">
      <c r="A35" s="45">
        <v>399.0</v>
      </c>
      <c r="B35" s="30" t="str">
        <f t="shared" si="8"/>
        <v>Q2</v>
      </c>
      <c r="C35" s="29">
        <f t="shared" si="9"/>
        <v>8</v>
      </c>
      <c r="D35" s="31">
        <v>46254.0</v>
      </c>
      <c r="E35" s="31">
        <v>46254.0</v>
      </c>
      <c r="F35" s="36" t="s">
        <v>37</v>
      </c>
      <c r="G35" s="30" t="s">
        <v>354</v>
      </c>
      <c r="H35" s="30" t="s">
        <v>356</v>
      </c>
      <c r="I35" s="47">
        <v>1759.0</v>
      </c>
      <c r="J35" s="47"/>
      <c r="K35" s="48">
        <f t="shared" si="7"/>
        <v>375150</v>
      </c>
      <c r="L35" s="30" t="s">
        <v>45</v>
      </c>
      <c r="M35" s="30" t="s">
        <v>110</v>
      </c>
      <c r="N35" s="36" t="s">
        <v>37</v>
      </c>
      <c r="O35" s="36" t="s">
        <v>60</v>
      </c>
      <c r="P35" s="30" t="s">
        <v>57</v>
      </c>
      <c r="Q35" s="30" t="s">
        <v>58</v>
      </c>
      <c r="R35" s="36" t="s">
        <v>37</v>
      </c>
      <c r="S35" s="36" t="s">
        <v>37</v>
      </c>
      <c r="T35" s="36" t="s">
        <v>37</v>
      </c>
      <c r="U35" s="30" t="s">
        <v>103</v>
      </c>
      <c r="V35" s="36" t="s">
        <v>37</v>
      </c>
      <c r="W35" s="51" t="str">
        <f t="shared" si="11"/>
        <v>#NAME?</v>
      </c>
      <c r="X35" s="44">
        <v>375501.97</v>
      </c>
      <c r="Y35" s="50">
        <f t="shared" si="10"/>
        <v>351.97</v>
      </c>
      <c r="Z35" s="53"/>
      <c r="AA35" s="53"/>
      <c r="AB35" s="53"/>
      <c r="AC35" s="53"/>
      <c r="AD35" s="53"/>
      <c r="AE35" s="53"/>
    </row>
    <row r="36" ht="15.75" customHeight="1">
      <c r="A36" s="45">
        <v>398.0</v>
      </c>
      <c r="B36" s="30" t="str">
        <f t="shared" si="8"/>
        <v>Q2</v>
      </c>
      <c r="C36" s="29">
        <f t="shared" si="9"/>
        <v>8</v>
      </c>
      <c r="D36" s="31">
        <v>46254.0</v>
      </c>
      <c r="E36" s="31">
        <v>46254.0</v>
      </c>
      <c r="F36" s="36" t="s">
        <v>37</v>
      </c>
      <c r="G36" s="30" t="s">
        <v>362</v>
      </c>
      <c r="H36" s="30" t="s">
        <v>363</v>
      </c>
      <c r="I36" s="47">
        <v>11664.0</v>
      </c>
      <c r="J36" s="47"/>
      <c r="K36" s="48">
        <f t="shared" si="7"/>
        <v>376909</v>
      </c>
      <c r="L36" s="30" t="s">
        <v>45</v>
      </c>
      <c r="M36" s="30" t="s">
        <v>110</v>
      </c>
      <c r="N36" s="36" t="s">
        <v>37</v>
      </c>
      <c r="O36" s="36" t="s">
        <v>60</v>
      </c>
      <c r="P36" s="30" t="s">
        <v>57</v>
      </c>
      <c r="Q36" s="30" t="s">
        <v>58</v>
      </c>
      <c r="R36" s="36" t="s">
        <v>37</v>
      </c>
      <c r="S36" s="36" t="s">
        <v>37</v>
      </c>
      <c r="T36" s="36" t="s">
        <v>37</v>
      </c>
      <c r="U36" s="30" t="s">
        <v>103</v>
      </c>
      <c r="V36" s="36" t="s">
        <v>37</v>
      </c>
      <c r="W36" s="51" t="str">
        <f t="shared" si="11"/>
        <v>#NAME?</v>
      </c>
      <c r="X36" s="44">
        <v>376908.97</v>
      </c>
      <c r="Y36" s="50">
        <f t="shared" si="10"/>
        <v>-0.03</v>
      </c>
      <c r="Z36" s="53"/>
      <c r="AA36" s="53"/>
      <c r="AB36" s="53"/>
      <c r="AC36" s="53"/>
      <c r="AD36" s="53"/>
      <c r="AE36" s="53"/>
    </row>
    <row r="37" ht="15.75" customHeight="1">
      <c r="A37" s="45">
        <v>397.0</v>
      </c>
      <c r="B37" s="30" t="str">
        <f t="shared" si="8"/>
        <v>Q2</v>
      </c>
      <c r="C37" s="29">
        <f t="shared" si="9"/>
        <v>8</v>
      </c>
      <c r="D37" s="31">
        <v>46254.0</v>
      </c>
      <c r="E37" s="31">
        <v>46254.0</v>
      </c>
      <c r="F37" s="36" t="s">
        <v>37</v>
      </c>
      <c r="G37" s="30" t="s">
        <v>367</v>
      </c>
      <c r="H37" s="30" t="s">
        <v>368</v>
      </c>
      <c r="I37" s="47">
        <v>777.0</v>
      </c>
      <c r="J37" s="47"/>
      <c r="K37" s="48">
        <f t="shared" si="7"/>
        <v>388573</v>
      </c>
      <c r="L37" s="30" t="s">
        <v>45</v>
      </c>
      <c r="M37" s="30" t="s">
        <v>110</v>
      </c>
      <c r="N37" s="36" t="s">
        <v>37</v>
      </c>
      <c r="O37" s="36" t="s">
        <v>60</v>
      </c>
      <c r="P37" s="30" t="s">
        <v>57</v>
      </c>
      <c r="Q37" s="30" t="s">
        <v>58</v>
      </c>
      <c r="R37" s="36" t="s">
        <v>37</v>
      </c>
      <c r="S37" s="36" t="s">
        <v>37</v>
      </c>
      <c r="T37" s="36" t="s">
        <v>37</v>
      </c>
      <c r="U37" s="30" t="s">
        <v>103</v>
      </c>
      <c r="V37" s="36" t="s">
        <v>37</v>
      </c>
      <c r="W37" s="51" t="str">
        <f t="shared" si="11"/>
        <v>#NAME?</v>
      </c>
      <c r="X37" s="44">
        <v>388572.97</v>
      </c>
      <c r="Y37" s="50">
        <f t="shared" si="10"/>
        <v>-0.03</v>
      </c>
      <c r="Z37" s="53"/>
      <c r="AA37" s="53"/>
      <c r="AB37" s="53"/>
      <c r="AC37" s="53"/>
      <c r="AD37" s="53"/>
      <c r="AE37" s="53"/>
    </row>
    <row r="38" ht="15.75" customHeight="1">
      <c r="A38" s="45">
        <v>396.0</v>
      </c>
      <c r="B38" s="30" t="str">
        <f t="shared" si="8"/>
        <v>Q2</v>
      </c>
      <c r="C38" s="29">
        <f t="shared" si="9"/>
        <v>8</v>
      </c>
      <c r="D38" s="31">
        <v>46254.0</v>
      </c>
      <c r="E38" s="31">
        <v>46254.0</v>
      </c>
      <c r="F38" s="36" t="s">
        <v>37</v>
      </c>
      <c r="G38" s="30" t="s">
        <v>380</v>
      </c>
      <c r="H38" s="30" t="s">
        <v>381</v>
      </c>
      <c r="I38" s="47">
        <v>29898.0</v>
      </c>
      <c r="J38" s="47"/>
      <c r="K38" s="48">
        <f t="shared" si="7"/>
        <v>389350</v>
      </c>
      <c r="L38" s="30" t="s">
        <v>45</v>
      </c>
      <c r="M38" s="30" t="s">
        <v>110</v>
      </c>
      <c r="N38" s="36" t="s">
        <v>37</v>
      </c>
      <c r="O38" s="36" t="s">
        <v>60</v>
      </c>
      <c r="P38" s="30" t="s">
        <v>57</v>
      </c>
      <c r="Q38" s="30" t="s">
        <v>58</v>
      </c>
      <c r="R38" s="36" t="s">
        <v>37</v>
      </c>
      <c r="S38" s="36" t="s">
        <v>37</v>
      </c>
      <c r="T38" s="36" t="s">
        <v>37</v>
      </c>
      <c r="U38" s="30" t="s">
        <v>103</v>
      </c>
      <c r="V38" s="36" t="s">
        <v>37</v>
      </c>
      <c r="W38" s="51" t="str">
        <f t="shared" si="11"/>
        <v>#NAME?</v>
      </c>
      <c r="X38" s="44">
        <v>418470.97</v>
      </c>
      <c r="Y38" s="50">
        <f t="shared" si="10"/>
        <v>29120.97</v>
      </c>
      <c r="Z38" s="53"/>
      <c r="AA38" s="53"/>
      <c r="AB38" s="53"/>
      <c r="AC38" s="53"/>
      <c r="AD38" s="53"/>
      <c r="AE38" s="53"/>
    </row>
    <row r="39" ht="15.75" customHeight="1">
      <c r="A39" s="45">
        <v>395.0</v>
      </c>
      <c r="B39" s="30" t="str">
        <f t="shared" si="8"/>
        <v>Q2</v>
      </c>
      <c r="C39" s="29">
        <f t="shared" si="9"/>
        <v>8</v>
      </c>
      <c r="D39" s="31">
        <v>46254.0</v>
      </c>
      <c r="E39" s="31">
        <v>46254.0</v>
      </c>
      <c r="F39" s="36" t="s">
        <v>37</v>
      </c>
      <c r="G39" s="30" t="s">
        <v>141</v>
      </c>
      <c r="H39" s="30" t="s">
        <v>86</v>
      </c>
      <c r="I39" s="47"/>
      <c r="J39" s="47">
        <v>150000.0</v>
      </c>
      <c r="K39" s="48">
        <f t="shared" si="7"/>
        <v>419248</v>
      </c>
      <c r="L39" s="30" t="s">
        <v>45</v>
      </c>
      <c r="M39" s="30" t="s">
        <v>47</v>
      </c>
      <c r="N39" s="36" t="s">
        <v>37</v>
      </c>
      <c r="O39" s="36" t="s">
        <v>37</v>
      </c>
      <c r="P39" s="30" t="s">
        <v>74</v>
      </c>
      <c r="Q39" s="30" t="s">
        <v>50</v>
      </c>
      <c r="R39" s="36" t="s">
        <v>37</v>
      </c>
      <c r="S39" s="36" t="s">
        <v>37</v>
      </c>
      <c r="T39" s="36" t="s">
        <v>37</v>
      </c>
      <c r="U39" s="30" t="s">
        <v>103</v>
      </c>
      <c r="V39" s="36" t="s">
        <v>37</v>
      </c>
      <c r="W39" s="51" t="str">
        <f t="shared" si="11"/>
        <v>#NAME?</v>
      </c>
      <c r="X39" s="44">
        <v>419247.97</v>
      </c>
      <c r="Y39" s="50">
        <f t="shared" si="10"/>
        <v>-0.03</v>
      </c>
      <c r="Z39" s="53"/>
      <c r="AA39" s="53"/>
      <c r="AB39" s="53"/>
      <c r="AC39" s="53"/>
      <c r="AD39" s="53"/>
      <c r="AE39" s="53"/>
    </row>
    <row r="40" ht="15.75" customHeight="1">
      <c r="A40" s="45">
        <v>394.0</v>
      </c>
      <c r="B40" s="30" t="str">
        <f t="shared" si="8"/>
        <v>Q2</v>
      </c>
      <c r="C40" s="29">
        <f t="shared" si="9"/>
        <v>8</v>
      </c>
      <c r="D40" s="31">
        <v>46254.0</v>
      </c>
      <c r="E40" s="31">
        <v>46254.0</v>
      </c>
      <c r="F40" s="36" t="s">
        <v>37</v>
      </c>
      <c r="G40" s="30" t="s">
        <v>392</v>
      </c>
      <c r="H40" s="30" t="s">
        <v>393</v>
      </c>
      <c r="I40" s="47"/>
      <c r="J40" s="47">
        <v>150000.0</v>
      </c>
      <c r="K40" s="48">
        <f t="shared" si="7"/>
        <v>269248</v>
      </c>
      <c r="L40" s="30" t="s">
        <v>45</v>
      </c>
      <c r="M40" s="30" t="s">
        <v>47</v>
      </c>
      <c r="N40" s="36" t="s">
        <v>37</v>
      </c>
      <c r="O40" s="36" t="s">
        <v>60</v>
      </c>
      <c r="P40" s="30" t="s">
        <v>49</v>
      </c>
      <c r="Q40" s="30" t="s">
        <v>50</v>
      </c>
      <c r="R40" s="36" t="s">
        <v>37</v>
      </c>
      <c r="S40" s="36" t="s">
        <v>37</v>
      </c>
      <c r="T40" s="36" t="s">
        <v>37</v>
      </c>
      <c r="U40" s="30" t="s">
        <v>103</v>
      </c>
      <c r="V40" s="36" t="s">
        <v>37</v>
      </c>
      <c r="W40" s="51" t="str">
        <f t="shared" si="11"/>
        <v>#NAME?</v>
      </c>
      <c r="X40" s="44">
        <v>269247.97</v>
      </c>
      <c r="Y40" s="50">
        <f t="shared" si="10"/>
        <v>-0.03</v>
      </c>
      <c r="Z40" s="53"/>
      <c r="AA40" s="53"/>
      <c r="AB40" s="53"/>
      <c r="AC40" s="53"/>
      <c r="AD40" s="53"/>
      <c r="AE40" s="53"/>
    </row>
    <row r="41" ht="15.75" customHeight="1">
      <c r="A41" s="45">
        <v>393.0</v>
      </c>
      <c r="B41" s="30" t="str">
        <f t="shared" si="8"/>
        <v>Q2</v>
      </c>
      <c r="C41" s="29">
        <f t="shared" si="9"/>
        <v>8</v>
      </c>
      <c r="D41" s="31">
        <v>46248.0</v>
      </c>
      <c r="E41" s="31">
        <v>46248.0</v>
      </c>
      <c r="F41" s="36"/>
      <c r="G41" s="30" t="s">
        <v>396</v>
      </c>
      <c r="H41" s="30" t="s">
        <v>397</v>
      </c>
      <c r="I41" s="47">
        <v>1980.0</v>
      </c>
      <c r="J41" s="47"/>
      <c r="K41" s="48">
        <f t="shared" si="7"/>
        <v>119248</v>
      </c>
      <c r="L41" s="30" t="s">
        <v>45</v>
      </c>
      <c r="M41" s="30" t="s">
        <v>55</v>
      </c>
      <c r="N41" s="36"/>
      <c r="O41" s="36" t="s">
        <v>60</v>
      </c>
      <c r="P41" s="30" t="s">
        <v>57</v>
      </c>
      <c r="Q41" s="30" t="s">
        <v>58</v>
      </c>
      <c r="R41" s="36"/>
      <c r="S41" s="36"/>
      <c r="T41" s="36"/>
      <c r="U41" s="30" t="s">
        <v>156</v>
      </c>
      <c r="V41" s="36"/>
      <c r="W41" s="51" t="str">
        <f t="shared" si="11"/>
        <v>#NAME?</v>
      </c>
      <c r="X41" s="44"/>
      <c r="Y41" s="50"/>
      <c r="Z41" s="53"/>
      <c r="AA41" s="53"/>
      <c r="AB41" s="53"/>
      <c r="AC41" s="53"/>
      <c r="AD41" s="53"/>
      <c r="AE41" s="53"/>
    </row>
    <row r="42" ht="15.75" customHeight="1">
      <c r="A42" s="45">
        <v>392.0</v>
      </c>
      <c r="B42" s="30" t="str">
        <f t="shared" si="8"/>
        <v>Q2</v>
      </c>
      <c r="C42" s="29">
        <f t="shared" si="9"/>
        <v>8</v>
      </c>
      <c r="D42" s="31">
        <v>46248.0</v>
      </c>
      <c r="E42" s="31">
        <v>46248.0</v>
      </c>
      <c r="F42" s="36"/>
      <c r="G42" s="30" t="s">
        <v>403</v>
      </c>
      <c r="H42" s="30" t="s">
        <v>404</v>
      </c>
      <c r="I42" s="47">
        <v>14850.0</v>
      </c>
      <c r="J42" s="47"/>
      <c r="K42" s="48">
        <f t="shared" si="7"/>
        <v>121228</v>
      </c>
      <c r="L42" s="30" t="s">
        <v>45</v>
      </c>
      <c r="M42" s="30" t="s">
        <v>55</v>
      </c>
      <c r="N42" s="36"/>
      <c r="O42" s="36" t="s">
        <v>60</v>
      </c>
      <c r="P42" s="30" t="s">
        <v>57</v>
      </c>
      <c r="Q42" s="30" t="s">
        <v>58</v>
      </c>
      <c r="R42" s="36"/>
      <c r="S42" s="36"/>
      <c r="T42" s="36"/>
      <c r="U42" s="30" t="s">
        <v>156</v>
      </c>
      <c r="V42" s="36"/>
      <c r="W42" s="51" t="str">
        <f t="shared" si="11"/>
        <v>#NAME?</v>
      </c>
      <c r="X42" s="44"/>
      <c r="Y42" s="50"/>
      <c r="Z42" s="53"/>
      <c r="AA42" s="53"/>
      <c r="AB42" s="53"/>
      <c r="AC42" s="53"/>
      <c r="AD42" s="53"/>
      <c r="AE42" s="53"/>
    </row>
    <row r="43" ht="15.75" customHeight="1">
      <c r="A43" s="45">
        <v>391.0</v>
      </c>
      <c r="B43" s="30" t="str">
        <f t="shared" si="8"/>
        <v>Q2</v>
      </c>
      <c r="C43" s="29">
        <f t="shared" si="9"/>
        <v>8</v>
      </c>
      <c r="D43" s="31">
        <v>46248.0</v>
      </c>
      <c r="E43" s="31">
        <v>46248.0</v>
      </c>
      <c r="F43" s="36"/>
      <c r="G43" s="30" t="s">
        <v>410</v>
      </c>
      <c r="H43" s="30" t="s">
        <v>411</v>
      </c>
      <c r="I43" s="47">
        <v>29700.0</v>
      </c>
      <c r="J43" s="47"/>
      <c r="K43" s="48">
        <f t="shared" si="7"/>
        <v>136078</v>
      </c>
      <c r="L43" s="30" t="s">
        <v>45</v>
      </c>
      <c r="M43" s="30" t="s">
        <v>55</v>
      </c>
      <c r="N43" s="36"/>
      <c r="O43" s="36" t="s">
        <v>60</v>
      </c>
      <c r="P43" s="30" t="s">
        <v>57</v>
      </c>
      <c r="Q43" s="30" t="s">
        <v>58</v>
      </c>
      <c r="R43" s="36"/>
      <c r="S43" s="36"/>
      <c r="T43" s="36"/>
      <c r="U43" s="30" t="s">
        <v>156</v>
      </c>
      <c r="V43" s="36"/>
      <c r="W43" s="51" t="str">
        <f t="shared" si="11"/>
        <v>#NAME?</v>
      </c>
      <c r="X43" s="44"/>
      <c r="Y43" s="50"/>
      <c r="Z43" s="53"/>
      <c r="AA43" s="53"/>
      <c r="AB43" s="53"/>
      <c r="AC43" s="53"/>
      <c r="AD43" s="53"/>
      <c r="AE43" s="53"/>
    </row>
    <row r="44" ht="15.75" customHeight="1">
      <c r="A44" s="45">
        <v>390.0</v>
      </c>
      <c r="B44" s="30" t="str">
        <f t="shared" si="8"/>
        <v>Q2</v>
      </c>
      <c r="C44" s="29">
        <f t="shared" si="9"/>
        <v>8</v>
      </c>
      <c r="D44" s="31">
        <v>46248.0</v>
      </c>
      <c r="E44" s="31">
        <v>46248.0</v>
      </c>
      <c r="F44" s="36"/>
      <c r="G44" s="30" t="s">
        <v>416</v>
      </c>
      <c r="H44" s="30" t="s">
        <v>417</v>
      </c>
      <c r="I44" s="47">
        <v>14850.0</v>
      </c>
      <c r="J44" s="47"/>
      <c r="K44" s="48">
        <f t="shared" si="7"/>
        <v>165778</v>
      </c>
      <c r="L44" s="30" t="s">
        <v>45</v>
      </c>
      <c r="M44" s="30" t="s">
        <v>55</v>
      </c>
      <c r="N44" s="36"/>
      <c r="O44" s="36" t="s">
        <v>60</v>
      </c>
      <c r="P44" s="30" t="s">
        <v>57</v>
      </c>
      <c r="Q44" s="30" t="s">
        <v>58</v>
      </c>
      <c r="R44" s="36"/>
      <c r="S44" s="36"/>
      <c r="T44" s="36"/>
      <c r="U44" s="30" t="s">
        <v>156</v>
      </c>
      <c r="V44" s="36"/>
      <c r="W44" s="51" t="str">
        <f t="shared" si="11"/>
        <v>#NAME?</v>
      </c>
      <c r="X44" s="44"/>
      <c r="Y44" s="50"/>
      <c r="Z44" s="53"/>
      <c r="AA44" s="53"/>
      <c r="AB44" s="53"/>
      <c r="AC44" s="53"/>
      <c r="AD44" s="53"/>
      <c r="AE44" s="53"/>
    </row>
    <row r="45" ht="15.75" customHeight="1">
      <c r="A45" s="45">
        <v>389.0</v>
      </c>
      <c r="B45" s="30" t="str">
        <f t="shared" si="8"/>
        <v>Q2</v>
      </c>
      <c r="C45" s="29">
        <f t="shared" si="9"/>
        <v>8</v>
      </c>
      <c r="D45" s="31">
        <v>46248.0</v>
      </c>
      <c r="E45" s="31">
        <v>46248.0</v>
      </c>
      <c r="F45" s="36"/>
      <c r="G45" s="30" t="s">
        <v>423</v>
      </c>
      <c r="H45" s="30" t="s">
        <v>424</v>
      </c>
      <c r="I45" s="47">
        <v>9900.0</v>
      </c>
      <c r="J45" s="47"/>
      <c r="K45" s="48">
        <f t="shared" si="7"/>
        <v>180628</v>
      </c>
      <c r="L45" s="30" t="s">
        <v>45</v>
      </c>
      <c r="M45" s="30" t="s">
        <v>55</v>
      </c>
      <c r="N45" s="36"/>
      <c r="O45" s="36" t="s">
        <v>60</v>
      </c>
      <c r="P45" s="30" t="s">
        <v>57</v>
      </c>
      <c r="Q45" s="30" t="s">
        <v>58</v>
      </c>
      <c r="R45" s="36"/>
      <c r="S45" s="36"/>
      <c r="T45" s="36"/>
      <c r="U45" s="30" t="s">
        <v>156</v>
      </c>
      <c r="V45" s="36"/>
      <c r="W45" s="51" t="str">
        <f t="shared" si="11"/>
        <v>#NAME?</v>
      </c>
      <c r="X45" s="44"/>
      <c r="Y45" s="50"/>
      <c r="Z45" s="53"/>
      <c r="AA45" s="53"/>
      <c r="AB45" s="53"/>
      <c r="AC45" s="53"/>
      <c r="AD45" s="53"/>
      <c r="AE45" s="53"/>
    </row>
    <row r="46" ht="15.75" customHeight="1">
      <c r="A46" s="45">
        <v>388.0</v>
      </c>
      <c r="B46" s="30" t="str">
        <f t="shared" si="8"/>
        <v>Q2</v>
      </c>
      <c r="C46" s="29">
        <f t="shared" si="9"/>
        <v>8</v>
      </c>
      <c r="D46" s="31">
        <v>46248.0</v>
      </c>
      <c r="E46" s="31">
        <v>46248.0</v>
      </c>
      <c r="F46" s="36"/>
      <c r="G46" s="30" t="s">
        <v>428</v>
      </c>
      <c r="H46" s="30" t="s">
        <v>429</v>
      </c>
      <c r="I46" s="47">
        <v>10000.0</v>
      </c>
      <c r="J46" s="47"/>
      <c r="K46" s="48">
        <f t="shared" si="7"/>
        <v>190528</v>
      </c>
      <c r="L46" s="30" t="s">
        <v>45</v>
      </c>
      <c r="M46" s="30" t="s">
        <v>85</v>
      </c>
      <c r="N46" s="36"/>
      <c r="O46" s="36" t="s">
        <v>60</v>
      </c>
      <c r="P46" s="30" t="s">
        <v>57</v>
      </c>
      <c r="Q46" s="30" t="s">
        <v>58</v>
      </c>
      <c r="R46" s="36"/>
      <c r="S46" s="36"/>
      <c r="T46" s="36"/>
      <c r="U46" s="30" t="s">
        <v>430</v>
      </c>
      <c r="V46" s="36"/>
      <c r="W46" s="51" t="str">
        <f t="shared" si="11"/>
        <v>#NAME?</v>
      </c>
      <c r="X46" s="44"/>
      <c r="Y46" s="50"/>
      <c r="Z46" s="53"/>
      <c r="AA46" s="53"/>
      <c r="AB46" s="53"/>
      <c r="AC46" s="53"/>
      <c r="AD46" s="53"/>
      <c r="AE46" s="53"/>
    </row>
    <row r="47" ht="15.75" customHeight="1">
      <c r="A47" s="45">
        <v>387.0</v>
      </c>
      <c r="B47" s="30" t="str">
        <f t="shared" si="8"/>
        <v>Q2</v>
      </c>
      <c r="C47" s="29">
        <f t="shared" si="9"/>
        <v>8</v>
      </c>
      <c r="D47" s="31">
        <v>46248.0</v>
      </c>
      <c r="E47" s="31">
        <v>46248.0</v>
      </c>
      <c r="F47" s="36"/>
      <c r="G47" s="30" t="s">
        <v>435</v>
      </c>
      <c r="H47" s="30" t="s">
        <v>436</v>
      </c>
      <c r="I47" s="47">
        <v>9900.0</v>
      </c>
      <c r="J47" s="47"/>
      <c r="K47" s="48">
        <f t="shared" si="7"/>
        <v>200528</v>
      </c>
      <c r="L47" s="30" t="s">
        <v>45</v>
      </c>
      <c r="M47" s="30" t="s">
        <v>55</v>
      </c>
      <c r="N47" s="36"/>
      <c r="O47" s="36" t="s">
        <v>60</v>
      </c>
      <c r="P47" s="30" t="s">
        <v>57</v>
      </c>
      <c r="Q47" s="30" t="s">
        <v>58</v>
      </c>
      <c r="R47" s="36"/>
      <c r="S47" s="36"/>
      <c r="T47" s="36"/>
      <c r="U47" s="30" t="s">
        <v>156</v>
      </c>
      <c r="V47" s="36"/>
      <c r="W47" s="51" t="str">
        <f t="shared" si="11"/>
        <v>#NAME?</v>
      </c>
      <c r="X47" s="44"/>
      <c r="Y47" s="50"/>
      <c r="Z47" s="53"/>
      <c r="AA47" s="53"/>
      <c r="AB47" s="53"/>
      <c r="AC47" s="53"/>
      <c r="AD47" s="53"/>
      <c r="AE47" s="53"/>
    </row>
    <row r="48" ht="15.75" customHeight="1">
      <c r="A48" s="45">
        <v>386.0</v>
      </c>
      <c r="B48" s="30" t="str">
        <f t="shared" si="8"/>
        <v>Q2</v>
      </c>
      <c r="C48" s="29">
        <f t="shared" si="9"/>
        <v>8</v>
      </c>
      <c r="D48" s="31">
        <v>46248.0</v>
      </c>
      <c r="E48" s="31">
        <v>46248.0</v>
      </c>
      <c r="F48" s="36"/>
      <c r="G48" s="30" t="s">
        <v>444</v>
      </c>
      <c r="H48" s="30" t="s">
        <v>445</v>
      </c>
      <c r="I48" s="47">
        <v>9900.0</v>
      </c>
      <c r="J48" s="47"/>
      <c r="K48" s="48">
        <f t="shared" si="7"/>
        <v>210428</v>
      </c>
      <c r="L48" s="30" t="s">
        <v>45</v>
      </c>
      <c r="M48" s="30" t="s">
        <v>55</v>
      </c>
      <c r="N48" s="36"/>
      <c r="O48" s="36" t="s">
        <v>60</v>
      </c>
      <c r="P48" s="30" t="s">
        <v>57</v>
      </c>
      <c r="Q48" s="30" t="s">
        <v>58</v>
      </c>
      <c r="R48" s="36"/>
      <c r="S48" s="36"/>
      <c r="T48" s="36"/>
      <c r="U48" s="30" t="s">
        <v>156</v>
      </c>
      <c r="V48" s="36"/>
      <c r="W48" s="51" t="str">
        <f t="shared" si="11"/>
        <v>#NAME?</v>
      </c>
      <c r="X48" s="44"/>
      <c r="Y48" s="50"/>
      <c r="Z48" s="53"/>
      <c r="AA48" s="53"/>
      <c r="AB48" s="53"/>
      <c r="AC48" s="53"/>
      <c r="AD48" s="53"/>
      <c r="AE48" s="53"/>
    </row>
    <row r="49" ht="15.75" customHeight="1">
      <c r="A49" s="45">
        <v>385.0</v>
      </c>
      <c r="B49" s="30" t="str">
        <f t="shared" si="8"/>
        <v>Q2</v>
      </c>
      <c r="C49" s="29">
        <f t="shared" si="9"/>
        <v>8</v>
      </c>
      <c r="D49" s="31">
        <v>46248.0</v>
      </c>
      <c r="E49" s="31">
        <v>46248.0</v>
      </c>
      <c r="F49" s="36"/>
      <c r="G49" s="30" t="s">
        <v>450</v>
      </c>
      <c r="H49" s="30" t="s">
        <v>451</v>
      </c>
      <c r="I49" s="47">
        <v>4950.0</v>
      </c>
      <c r="J49" s="47"/>
      <c r="K49" s="48">
        <f t="shared" si="7"/>
        <v>220328</v>
      </c>
      <c r="L49" s="30" t="s">
        <v>45</v>
      </c>
      <c r="M49" s="30" t="s">
        <v>55</v>
      </c>
      <c r="N49" s="36"/>
      <c r="O49" s="36" t="s">
        <v>60</v>
      </c>
      <c r="P49" s="30" t="s">
        <v>57</v>
      </c>
      <c r="Q49" s="30" t="s">
        <v>58</v>
      </c>
      <c r="R49" s="36"/>
      <c r="S49" s="36"/>
      <c r="T49" s="36"/>
      <c r="U49" s="30" t="s">
        <v>156</v>
      </c>
      <c r="V49" s="36"/>
      <c r="W49" s="51" t="str">
        <f t="shared" si="11"/>
        <v>#NAME?</v>
      </c>
      <c r="X49" s="44"/>
      <c r="Y49" s="50"/>
      <c r="Z49" s="53"/>
      <c r="AA49" s="53"/>
      <c r="AB49" s="53"/>
      <c r="AC49" s="53"/>
      <c r="AD49" s="53"/>
      <c r="AE49" s="53"/>
    </row>
    <row r="50" ht="15.75" customHeight="1">
      <c r="A50" s="45">
        <v>384.0</v>
      </c>
      <c r="B50" s="30" t="str">
        <f t="shared" si="8"/>
        <v>Q2</v>
      </c>
      <c r="C50" s="29">
        <f t="shared" si="9"/>
        <v>8</v>
      </c>
      <c r="D50" s="31">
        <v>46248.0</v>
      </c>
      <c r="E50" s="31">
        <v>46248.0</v>
      </c>
      <c r="F50" s="36"/>
      <c r="G50" s="30" t="s">
        <v>392</v>
      </c>
      <c r="H50" s="30" t="s">
        <v>66</v>
      </c>
      <c r="I50" s="47"/>
      <c r="J50" s="47">
        <v>150000.0</v>
      </c>
      <c r="K50" s="48">
        <f t="shared" si="7"/>
        <v>225278</v>
      </c>
      <c r="L50" s="30" t="s">
        <v>45</v>
      </c>
      <c r="M50" s="30" t="s">
        <v>47</v>
      </c>
      <c r="N50" s="36"/>
      <c r="O50" s="36" t="s">
        <v>60</v>
      </c>
      <c r="P50" s="30" t="s">
        <v>49</v>
      </c>
      <c r="Q50" s="30" t="s">
        <v>50</v>
      </c>
      <c r="R50" s="36"/>
      <c r="S50" s="36"/>
      <c r="T50" s="36"/>
      <c r="U50" s="30" t="s">
        <v>75</v>
      </c>
      <c r="V50" s="36"/>
      <c r="W50" s="51" t="str">
        <f t="shared" si="11"/>
        <v>#NAME?</v>
      </c>
      <c r="X50" s="44"/>
      <c r="Y50" s="50"/>
      <c r="Z50" s="53"/>
      <c r="AA50" s="53"/>
      <c r="AB50" s="53"/>
      <c r="AC50" s="53"/>
      <c r="AD50" s="53"/>
      <c r="AE50" s="53"/>
    </row>
    <row r="51" ht="15.75" customHeight="1">
      <c r="A51" s="45">
        <v>383.0</v>
      </c>
      <c r="B51" s="30" t="str">
        <f t="shared" si="8"/>
        <v>Q2</v>
      </c>
      <c r="C51" s="29">
        <f t="shared" si="9"/>
        <v>8</v>
      </c>
      <c r="D51" s="31">
        <v>46248.0</v>
      </c>
      <c r="E51" s="31">
        <v>46248.0</v>
      </c>
      <c r="F51" s="36"/>
      <c r="G51" s="30" t="s">
        <v>463</v>
      </c>
      <c r="H51" s="30" t="s">
        <v>464</v>
      </c>
      <c r="I51" s="47">
        <v>45100.0</v>
      </c>
      <c r="J51" s="47"/>
      <c r="K51" s="48">
        <f t="shared" si="7"/>
        <v>75278</v>
      </c>
      <c r="L51" s="30" t="s">
        <v>45</v>
      </c>
      <c r="M51" s="30" t="s">
        <v>47</v>
      </c>
      <c r="N51" s="36"/>
      <c r="O51" s="36" t="s">
        <v>60</v>
      </c>
      <c r="P51" s="30" t="s">
        <v>47</v>
      </c>
      <c r="Q51" s="30" t="s">
        <v>50</v>
      </c>
      <c r="R51" s="36"/>
      <c r="S51" s="36"/>
      <c r="T51" s="36"/>
      <c r="U51" s="30" t="s">
        <v>190</v>
      </c>
      <c r="V51" s="36"/>
      <c r="W51" s="51" t="str">
        <f t="shared" si="11"/>
        <v>#NAME?</v>
      </c>
      <c r="X51" s="44"/>
      <c r="Y51" s="50"/>
      <c r="Z51" s="53"/>
      <c r="AA51" s="53"/>
      <c r="AB51" s="53"/>
      <c r="AC51" s="53"/>
      <c r="AD51" s="53"/>
      <c r="AE51" s="53"/>
    </row>
    <row r="52" ht="15.75" customHeight="1">
      <c r="A52" s="45">
        <v>382.0</v>
      </c>
      <c r="B52" s="30" t="str">
        <f t="shared" si="8"/>
        <v>Q2</v>
      </c>
      <c r="C52" s="29">
        <f t="shared" si="9"/>
        <v>8</v>
      </c>
      <c r="D52" s="31">
        <v>46248.0</v>
      </c>
      <c r="E52" s="31">
        <v>46248.0</v>
      </c>
      <c r="F52" s="36"/>
      <c r="G52" s="30" t="s">
        <v>471</v>
      </c>
      <c r="H52" s="30" t="s">
        <v>473</v>
      </c>
      <c r="I52" s="47">
        <v>5651.0</v>
      </c>
      <c r="J52" s="47"/>
      <c r="K52" s="48">
        <f t="shared" si="7"/>
        <v>120378</v>
      </c>
      <c r="L52" s="30" t="s">
        <v>45</v>
      </c>
      <c r="M52" s="30" t="s">
        <v>47</v>
      </c>
      <c r="N52" s="36"/>
      <c r="O52" s="36" t="s">
        <v>60</v>
      </c>
      <c r="P52" s="30" t="s">
        <v>47</v>
      </c>
      <c r="Q52" s="30" t="s">
        <v>50</v>
      </c>
      <c r="R52" s="36"/>
      <c r="S52" s="36"/>
      <c r="T52" s="36"/>
      <c r="U52" s="30" t="s">
        <v>197</v>
      </c>
      <c r="V52" s="36"/>
      <c r="W52" s="51" t="str">
        <f t="shared" si="11"/>
        <v>#NAME?</v>
      </c>
      <c r="X52" s="44"/>
      <c r="Y52" s="50"/>
      <c r="Z52" s="53"/>
      <c r="AA52" s="53"/>
      <c r="AB52" s="53"/>
      <c r="AC52" s="53"/>
      <c r="AD52" s="53"/>
      <c r="AE52" s="53"/>
    </row>
    <row r="53" ht="15.75" customHeight="1">
      <c r="A53" s="45">
        <v>381.0</v>
      </c>
      <c r="B53" s="30" t="str">
        <f t="shared" si="8"/>
        <v>Q2</v>
      </c>
      <c r="C53" s="29">
        <f t="shared" si="9"/>
        <v>8</v>
      </c>
      <c r="D53" s="31">
        <v>46248.0</v>
      </c>
      <c r="E53" s="31">
        <v>46248.0</v>
      </c>
      <c r="F53" s="36"/>
      <c r="G53" s="30" t="s">
        <v>479</v>
      </c>
      <c r="H53" s="30" t="s">
        <v>480</v>
      </c>
      <c r="I53" s="47">
        <v>17820.0</v>
      </c>
      <c r="J53" s="47"/>
      <c r="K53" s="48">
        <f t="shared" si="7"/>
        <v>126029</v>
      </c>
      <c r="L53" s="30" t="s">
        <v>45</v>
      </c>
      <c r="M53" s="30" t="s">
        <v>55</v>
      </c>
      <c r="N53" s="36"/>
      <c r="O53" s="36" t="s">
        <v>60</v>
      </c>
      <c r="P53" s="30" t="s">
        <v>57</v>
      </c>
      <c r="Q53" s="30" t="s">
        <v>58</v>
      </c>
      <c r="R53" s="36"/>
      <c r="S53" s="36"/>
      <c r="T53" s="36"/>
      <c r="U53" s="30" t="s">
        <v>156</v>
      </c>
      <c r="V53" s="36"/>
      <c r="W53" s="51" t="str">
        <f t="shared" si="11"/>
        <v>#NAME?</v>
      </c>
      <c r="X53" s="44"/>
      <c r="Y53" s="50"/>
      <c r="Z53" s="53"/>
      <c r="AA53" s="53"/>
      <c r="AB53" s="53"/>
      <c r="AC53" s="53"/>
      <c r="AD53" s="53"/>
      <c r="AE53" s="53"/>
    </row>
    <row r="54" ht="15.75" customHeight="1">
      <c r="A54" s="45">
        <v>380.0</v>
      </c>
      <c r="B54" s="30" t="str">
        <f t="shared" si="8"/>
        <v>Q2</v>
      </c>
      <c r="C54" s="29">
        <f t="shared" si="9"/>
        <v>8</v>
      </c>
      <c r="D54" s="52" t="s">
        <v>72</v>
      </c>
      <c r="E54" s="52" t="s">
        <v>72</v>
      </c>
      <c r="F54" s="36" t="s">
        <v>37</v>
      </c>
      <c r="G54" s="30" t="s">
        <v>489</v>
      </c>
      <c r="H54" s="30" t="s">
        <v>37</v>
      </c>
      <c r="I54" s="47">
        <v>9900.0</v>
      </c>
      <c r="J54" s="47"/>
      <c r="K54" s="48">
        <f t="shared" si="7"/>
        <v>143849</v>
      </c>
      <c r="L54" s="30" t="s">
        <v>45</v>
      </c>
      <c r="M54" s="30" t="s">
        <v>55</v>
      </c>
      <c r="N54" s="36" t="s">
        <v>37</v>
      </c>
      <c r="O54" s="36" t="s">
        <v>60</v>
      </c>
      <c r="P54" s="30" t="s">
        <v>57</v>
      </c>
      <c r="Q54" s="30" t="s">
        <v>58</v>
      </c>
      <c r="R54" s="36" t="s">
        <v>37</v>
      </c>
      <c r="S54" s="36" t="s">
        <v>37</v>
      </c>
      <c r="T54" s="36" t="s">
        <v>37</v>
      </c>
      <c r="U54" s="30" t="s">
        <v>156</v>
      </c>
      <c r="V54" s="36" t="s">
        <v>37</v>
      </c>
      <c r="W54" s="51" t="str">
        <f t="shared" si="11"/>
        <v>#NAME?</v>
      </c>
      <c r="X54" s="44">
        <v>143848.97</v>
      </c>
      <c r="Y54" s="50">
        <f t="shared" ref="Y54:Y63" si="12">X54-K54</f>
        <v>-0.03</v>
      </c>
      <c r="Z54" s="53"/>
      <c r="AA54" s="53"/>
      <c r="AB54" s="53"/>
      <c r="AC54" s="53"/>
      <c r="AD54" s="53"/>
      <c r="AE54" s="53"/>
    </row>
    <row r="55" ht="15.75" customHeight="1">
      <c r="A55" s="45">
        <v>379.0</v>
      </c>
      <c r="B55" s="30" t="str">
        <f t="shared" si="8"/>
        <v>Q2</v>
      </c>
      <c r="C55" s="29">
        <f t="shared" si="9"/>
        <v>8</v>
      </c>
      <c r="D55" s="52" t="s">
        <v>72</v>
      </c>
      <c r="E55" s="52" t="s">
        <v>72</v>
      </c>
      <c r="F55" s="36" t="s">
        <v>37</v>
      </c>
      <c r="G55" s="30" t="s">
        <v>494</v>
      </c>
      <c r="H55" s="30" t="s">
        <v>37</v>
      </c>
      <c r="I55" s="47">
        <v>44840.0</v>
      </c>
      <c r="J55" s="47"/>
      <c r="K55" s="48">
        <f t="shared" si="7"/>
        <v>153749</v>
      </c>
      <c r="L55" s="30" t="s">
        <v>45</v>
      </c>
      <c r="M55" s="30" t="s">
        <v>67</v>
      </c>
      <c r="N55" s="36" t="s">
        <v>37</v>
      </c>
      <c r="O55" s="36" t="s">
        <v>60</v>
      </c>
      <c r="P55" s="30" t="s">
        <v>57</v>
      </c>
      <c r="Q55" s="30" t="s">
        <v>58</v>
      </c>
      <c r="R55" s="36" t="s">
        <v>37</v>
      </c>
      <c r="S55" s="36" t="s">
        <v>37</v>
      </c>
      <c r="T55" s="36" t="s">
        <v>37</v>
      </c>
      <c r="U55" s="30" t="s">
        <v>499</v>
      </c>
      <c r="V55" s="36" t="s">
        <v>37</v>
      </c>
      <c r="W55" s="51" t="str">
        <f t="shared" si="11"/>
        <v>#NAME?</v>
      </c>
      <c r="X55" s="44">
        <v>153748.97</v>
      </c>
      <c r="Y55" s="50">
        <f t="shared" si="12"/>
        <v>-0.03</v>
      </c>
      <c r="Z55" s="53"/>
      <c r="AA55" s="53"/>
      <c r="AB55" s="53"/>
      <c r="AC55" s="53"/>
      <c r="AD55" s="53"/>
      <c r="AE55" s="53"/>
    </row>
    <row r="56" ht="15.75" customHeight="1">
      <c r="A56" s="45">
        <v>378.0</v>
      </c>
      <c r="B56" s="30" t="str">
        <f t="shared" si="8"/>
        <v>Q2</v>
      </c>
      <c r="C56" s="29">
        <f t="shared" si="9"/>
        <v>8</v>
      </c>
      <c r="D56" s="52" t="s">
        <v>72</v>
      </c>
      <c r="E56" s="52" t="s">
        <v>72</v>
      </c>
      <c r="F56" s="36" t="s">
        <v>37</v>
      </c>
      <c r="G56" s="30" t="s">
        <v>502</v>
      </c>
      <c r="H56" s="30" t="s">
        <v>37</v>
      </c>
      <c r="I56" s="47">
        <v>6490.0</v>
      </c>
      <c r="J56" s="47"/>
      <c r="K56" s="48">
        <f t="shared" si="7"/>
        <v>198589</v>
      </c>
      <c r="L56" s="30" t="s">
        <v>45</v>
      </c>
      <c r="M56" s="30" t="s">
        <v>67</v>
      </c>
      <c r="N56" s="36" t="s">
        <v>37</v>
      </c>
      <c r="O56" s="36" t="s">
        <v>60</v>
      </c>
      <c r="P56" s="30" t="s">
        <v>57</v>
      </c>
      <c r="Q56" s="30" t="s">
        <v>58</v>
      </c>
      <c r="R56" s="36" t="s">
        <v>37</v>
      </c>
      <c r="S56" s="36" t="s">
        <v>37</v>
      </c>
      <c r="T56" s="36" t="s">
        <v>37</v>
      </c>
      <c r="U56" s="30" t="s">
        <v>499</v>
      </c>
      <c r="V56" s="36" t="s">
        <v>37</v>
      </c>
      <c r="W56" s="51" t="str">
        <f t="shared" si="11"/>
        <v>#NAME?</v>
      </c>
      <c r="X56" s="44">
        <v>198588.97</v>
      </c>
      <c r="Y56" s="50">
        <f t="shared" si="12"/>
        <v>-0.03</v>
      </c>
      <c r="Z56" s="53"/>
      <c r="AA56" s="53"/>
      <c r="AB56" s="53"/>
      <c r="AC56" s="53"/>
      <c r="AD56" s="53"/>
      <c r="AE56" s="53"/>
    </row>
    <row r="57" ht="15.75" customHeight="1">
      <c r="A57" s="45">
        <v>377.0</v>
      </c>
      <c r="B57" s="30" t="str">
        <f t="shared" si="8"/>
        <v>Q2</v>
      </c>
      <c r="C57" s="29">
        <f t="shared" si="9"/>
        <v>8</v>
      </c>
      <c r="D57" s="52" t="s">
        <v>72</v>
      </c>
      <c r="E57" s="52" t="s">
        <v>72</v>
      </c>
      <c r="F57" s="36" t="s">
        <v>37</v>
      </c>
      <c r="G57" s="30" t="s">
        <v>515</v>
      </c>
      <c r="H57" s="30" t="s">
        <v>37</v>
      </c>
      <c r="I57" s="47">
        <v>29700.0</v>
      </c>
      <c r="J57" s="47"/>
      <c r="K57" s="48">
        <f t="shared" si="7"/>
        <v>205079</v>
      </c>
      <c r="L57" s="30" t="s">
        <v>45</v>
      </c>
      <c r="M57" s="30" t="s">
        <v>55</v>
      </c>
      <c r="N57" s="36" t="s">
        <v>37</v>
      </c>
      <c r="O57" s="36" t="s">
        <v>60</v>
      </c>
      <c r="P57" s="30" t="s">
        <v>57</v>
      </c>
      <c r="Q57" s="30" t="s">
        <v>58</v>
      </c>
      <c r="R57" s="36" t="s">
        <v>37</v>
      </c>
      <c r="S57" s="36" t="s">
        <v>37</v>
      </c>
      <c r="T57" s="36" t="s">
        <v>37</v>
      </c>
      <c r="U57" s="30" t="s">
        <v>156</v>
      </c>
      <c r="V57" s="36" t="s">
        <v>37</v>
      </c>
      <c r="W57" s="51" t="str">
        <f t="shared" si="11"/>
        <v>#NAME?</v>
      </c>
      <c r="X57" s="44">
        <v>205078.97</v>
      </c>
      <c r="Y57" s="50">
        <f t="shared" si="12"/>
        <v>-0.03</v>
      </c>
      <c r="Z57" s="53"/>
      <c r="AA57" s="53"/>
      <c r="AB57" s="53"/>
      <c r="AC57" s="53"/>
      <c r="AD57" s="53"/>
      <c r="AE57" s="53"/>
    </row>
    <row r="58" ht="15.75" customHeight="1">
      <c r="A58" s="45">
        <v>376.0</v>
      </c>
      <c r="B58" s="30" t="str">
        <f t="shared" si="8"/>
        <v>Q2</v>
      </c>
      <c r="C58" s="29">
        <f t="shared" si="9"/>
        <v>8</v>
      </c>
      <c r="D58" s="52" t="s">
        <v>72</v>
      </c>
      <c r="E58" s="52" t="s">
        <v>72</v>
      </c>
      <c r="F58" s="36" t="s">
        <v>37</v>
      </c>
      <c r="G58" s="30" t="s">
        <v>522</v>
      </c>
      <c r="H58" s="30" t="s">
        <v>37</v>
      </c>
      <c r="I58" s="47">
        <v>9900.0</v>
      </c>
      <c r="J58" s="47"/>
      <c r="K58" s="48">
        <f t="shared" si="7"/>
        <v>234779</v>
      </c>
      <c r="L58" s="30" t="s">
        <v>45</v>
      </c>
      <c r="M58" s="30" t="s">
        <v>55</v>
      </c>
      <c r="N58" s="36" t="s">
        <v>37</v>
      </c>
      <c r="O58" s="36" t="s">
        <v>60</v>
      </c>
      <c r="P58" s="30" t="s">
        <v>57</v>
      </c>
      <c r="Q58" s="30" t="s">
        <v>58</v>
      </c>
      <c r="R58" s="36" t="s">
        <v>37</v>
      </c>
      <c r="S58" s="36" t="s">
        <v>37</v>
      </c>
      <c r="T58" s="36" t="s">
        <v>37</v>
      </c>
      <c r="U58" s="30" t="s">
        <v>156</v>
      </c>
      <c r="V58" s="36" t="s">
        <v>37</v>
      </c>
      <c r="W58" s="51" t="str">
        <f t="shared" si="11"/>
        <v>#NAME?</v>
      </c>
      <c r="X58" s="44">
        <v>234778.97</v>
      </c>
      <c r="Y58" s="50">
        <f t="shared" si="12"/>
        <v>-0.03</v>
      </c>
      <c r="Z58" s="53"/>
      <c r="AA58" s="53"/>
      <c r="AB58" s="53"/>
      <c r="AC58" s="53"/>
      <c r="AD58" s="53"/>
      <c r="AE58" s="53"/>
    </row>
    <row r="59" ht="15.75" customHeight="1">
      <c r="A59" s="45">
        <v>375.0</v>
      </c>
      <c r="B59" s="30" t="str">
        <f t="shared" si="8"/>
        <v>Q2</v>
      </c>
      <c r="C59" s="29">
        <f t="shared" si="9"/>
        <v>8</v>
      </c>
      <c r="D59" s="52" t="s">
        <v>72</v>
      </c>
      <c r="E59" s="52" t="s">
        <v>72</v>
      </c>
      <c r="F59" s="36" t="s">
        <v>37</v>
      </c>
      <c r="G59" s="30" t="s">
        <v>527</v>
      </c>
      <c r="H59" s="30" t="s">
        <v>37</v>
      </c>
      <c r="I59" s="47">
        <v>9900.0</v>
      </c>
      <c r="J59" s="47"/>
      <c r="K59" s="48">
        <f t="shared" si="7"/>
        <v>244679</v>
      </c>
      <c r="L59" s="30" t="s">
        <v>45</v>
      </c>
      <c r="M59" s="30" t="s">
        <v>55</v>
      </c>
      <c r="N59" s="36" t="s">
        <v>37</v>
      </c>
      <c r="O59" s="36" t="s">
        <v>60</v>
      </c>
      <c r="P59" s="30" t="s">
        <v>57</v>
      </c>
      <c r="Q59" s="30" t="s">
        <v>58</v>
      </c>
      <c r="R59" s="36" t="s">
        <v>37</v>
      </c>
      <c r="S59" s="36" t="s">
        <v>37</v>
      </c>
      <c r="T59" s="36" t="s">
        <v>37</v>
      </c>
      <c r="U59" s="30" t="s">
        <v>156</v>
      </c>
      <c r="V59" s="36" t="s">
        <v>37</v>
      </c>
      <c r="W59" s="51" t="str">
        <f t="shared" si="11"/>
        <v>#NAME?</v>
      </c>
      <c r="X59" s="44">
        <v>244678.97</v>
      </c>
      <c r="Y59" s="50">
        <f t="shared" si="12"/>
        <v>-0.03</v>
      </c>
      <c r="Z59" s="53"/>
      <c r="AA59" s="53"/>
      <c r="AB59" s="53"/>
      <c r="AC59" s="53"/>
      <c r="AD59" s="53"/>
      <c r="AE59" s="53"/>
    </row>
    <row r="60" ht="15.75" customHeight="1">
      <c r="A60" s="45">
        <v>374.0</v>
      </c>
      <c r="B60" s="30" t="str">
        <f t="shared" si="8"/>
        <v>Q2</v>
      </c>
      <c r="C60" s="29">
        <f t="shared" si="9"/>
        <v>8</v>
      </c>
      <c r="D60" s="52" t="s">
        <v>72</v>
      </c>
      <c r="E60" s="52" t="s">
        <v>72</v>
      </c>
      <c r="F60" s="36" t="s">
        <v>37</v>
      </c>
      <c r="G60" s="30" t="s">
        <v>532</v>
      </c>
      <c r="H60" s="30" t="s">
        <v>37</v>
      </c>
      <c r="I60" s="47">
        <v>9900.0</v>
      </c>
      <c r="J60" s="47"/>
      <c r="K60" s="48">
        <f t="shared" si="7"/>
        <v>254579</v>
      </c>
      <c r="L60" s="30" t="s">
        <v>45</v>
      </c>
      <c r="M60" s="30" t="s">
        <v>55</v>
      </c>
      <c r="N60" s="36" t="s">
        <v>37</v>
      </c>
      <c r="O60" s="36" t="s">
        <v>60</v>
      </c>
      <c r="P60" s="30" t="s">
        <v>57</v>
      </c>
      <c r="Q60" s="30" t="s">
        <v>58</v>
      </c>
      <c r="R60" s="36" t="s">
        <v>37</v>
      </c>
      <c r="S60" s="36" t="s">
        <v>37</v>
      </c>
      <c r="T60" s="36" t="s">
        <v>37</v>
      </c>
      <c r="U60" s="30" t="s">
        <v>156</v>
      </c>
      <c r="V60" s="36" t="s">
        <v>37</v>
      </c>
      <c r="W60" s="51" t="str">
        <f t="shared" si="11"/>
        <v>#NAME?</v>
      </c>
      <c r="X60" s="44">
        <v>254578.97</v>
      </c>
      <c r="Y60" s="50">
        <f t="shared" si="12"/>
        <v>-0.03</v>
      </c>
      <c r="Z60" s="53"/>
      <c r="AA60" s="53"/>
      <c r="AB60" s="53"/>
      <c r="AC60" s="53"/>
      <c r="AD60" s="53"/>
      <c r="AE60" s="53"/>
    </row>
    <row r="61" ht="15.75" customHeight="1">
      <c r="A61" s="45">
        <v>373.0</v>
      </c>
      <c r="B61" s="30" t="str">
        <f t="shared" si="8"/>
        <v>Q2</v>
      </c>
      <c r="C61" s="29">
        <f t="shared" si="9"/>
        <v>8</v>
      </c>
      <c r="D61" s="52" t="s">
        <v>72</v>
      </c>
      <c r="E61" s="52" t="s">
        <v>72</v>
      </c>
      <c r="F61" s="36" t="s">
        <v>37</v>
      </c>
      <c r="G61" s="30" t="s">
        <v>537</v>
      </c>
      <c r="H61" s="30" t="s">
        <v>37</v>
      </c>
      <c r="I61" s="47">
        <v>10000.0</v>
      </c>
      <c r="J61" s="47"/>
      <c r="K61" s="48">
        <f t="shared" si="7"/>
        <v>264479</v>
      </c>
      <c r="L61" s="30" t="s">
        <v>45</v>
      </c>
      <c r="M61" s="30" t="s">
        <v>85</v>
      </c>
      <c r="N61" s="36" t="s">
        <v>37</v>
      </c>
      <c r="O61" s="36" t="s">
        <v>60</v>
      </c>
      <c r="P61" s="30" t="s">
        <v>57</v>
      </c>
      <c r="Q61" s="30" t="s">
        <v>58</v>
      </c>
      <c r="R61" s="36" t="s">
        <v>37</v>
      </c>
      <c r="S61" s="36" t="s">
        <v>37</v>
      </c>
      <c r="T61" s="36" t="s">
        <v>37</v>
      </c>
      <c r="U61" s="30" t="s">
        <v>430</v>
      </c>
      <c r="V61" s="36" t="s">
        <v>37</v>
      </c>
      <c r="W61" s="51" t="str">
        <f t="shared" si="11"/>
        <v>#NAME?</v>
      </c>
      <c r="X61" s="44">
        <v>264478.97</v>
      </c>
      <c r="Y61" s="50">
        <f t="shared" si="12"/>
        <v>-0.03000000003</v>
      </c>
      <c r="Z61" s="53"/>
      <c r="AA61" s="53"/>
      <c r="AB61" s="53"/>
      <c r="AC61" s="53"/>
      <c r="AD61" s="53"/>
      <c r="AE61" s="53"/>
    </row>
    <row r="62" ht="15.75" customHeight="1">
      <c r="A62" s="45">
        <v>372.0</v>
      </c>
      <c r="B62" s="30" t="str">
        <f t="shared" si="8"/>
        <v>Q2</v>
      </c>
      <c r="C62" s="29">
        <f t="shared" si="9"/>
        <v>8</v>
      </c>
      <c r="D62" s="52" t="s">
        <v>72</v>
      </c>
      <c r="E62" s="52" t="s">
        <v>72</v>
      </c>
      <c r="F62" s="36" t="s">
        <v>37</v>
      </c>
      <c r="G62" s="30" t="s">
        <v>541</v>
      </c>
      <c r="H62" s="30" t="s">
        <v>37</v>
      </c>
      <c r="I62" s="47">
        <v>2970.0</v>
      </c>
      <c r="J62" s="47"/>
      <c r="K62" s="48">
        <f t="shared" si="7"/>
        <v>274479</v>
      </c>
      <c r="L62" s="30" t="s">
        <v>45</v>
      </c>
      <c r="M62" s="30" t="s">
        <v>55</v>
      </c>
      <c r="N62" s="36" t="s">
        <v>37</v>
      </c>
      <c r="O62" s="36" t="s">
        <v>60</v>
      </c>
      <c r="P62" s="30" t="s">
        <v>57</v>
      </c>
      <c r="Q62" s="30" t="s">
        <v>58</v>
      </c>
      <c r="R62" s="36" t="s">
        <v>37</v>
      </c>
      <c r="S62" s="36" t="s">
        <v>37</v>
      </c>
      <c r="T62" s="36" t="s">
        <v>37</v>
      </c>
      <c r="U62" s="30" t="s">
        <v>156</v>
      </c>
      <c r="V62" s="36" t="s">
        <v>37</v>
      </c>
      <c r="W62" s="51" t="str">
        <f t="shared" si="11"/>
        <v>#NAME?</v>
      </c>
      <c r="X62" s="44">
        <v>274478.97</v>
      </c>
      <c r="Y62" s="50">
        <f t="shared" si="12"/>
        <v>-0.03000000003</v>
      </c>
      <c r="Z62" s="53"/>
      <c r="AA62" s="53"/>
      <c r="AB62" s="53"/>
      <c r="AC62" s="53"/>
      <c r="AD62" s="53"/>
      <c r="AE62" s="53"/>
    </row>
    <row r="63" ht="15.75" customHeight="1">
      <c r="A63" s="45">
        <v>371.0</v>
      </c>
      <c r="B63" s="30" t="str">
        <f t="shared" si="8"/>
        <v>Q2</v>
      </c>
      <c r="C63" s="29">
        <f t="shared" si="9"/>
        <v>8</v>
      </c>
      <c r="D63" s="52" t="s">
        <v>72</v>
      </c>
      <c r="E63" s="52" t="s">
        <v>72</v>
      </c>
      <c r="F63" s="36" t="s">
        <v>37</v>
      </c>
      <c r="G63" s="30" t="s">
        <v>547</v>
      </c>
      <c r="H63" s="30" t="s">
        <v>37</v>
      </c>
      <c r="I63" s="47">
        <v>2970.0</v>
      </c>
      <c r="J63" s="47"/>
      <c r="K63" s="48">
        <f t="shared" si="7"/>
        <v>277449</v>
      </c>
      <c r="L63" s="30" t="s">
        <v>45</v>
      </c>
      <c r="M63" s="30" t="s">
        <v>55</v>
      </c>
      <c r="N63" s="36" t="s">
        <v>37</v>
      </c>
      <c r="O63" s="36" t="s">
        <v>60</v>
      </c>
      <c r="P63" s="30" t="s">
        <v>57</v>
      </c>
      <c r="Q63" s="30" t="s">
        <v>58</v>
      </c>
      <c r="R63" s="36" t="s">
        <v>37</v>
      </c>
      <c r="S63" s="36" t="s">
        <v>37</v>
      </c>
      <c r="T63" s="36" t="s">
        <v>37</v>
      </c>
      <c r="U63" s="30" t="s">
        <v>156</v>
      </c>
      <c r="V63" s="36" t="s">
        <v>37</v>
      </c>
      <c r="W63" s="51" t="str">
        <f t="shared" si="11"/>
        <v>#NAME?</v>
      </c>
      <c r="X63" s="44">
        <v>277448.97</v>
      </c>
      <c r="Y63" s="50">
        <f t="shared" si="12"/>
        <v>-0.03000000003</v>
      </c>
      <c r="Z63" s="53"/>
      <c r="AA63" s="53"/>
      <c r="AB63" s="53"/>
      <c r="AC63" s="53"/>
      <c r="AD63" s="53"/>
      <c r="AE63" s="53"/>
    </row>
    <row r="64" ht="15.75" customHeight="1">
      <c r="A64" s="45">
        <v>370.0</v>
      </c>
      <c r="B64" s="30" t="str">
        <f t="shared" si="8"/>
        <v>Q2</v>
      </c>
      <c r="C64" s="29">
        <f t="shared" si="9"/>
        <v>8</v>
      </c>
      <c r="D64" s="52" t="s">
        <v>72</v>
      </c>
      <c r="E64" s="52" t="s">
        <v>72</v>
      </c>
      <c r="F64" s="36" t="s">
        <v>37</v>
      </c>
      <c r="G64" s="30" t="s">
        <v>552</v>
      </c>
      <c r="H64" s="30" t="s">
        <v>553</v>
      </c>
      <c r="I64" s="47"/>
      <c r="J64" s="47">
        <v>150000.0</v>
      </c>
      <c r="K64" s="48">
        <f t="shared" si="7"/>
        <v>280419</v>
      </c>
      <c r="L64" s="30" t="s">
        <v>45</v>
      </c>
      <c r="M64" s="30" t="s">
        <v>47</v>
      </c>
      <c r="N64" s="36" t="s">
        <v>37</v>
      </c>
      <c r="O64" s="36" t="s">
        <v>60</v>
      </c>
      <c r="P64" s="30" t="s">
        <v>49</v>
      </c>
      <c r="Q64" s="30" t="s">
        <v>50</v>
      </c>
      <c r="R64" s="36" t="s">
        <v>37</v>
      </c>
      <c r="S64" s="36" t="s">
        <v>37</v>
      </c>
      <c r="T64" s="36" t="s">
        <v>37</v>
      </c>
      <c r="U64" s="30" t="s">
        <v>37</v>
      </c>
      <c r="V64" s="36" t="s">
        <v>37</v>
      </c>
      <c r="W64" s="51" t="str">
        <f t="shared" si="11"/>
        <v>#NAME?</v>
      </c>
      <c r="X64" s="44">
        <v>280418.97</v>
      </c>
      <c r="Y64" s="50">
        <f>IFERROR(ROUND(X64-K64,2),"")</f>
        <v>-0.03</v>
      </c>
      <c r="Z64" s="53"/>
      <c r="AA64" s="53"/>
      <c r="AB64" s="53"/>
      <c r="AC64" s="53"/>
      <c r="AD64" s="53"/>
      <c r="AE64" s="53"/>
    </row>
    <row r="65" ht="15.75" customHeight="1">
      <c r="A65" s="45">
        <v>369.0</v>
      </c>
      <c r="B65" s="30" t="str">
        <f t="shared" si="8"/>
        <v>Q2</v>
      </c>
      <c r="C65" s="29">
        <f t="shared" si="9"/>
        <v>8</v>
      </c>
      <c r="D65" s="52" t="s">
        <v>207</v>
      </c>
      <c r="E65" s="52" t="s">
        <v>207</v>
      </c>
      <c r="F65" s="36" t="s">
        <v>37</v>
      </c>
      <c r="G65" s="30" t="s">
        <v>560</v>
      </c>
      <c r="H65" s="30" t="s">
        <v>37</v>
      </c>
      <c r="I65" s="47">
        <v>18000.0</v>
      </c>
      <c r="J65" s="47"/>
      <c r="K65" s="48">
        <f t="shared" si="7"/>
        <v>130419</v>
      </c>
      <c r="L65" s="30" t="s">
        <v>45</v>
      </c>
      <c r="M65" s="30" t="s">
        <v>67</v>
      </c>
      <c r="N65" s="36" t="s">
        <v>37</v>
      </c>
      <c r="O65" s="36" t="s">
        <v>60</v>
      </c>
      <c r="P65" s="30" t="s">
        <v>57</v>
      </c>
      <c r="Q65" s="30" t="s">
        <v>58</v>
      </c>
      <c r="R65" s="36" t="s">
        <v>37</v>
      </c>
      <c r="S65" s="36" t="s">
        <v>37</v>
      </c>
      <c r="T65" s="36" t="s">
        <v>37</v>
      </c>
      <c r="U65" s="30" t="s">
        <v>562</v>
      </c>
      <c r="V65" s="36" t="s">
        <v>37</v>
      </c>
      <c r="W65" s="51" t="str">
        <f t="shared" si="11"/>
        <v>#NAME?</v>
      </c>
      <c r="X65" s="44">
        <v>130418.97</v>
      </c>
      <c r="Y65" s="50">
        <f t="shared" ref="Y65:Y84" si="13">X65-K65</f>
        <v>-0.03</v>
      </c>
      <c r="Z65" s="53"/>
      <c r="AA65" s="53"/>
      <c r="AB65" s="53"/>
      <c r="AC65" s="53"/>
      <c r="AD65" s="53"/>
      <c r="AE65" s="53"/>
    </row>
    <row r="66" ht="15.75" customHeight="1">
      <c r="A66" s="45">
        <v>368.0</v>
      </c>
      <c r="B66" s="30" t="str">
        <f t="shared" si="8"/>
        <v>Q2</v>
      </c>
      <c r="C66" s="29">
        <f t="shared" si="9"/>
        <v>8</v>
      </c>
      <c r="D66" s="52" t="s">
        <v>77</v>
      </c>
      <c r="E66" s="52" t="s">
        <v>77</v>
      </c>
      <c r="F66" s="36" t="s">
        <v>37</v>
      </c>
      <c r="G66" s="30" t="s">
        <v>569</v>
      </c>
      <c r="H66" s="30" t="s">
        <v>37</v>
      </c>
      <c r="I66" s="47">
        <v>12949.0</v>
      </c>
      <c r="J66" s="47"/>
      <c r="K66" s="48">
        <f t="shared" si="7"/>
        <v>148419</v>
      </c>
      <c r="L66" s="30" t="s">
        <v>45</v>
      </c>
      <c r="M66" s="30" t="s">
        <v>47</v>
      </c>
      <c r="N66" s="36" t="s">
        <v>37</v>
      </c>
      <c r="O66" s="36" t="s">
        <v>60</v>
      </c>
      <c r="P66" s="30" t="s">
        <v>47</v>
      </c>
      <c r="Q66" s="30" t="s">
        <v>50</v>
      </c>
      <c r="R66" s="36" t="s">
        <v>37</v>
      </c>
      <c r="S66" s="36" t="s">
        <v>37</v>
      </c>
      <c r="T66" s="36" t="s">
        <v>37</v>
      </c>
      <c r="U66" s="30" t="s">
        <v>573</v>
      </c>
      <c r="V66" s="36" t="s">
        <v>37</v>
      </c>
      <c r="W66" s="51" t="str">
        <f t="shared" si="11"/>
        <v>#NAME?</v>
      </c>
      <c r="X66" s="44">
        <v>148418.97</v>
      </c>
      <c r="Y66" s="50">
        <f t="shared" si="13"/>
        <v>-0.03</v>
      </c>
      <c r="Z66" s="53"/>
      <c r="AA66" s="53"/>
      <c r="AB66" s="53"/>
      <c r="AC66" s="53"/>
      <c r="AD66" s="53"/>
      <c r="AE66" s="53"/>
    </row>
    <row r="67" ht="15.75" customHeight="1">
      <c r="A67" s="45">
        <v>367.0</v>
      </c>
      <c r="B67" s="30" t="str">
        <f t="shared" si="8"/>
        <v>Q2</v>
      </c>
      <c r="C67" s="29">
        <f t="shared" si="9"/>
        <v>8</v>
      </c>
      <c r="D67" s="52" t="s">
        <v>77</v>
      </c>
      <c r="E67" s="52" t="s">
        <v>77</v>
      </c>
      <c r="F67" s="36" t="s">
        <v>37</v>
      </c>
      <c r="G67" s="30" t="s">
        <v>576</v>
      </c>
      <c r="H67" s="30" t="s">
        <v>37</v>
      </c>
      <c r="I67" s="47">
        <v>18882.0</v>
      </c>
      <c r="J67" s="47"/>
      <c r="K67" s="48">
        <f t="shared" si="7"/>
        <v>161368</v>
      </c>
      <c r="L67" s="30" t="s">
        <v>45</v>
      </c>
      <c r="M67" s="30" t="s">
        <v>67</v>
      </c>
      <c r="N67" s="36" t="s">
        <v>37</v>
      </c>
      <c r="O67" s="36" t="s">
        <v>60</v>
      </c>
      <c r="P67" s="30" t="s">
        <v>57</v>
      </c>
      <c r="Q67" s="30" t="s">
        <v>58</v>
      </c>
      <c r="R67" s="36" t="s">
        <v>37</v>
      </c>
      <c r="S67" s="36" t="s">
        <v>37</v>
      </c>
      <c r="T67" s="36" t="s">
        <v>37</v>
      </c>
      <c r="U67" s="30" t="s">
        <v>499</v>
      </c>
      <c r="V67" s="36" t="s">
        <v>37</v>
      </c>
      <c r="W67" s="51" t="str">
        <f t="shared" si="11"/>
        <v>#NAME?</v>
      </c>
      <c r="X67" s="44">
        <v>161367.97</v>
      </c>
      <c r="Y67" s="50">
        <f t="shared" si="13"/>
        <v>-0.03</v>
      </c>
      <c r="Z67" s="53"/>
      <c r="AA67" s="53"/>
      <c r="AB67" s="53"/>
      <c r="AC67" s="53"/>
      <c r="AD67" s="53"/>
      <c r="AE67" s="53"/>
    </row>
    <row r="68" ht="15.75" customHeight="1">
      <c r="A68" s="45">
        <v>366.0</v>
      </c>
      <c r="B68" s="30" t="str">
        <f t="shared" si="8"/>
        <v>Q2</v>
      </c>
      <c r="C68" s="29">
        <f t="shared" si="9"/>
        <v>8</v>
      </c>
      <c r="D68" s="52" t="s">
        <v>77</v>
      </c>
      <c r="E68" s="52" t="s">
        <v>77</v>
      </c>
      <c r="F68" s="36" t="s">
        <v>37</v>
      </c>
      <c r="G68" s="30" t="s">
        <v>577</v>
      </c>
      <c r="H68" s="30" t="s">
        <v>37</v>
      </c>
      <c r="I68" s="47">
        <v>221400.0</v>
      </c>
      <c r="J68" s="47"/>
      <c r="K68" s="48">
        <f t="shared" si="7"/>
        <v>180250</v>
      </c>
      <c r="L68" s="30" t="s">
        <v>45</v>
      </c>
      <c r="M68" s="30" t="s">
        <v>67</v>
      </c>
      <c r="N68" s="36" t="s">
        <v>37</v>
      </c>
      <c r="O68" s="36" t="s">
        <v>60</v>
      </c>
      <c r="P68" s="30" t="s">
        <v>57</v>
      </c>
      <c r="Q68" s="30" t="s">
        <v>58</v>
      </c>
      <c r="R68" s="36" t="s">
        <v>37</v>
      </c>
      <c r="S68" s="36" t="s">
        <v>37</v>
      </c>
      <c r="T68" s="36" t="s">
        <v>37</v>
      </c>
      <c r="U68" s="30" t="s">
        <v>499</v>
      </c>
      <c r="V68" s="36" t="s">
        <v>37</v>
      </c>
      <c r="W68" s="51" t="str">
        <f t="shared" si="11"/>
        <v>#NAME?</v>
      </c>
      <c r="X68" s="44">
        <v>180249.97</v>
      </c>
      <c r="Y68" s="50">
        <f t="shared" si="13"/>
        <v>-0.03</v>
      </c>
      <c r="Z68" s="53"/>
      <c r="AA68" s="53"/>
      <c r="AB68" s="53"/>
      <c r="AC68" s="53"/>
      <c r="AD68" s="53"/>
      <c r="AE68" s="53"/>
    </row>
    <row r="69" ht="15.75" customHeight="1">
      <c r="A69" s="45">
        <v>365.0</v>
      </c>
      <c r="B69" s="30" t="str">
        <f t="shared" si="8"/>
        <v>Q2</v>
      </c>
      <c r="C69" s="29">
        <f t="shared" si="9"/>
        <v>8</v>
      </c>
      <c r="D69" s="52" t="s">
        <v>77</v>
      </c>
      <c r="E69" s="52" t="s">
        <v>77</v>
      </c>
      <c r="F69" s="36" t="s">
        <v>37</v>
      </c>
      <c r="G69" s="30" t="s">
        <v>552</v>
      </c>
      <c r="H69" s="30"/>
      <c r="I69" s="47"/>
      <c r="J69" s="47">
        <v>300000.0</v>
      </c>
      <c r="K69" s="48">
        <f t="shared" si="7"/>
        <v>401650</v>
      </c>
      <c r="L69" s="30" t="s">
        <v>45</v>
      </c>
      <c r="M69" s="30" t="s">
        <v>47</v>
      </c>
      <c r="N69" s="36" t="s">
        <v>37</v>
      </c>
      <c r="O69" s="36" t="s">
        <v>60</v>
      </c>
      <c r="P69" s="30" t="s">
        <v>49</v>
      </c>
      <c r="Q69" s="30" t="s">
        <v>50</v>
      </c>
      <c r="R69" s="36" t="s">
        <v>37</v>
      </c>
      <c r="S69" s="36" t="s">
        <v>37</v>
      </c>
      <c r="T69" s="36" t="s">
        <v>37</v>
      </c>
      <c r="U69" s="30" t="s">
        <v>37</v>
      </c>
      <c r="V69" s="36" t="s">
        <v>37</v>
      </c>
      <c r="W69" s="51" t="str">
        <f t="shared" si="11"/>
        <v>#NAME?</v>
      </c>
      <c r="X69" s="44">
        <v>401649.97</v>
      </c>
      <c r="Y69" s="50">
        <f t="shared" si="13"/>
        <v>-0.03000000003</v>
      </c>
      <c r="Z69" s="53"/>
      <c r="AA69" s="53"/>
      <c r="AB69" s="53"/>
      <c r="AC69" s="53"/>
      <c r="AD69" s="53"/>
      <c r="AE69" s="53"/>
    </row>
    <row r="70" ht="15.75" customHeight="1">
      <c r="A70" s="45">
        <v>364.0</v>
      </c>
      <c r="B70" s="30" t="str">
        <f t="shared" si="8"/>
        <v>Q2</v>
      </c>
      <c r="C70" s="29">
        <f t="shared" si="9"/>
        <v>8</v>
      </c>
      <c r="D70" s="52" t="s">
        <v>109</v>
      </c>
      <c r="E70" s="52" t="s">
        <v>109</v>
      </c>
      <c r="F70" s="36" t="s">
        <v>37</v>
      </c>
      <c r="G70" s="30" t="s">
        <v>580</v>
      </c>
      <c r="H70" s="36" t="s">
        <v>37</v>
      </c>
      <c r="I70" s="47">
        <v>49500.0</v>
      </c>
      <c r="J70" s="47"/>
      <c r="K70" s="48">
        <f t="shared" si="7"/>
        <v>101650</v>
      </c>
      <c r="L70" s="30" t="s">
        <v>45</v>
      </c>
      <c r="M70" s="30" t="s">
        <v>55</v>
      </c>
      <c r="N70" s="36" t="s">
        <v>37</v>
      </c>
      <c r="O70" s="36" t="s">
        <v>60</v>
      </c>
      <c r="P70" s="30" t="s">
        <v>57</v>
      </c>
      <c r="Q70" s="30" t="s">
        <v>58</v>
      </c>
      <c r="R70" s="36" t="s">
        <v>37</v>
      </c>
      <c r="S70" s="36" t="s">
        <v>37</v>
      </c>
      <c r="T70" s="36" t="s">
        <v>37</v>
      </c>
      <c r="U70" s="30" t="s">
        <v>156</v>
      </c>
      <c r="V70" s="36" t="s">
        <v>37</v>
      </c>
      <c r="W70" s="51" t="str">
        <f t="shared" si="11"/>
        <v>#NAME?</v>
      </c>
      <c r="X70" s="44">
        <v>101649.97</v>
      </c>
      <c r="Y70" s="50">
        <f t="shared" si="13"/>
        <v>-0.03</v>
      </c>
      <c r="Z70" s="53"/>
      <c r="AA70" s="53"/>
      <c r="AB70" s="53"/>
      <c r="AC70" s="53"/>
      <c r="AD70" s="53"/>
      <c r="AE70" s="53"/>
    </row>
    <row r="71" ht="15.75" customHeight="1">
      <c r="A71" s="45">
        <v>363.0</v>
      </c>
      <c r="B71" s="30" t="str">
        <f t="shared" si="8"/>
        <v>Q2</v>
      </c>
      <c r="C71" s="29">
        <f t="shared" si="9"/>
        <v>8</v>
      </c>
      <c r="D71" s="102" t="s">
        <v>109</v>
      </c>
      <c r="E71" s="52" t="s">
        <v>109</v>
      </c>
      <c r="F71" s="36" t="s">
        <v>37</v>
      </c>
      <c r="G71" s="30" t="s">
        <v>586</v>
      </c>
      <c r="H71" s="36" t="s">
        <v>37</v>
      </c>
      <c r="I71" s="47">
        <v>2970.0</v>
      </c>
      <c r="J71" s="47"/>
      <c r="K71" s="48">
        <f t="shared" si="7"/>
        <v>151150</v>
      </c>
      <c r="L71" s="30" t="s">
        <v>45</v>
      </c>
      <c r="M71" s="30" t="s">
        <v>55</v>
      </c>
      <c r="N71" s="36" t="s">
        <v>37</v>
      </c>
      <c r="O71" s="36" t="s">
        <v>60</v>
      </c>
      <c r="P71" s="30" t="s">
        <v>57</v>
      </c>
      <c r="Q71" s="30" t="s">
        <v>58</v>
      </c>
      <c r="R71" s="36" t="s">
        <v>37</v>
      </c>
      <c r="S71" s="36" t="s">
        <v>37</v>
      </c>
      <c r="T71" s="36" t="s">
        <v>37</v>
      </c>
      <c r="U71" s="30" t="s">
        <v>156</v>
      </c>
      <c r="V71" s="36" t="s">
        <v>37</v>
      </c>
      <c r="W71" s="51" t="str">
        <f t="shared" si="11"/>
        <v>#NAME?</v>
      </c>
      <c r="X71" s="44">
        <v>151149.97</v>
      </c>
      <c r="Y71" s="50">
        <f t="shared" si="13"/>
        <v>-0.03</v>
      </c>
      <c r="Z71" s="103"/>
      <c r="AA71" s="103"/>
      <c r="AB71" s="103"/>
      <c r="AC71" s="103"/>
      <c r="AD71" s="103"/>
      <c r="AE71" s="103"/>
    </row>
    <row r="72" ht="15.75" customHeight="1">
      <c r="A72" s="45">
        <v>362.0</v>
      </c>
      <c r="B72" s="30" t="str">
        <f t="shared" si="8"/>
        <v>Q2</v>
      </c>
      <c r="C72" s="29">
        <f t="shared" si="9"/>
        <v>8</v>
      </c>
      <c r="D72" s="52" t="s">
        <v>109</v>
      </c>
      <c r="E72" s="52" t="s">
        <v>109</v>
      </c>
      <c r="F72" s="36" t="s">
        <v>37</v>
      </c>
      <c r="G72" s="30" t="s">
        <v>590</v>
      </c>
      <c r="H72" s="36" t="s">
        <v>37</v>
      </c>
      <c r="I72" s="47">
        <v>2970.0</v>
      </c>
      <c r="J72" s="47"/>
      <c r="K72" s="48">
        <f t="shared" si="7"/>
        <v>154120</v>
      </c>
      <c r="L72" s="30" t="s">
        <v>45</v>
      </c>
      <c r="M72" s="30" t="s">
        <v>55</v>
      </c>
      <c r="N72" s="36" t="s">
        <v>37</v>
      </c>
      <c r="O72" s="36" t="s">
        <v>60</v>
      </c>
      <c r="P72" s="30" t="s">
        <v>57</v>
      </c>
      <c r="Q72" s="30" t="s">
        <v>58</v>
      </c>
      <c r="R72" s="36" t="s">
        <v>37</v>
      </c>
      <c r="S72" s="36" t="s">
        <v>37</v>
      </c>
      <c r="T72" s="36" t="s">
        <v>37</v>
      </c>
      <c r="U72" s="30" t="s">
        <v>156</v>
      </c>
      <c r="V72" s="36" t="s">
        <v>37</v>
      </c>
      <c r="W72" s="51" t="str">
        <f t="shared" si="11"/>
        <v>#NAME?</v>
      </c>
      <c r="X72" s="44">
        <v>154119.97</v>
      </c>
      <c r="Y72" s="50">
        <f t="shared" si="13"/>
        <v>-0.03</v>
      </c>
      <c r="Z72" s="53"/>
      <c r="AA72" s="53"/>
      <c r="AB72" s="53"/>
      <c r="AC72" s="53"/>
      <c r="AD72" s="53"/>
      <c r="AE72" s="53"/>
    </row>
    <row r="73" ht="15.75" customHeight="1">
      <c r="A73" s="45">
        <v>361.0</v>
      </c>
      <c r="B73" s="30" t="str">
        <f t="shared" si="8"/>
        <v>Q2</v>
      </c>
      <c r="C73" s="29">
        <f t="shared" si="9"/>
        <v>8</v>
      </c>
      <c r="D73" s="52" t="s">
        <v>109</v>
      </c>
      <c r="E73" s="52" t="s">
        <v>109</v>
      </c>
      <c r="F73" s="36" t="s">
        <v>37</v>
      </c>
      <c r="G73" s="30" t="s">
        <v>598</v>
      </c>
      <c r="H73" s="36" t="s">
        <v>37</v>
      </c>
      <c r="I73" s="47">
        <v>49632.0</v>
      </c>
      <c r="J73" s="47"/>
      <c r="K73" s="48">
        <f t="shared" si="7"/>
        <v>157090</v>
      </c>
      <c r="L73" s="30" t="s">
        <v>45</v>
      </c>
      <c r="M73" s="30" t="s">
        <v>67</v>
      </c>
      <c r="N73" s="36" t="s">
        <v>37</v>
      </c>
      <c r="O73" s="36" t="s">
        <v>60</v>
      </c>
      <c r="P73" s="30" t="s">
        <v>57</v>
      </c>
      <c r="Q73" s="30" t="s">
        <v>58</v>
      </c>
      <c r="R73" s="36" t="s">
        <v>37</v>
      </c>
      <c r="S73" s="36" t="s">
        <v>37</v>
      </c>
      <c r="T73" s="36" t="s">
        <v>37</v>
      </c>
      <c r="U73" s="30" t="s">
        <v>499</v>
      </c>
      <c r="V73" s="36" t="s">
        <v>37</v>
      </c>
      <c r="W73" s="51" t="str">
        <f t="shared" si="11"/>
        <v>#NAME?</v>
      </c>
      <c r="X73" s="44">
        <v>157089.97</v>
      </c>
      <c r="Y73" s="50">
        <f t="shared" si="13"/>
        <v>-0.03</v>
      </c>
      <c r="Z73" s="2"/>
      <c r="AA73" s="2"/>
      <c r="AB73" s="2"/>
      <c r="AC73" s="2"/>
      <c r="AD73" s="2"/>
      <c r="AE73" s="2"/>
    </row>
    <row r="74" ht="15.75" customHeight="1">
      <c r="A74" s="45">
        <v>360.0</v>
      </c>
      <c r="B74" s="30" t="str">
        <f t="shared" si="8"/>
        <v>Q2</v>
      </c>
      <c r="C74" s="29">
        <f t="shared" si="9"/>
        <v>8</v>
      </c>
      <c r="D74" s="52" t="s">
        <v>109</v>
      </c>
      <c r="E74" s="52" t="s">
        <v>109</v>
      </c>
      <c r="F74" s="36" t="s">
        <v>37</v>
      </c>
      <c r="G74" s="30" t="s">
        <v>606</v>
      </c>
      <c r="H74" s="36" t="s">
        <v>37</v>
      </c>
      <c r="I74" s="47">
        <v>9900.0</v>
      </c>
      <c r="J74" s="47"/>
      <c r="K74" s="48">
        <f t="shared" si="7"/>
        <v>206722</v>
      </c>
      <c r="L74" s="30" t="s">
        <v>45</v>
      </c>
      <c r="M74" s="30" t="s">
        <v>55</v>
      </c>
      <c r="N74" s="36" t="s">
        <v>37</v>
      </c>
      <c r="O74" s="36" t="s">
        <v>60</v>
      </c>
      <c r="P74" s="30" t="s">
        <v>57</v>
      </c>
      <c r="Q74" s="30" t="s">
        <v>58</v>
      </c>
      <c r="R74" s="36" t="s">
        <v>37</v>
      </c>
      <c r="S74" s="36" t="s">
        <v>37</v>
      </c>
      <c r="T74" s="36" t="s">
        <v>37</v>
      </c>
      <c r="U74" s="30" t="s">
        <v>156</v>
      </c>
      <c r="V74" s="36" t="s">
        <v>37</v>
      </c>
      <c r="W74" s="51" t="str">
        <f t="shared" si="11"/>
        <v>#NAME?</v>
      </c>
      <c r="X74" s="44">
        <v>206721.97</v>
      </c>
      <c r="Y74" s="50">
        <f t="shared" si="13"/>
        <v>-0.03</v>
      </c>
      <c r="Z74" s="53"/>
      <c r="AA74" s="53"/>
      <c r="AB74" s="53"/>
      <c r="AC74" s="53"/>
      <c r="AD74" s="53"/>
      <c r="AE74" s="53"/>
    </row>
    <row r="75" ht="15.75" customHeight="1">
      <c r="A75" s="45">
        <v>359.0</v>
      </c>
      <c r="B75" s="30" t="str">
        <f t="shared" si="8"/>
        <v>Q2</v>
      </c>
      <c r="C75" s="29">
        <f t="shared" si="9"/>
        <v>8</v>
      </c>
      <c r="D75" s="52" t="s">
        <v>109</v>
      </c>
      <c r="E75" s="52" t="s">
        <v>109</v>
      </c>
      <c r="F75" s="36" t="s">
        <v>37</v>
      </c>
      <c r="G75" s="30" t="s">
        <v>609</v>
      </c>
      <c r="H75" s="36" t="s">
        <v>37</v>
      </c>
      <c r="I75" s="47">
        <v>15000.0</v>
      </c>
      <c r="J75" s="47"/>
      <c r="K75" s="48">
        <f t="shared" si="7"/>
        <v>216622</v>
      </c>
      <c r="L75" s="30" t="s">
        <v>45</v>
      </c>
      <c r="M75" s="30" t="s">
        <v>85</v>
      </c>
      <c r="N75" s="36" t="s">
        <v>37</v>
      </c>
      <c r="O75" s="36" t="s">
        <v>60</v>
      </c>
      <c r="P75" s="30" t="s">
        <v>57</v>
      </c>
      <c r="Q75" s="30" t="s">
        <v>58</v>
      </c>
      <c r="R75" s="36" t="s">
        <v>37</v>
      </c>
      <c r="S75" s="36" t="s">
        <v>37</v>
      </c>
      <c r="T75" s="36" t="s">
        <v>37</v>
      </c>
      <c r="U75" s="30" t="s">
        <v>430</v>
      </c>
      <c r="V75" s="36" t="s">
        <v>37</v>
      </c>
      <c r="W75" s="51" t="str">
        <f t="shared" si="11"/>
        <v>#NAME?</v>
      </c>
      <c r="X75" s="44">
        <v>216621.97</v>
      </c>
      <c r="Y75" s="50">
        <f t="shared" si="13"/>
        <v>-0.03</v>
      </c>
      <c r="Z75" s="53"/>
      <c r="AA75" s="53"/>
      <c r="AB75" s="53"/>
      <c r="AC75" s="53"/>
      <c r="AD75" s="53"/>
      <c r="AE75" s="53"/>
    </row>
    <row r="76" ht="15.75" customHeight="1">
      <c r="A76" s="45">
        <v>358.0</v>
      </c>
      <c r="B76" s="30" t="str">
        <f t="shared" si="8"/>
        <v>Q2</v>
      </c>
      <c r="C76" s="29">
        <f t="shared" si="9"/>
        <v>8</v>
      </c>
      <c r="D76" s="102" t="s">
        <v>109</v>
      </c>
      <c r="E76" s="52" t="s">
        <v>109</v>
      </c>
      <c r="F76" s="36" t="s">
        <v>37</v>
      </c>
      <c r="G76" s="30" t="s">
        <v>611</v>
      </c>
      <c r="H76" s="36" t="s">
        <v>37</v>
      </c>
      <c r="I76" s="47">
        <v>29700.0</v>
      </c>
      <c r="J76" s="47"/>
      <c r="K76" s="48">
        <f t="shared" si="7"/>
        <v>231622</v>
      </c>
      <c r="L76" s="30" t="s">
        <v>45</v>
      </c>
      <c r="M76" s="30" t="s">
        <v>55</v>
      </c>
      <c r="N76" s="36" t="s">
        <v>37</v>
      </c>
      <c r="O76" s="36" t="s">
        <v>60</v>
      </c>
      <c r="P76" s="30" t="s">
        <v>57</v>
      </c>
      <c r="Q76" s="30" t="s">
        <v>58</v>
      </c>
      <c r="R76" s="36" t="s">
        <v>37</v>
      </c>
      <c r="S76" s="36" t="s">
        <v>37</v>
      </c>
      <c r="T76" s="36" t="s">
        <v>37</v>
      </c>
      <c r="U76" s="30" t="s">
        <v>156</v>
      </c>
      <c r="V76" s="36" t="s">
        <v>37</v>
      </c>
      <c r="W76" s="51" t="str">
        <f t="shared" si="11"/>
        <v>#NAME?</v>
      </c>
      <c r="X76" s="44">
        <v>231621.97</v>
      </c>
      <c r="Y76" s="50">
        <f t="shared" si="13"/>
        <v>-0.03</v>
      </c>
      <c r="Z76" s="103"/>
      <c r="AA76" s="103"/>
      <c r="AB76" s="103"/>
      <c r="AC76" s="103"/>
      <c r="AD76" s="103"/>
      <c r="AE76" s="103"/>
    </row>
    <row r="77" ht="15.75" customHeight="1">
      <c r="A77" s="45">
        <v>357.0</v>
      </c>
      <c r="B77" s="30" t="str">
        <f t="shared" si="8"/>
        <v>Q2</v>
      </c>
      <c r="C77" s="29">
        <f t="shared" si="9"/>
        <v>8</v>
      </c>
      <c r="D77" s="52" t="s">
        <v>109</v>
      </c>
      <c r="E77" s="52" t="s">
        <v>109</v>
      </c>
      <c r="F77" s="36" t="s">
        <v>37</v>
      </c>
      <c r="G77" s="30" t="s">
        <v>615</v>
      </c>
      <c r="H77" s="36" t="s">
        <v>37</v>
      </c>
      <c r="I77" s="47">
        <v>29700.0</v>
      </c>
      <c r="J77" s="47"/>
      <c r="K77" s="48">
        <f t="shared" si="7"/>
        <v>261322</v>
      </c>
      <c r="L77" s="30" t="s">
        <v>45</v>
      </c>
      <c r="M77" s="30" t="s">
        <v>55</v>
      </c>
      <c r="N77" s="36" t="s">
        <v>37</v>
      </c>
      <c r="O77" s="36" t="s">
        <v>60</v>
      </c>
      <c r="P77" s="30" t="s">
        <v>57</v>
      </c>
      <c r="Q77" s="30" t="s">
        <v>58</v>
      </c>
      <c r="R77" s="36" t="s">
        <v>37</v>
      </c>
      <c r="S77" s="36" t="s">
        <v>37</v>
      </c>
      <c r="T77" s="36" t="s">
        <v>37</v>
      </c>
      <c r="U77" s="30" t="s">
        <v>156</v>
      </c>
      <c r="V77" s="36" t="s">
        <v>37</v>
      </c>
      <c r="W77" s="51" t="str">
        <f t="shared" si="11"/>
        <v>#NAME?</v>
      </c>
      <c r="X77" s="44">
        <v>261321.97</v>
      </c>
      <c r="Y77" s="50">
        <f t="shared" si="13"/>
        <v>-0.03</v>
      </c>
      <c r="Z77" s="53"/>
      <c r="AA77" s="53"/>
      <c r="AB77" s="53"/>
      <c r="AC77" s="53"/>
      <c r="AD77" s="53"/>
      <c r="AE77" s="53"/>
    </row>
    <row r="78" ht="15.75" customHeight="1">
      <c r="A78" s="45">
        <v>356.0</v>
      </c>
      <c r="B78" s="30" t="str">
        <f t="shared" si="8"/>
        <v>Q2</v>
      </c>
      <c r="C78" s="29">
        <f t="shared" si="9"/>
        <v>8</v>
      </c>
      <c r="D78" s="52" t="s">
        <v>109</v>
      </c>
      <c r="E78" s="52" t="s">
        <v>109</v>
      </c>
      <c r="F78" s="36" t="s">
        <v>37</v>
      </c>
      <c r="G78" s="30" t="s">
        <v>622</v>
      </c>
      <c r="H78" s="36" t="s">
        <v>37</v>
      </c>
      <c r="I78" s="47">
        <v>99000.0</v>
      </c>
      <c r="J78" s="47"/>
      <c r="K78" s="48">
        <f t="shared" si="7"/>
        <v>291022</v>
      </c>
      <c r="L78" s="30" t="s">
        <v>45</v>
      </c>
      <c r="M78" s="30" t="s">
        <v>55</v>
      </c>
      <c r="N78" s="36" t="s">
        <v>37</v>
      </c>
      <c r="O78" s="36" t="s">
        <v>60</v>
      </c>
      <c r="P78" s="30" t="s">
        <v>57</v>
      </c>
      <c r="Q78" s="30" t="s">
        <v>58</v>
      </c>
      <c r="R78" s="36" t="s">
        <v>37</v>
      </c>
      <c r="S78" s="36" t="s">
        <v>37</v>
      </c>
      <c r="T78" s="36" t="s">
        <v>37</v>
      </c>
      <c r="U78" s="30" t="s">
        <v>156</v>
      </c>
      <c r="V78" s="36" t="s">
        <v>37</v>
      </c>
      <c r="W78" s="51" t="str">
        <f t="shared" si="11"/>
        <v>#NAME?</v>
      </c>
      <c r="X78" s="44">
        <v>291021.97</v>
      </c>
      <c r="Y78" s="50">
        <f t="shared" si="13"/>
        <v>-0.03000000003</v>
      </c>
      <c r="Z78" s="2"/>
      <c r="AA78" s="2"/>
      <c r="AB78" s="2"/>
      <c r="AC78" s="2"/>
      <c r="AD78" s="2"/>
      <c r="AE78" s="2"/>
    </row>
    <row r="79" ht="15.75" customHeight="1">
      <c r="A79" s="45">
        <v>355.0</v>
      </c>
      <c r="B79" s="30" t="str">
        <f t="shared" si="8"/>
        <v>Q2</v>
      </c>
      <c r="C79" s="29">
        <f t="shared" si="9"/>
        <v>8</v>
      </c>
      <c r="D79" s="52" t="s">
        <v>109</v>
      </c>
      <c r="E79" s="52" t="s">
        <v>109</v>
      </c>
      <c r="F79" s="36" t="s">
        <v>37</v>
      </c>
      <c r="G79" s="30" t="s">
        <v>627</v>
      </c>
      <c r="H79" s="36" t="s">
        <v>37</v>
      </c>
      <c r="I79" s="47">
        <v>4950.0</v>
      </c>
      <c r="J79" s="47"/>
      <c r="K79" s="48">
        <f t="shared" si="7"/>
        <v>390022</v>
      </c>
      <c r="L79" s="30" t="s">
        <v>45</v>
      </c>
      <c r="M79" s="30" t="s">
        <v>55</v>
      </c>
      <c r="N79" s="36" t="s">
        <v>37</v>
      </c>
      <c r="O79" s="36" t="s">
        <v>60</v>
      </c>
      <c r="P79" s="30" t="s">
        <v>57</v>
      </c>
      <c r="Q79" s="30" t="s">
        <v>58</v>
      </c>
      <c r="R79" s="36" t="s">
        <v>37</v>
      </c>
      <c r="S79" s="36" t="s">
        <v>37</v>
      </c>
      <c r="T79" s="36" t="s">
        <v>37</v>
      </c>
      <c r="U79" s="30" t="s">
        <v>156</v>
      </c>
      <c r="V79" s="36" t="s">
        <v>37</v>
      </c>
      <c r="W79" s="51" t="str">
        <f t="shared" si="11"/>
        <v>#NAME?</v>
      </c>
      <c r="X79" s="44">
        <v>390021.97</v>
      </c>
      <c r="Y79" s="50">
        <f t="shared" si="13"/>
        <v>-0.03000000003</v>
      </c>
      <c r="Z79" s="2"/>
      <c r="AA79" s="2"/>
      <c r="AB79" s="2"/>
      <c r="AC79" s="2"/>
      <c r="AD79" s="2"/>
      <c r="AE79" s="2"/>
    </row>
    <row r="80" ht="15.75" customHeight="1">
      <c r="A80" s="45">
        <v>354.0</v>
      </c>
      <c r="B80" s="30" t="str">
        <f t="shared" si="8"/>
        <v>Q2</v>
      </c>
      <c r="C80" s="29">
        <f t="shared" si="9"/>
        <v>8</v>
      </c>
      <c r="D80" s="52" t="s">
        <v>109</v>
      </c>
      <c r="E80" s="52" t="s">
        <v>109</v>
      </c>
      <c r="F80" s="36" t="s">
        <v>37</v>
      </c>
      <c r="G80" s="30" t="s">
        <v>552</v>
      </c>
      <c r="H80" s="30"/>
      <c r="I80" s="47"/>
      <c r="J80" s="47">
        <v>350000.0</v>
      </c>
      <c r="K80" s="48">
        <f t="shared" si="7"/>
        <v>394972</v>
      </c>
      <c r="L80" s="30" t="s">
        <v>45</v>
      </c>
      <c r="M80" s="30" t="s">
        <v>47</v>
      </c>
      <c r="N80" s="36" t="s">
        <v>37</v>
      </c>
      <c r="O80" s="36" t="s">
        <v>60</v>
      </c>
      <c r="P80" s="30" t="s">
        <v>49</v>
      </c>
      <c r="Q80" s="30" t="s">
        <v>50</v>
      </c>
      <c r="R80" s="36" t="s">
        <v>37</v>
      </c>
      <c r="S80" s="36" t="s">
        <v>37</v>
      </c>
      <c r="T80" s="36" t="s">
        <v>37</v>
      </c>
      <c r="U80" s="30" t="s">
        <v>37</v>
      </c>
      <c r="V80" s="36" t="s">
        <v>37</v>
      </c>
      <c r="W80" s="51" t="str">
        <f t="shared" si="11"/>
        <v>#NAME?</v>
      </c>
      <c r="X80" s="44">
        <v>394971.97</v>
      </c>
      <c r="Y80" s="50">
        <f t="shared" si="13"/>
        <v>-0.03000000003</v>
      </c>
      <c r="Z80" s="2"/>
      <c r="AA80" s="2"/>
      <c r="AB80" s="2"/>
      <c r="AC80" s="2"/>
      <c r="AD80" s="2"/>
      <c r="AE80" s="2"/>
    </row>
    <row r="81" ht="15.75" customHeight="1">
      <c r="A81" s="45">
        <v>353.0</v>
      </c>
      <c r="B81" s="45" t="str">
        <f t="shared" si="8"/>
        <v>Q2</v>
      </c>
      <c r="C81" s="45">
        <f t="shared" si="9"/>
        <v>8</v>
      </c>
      <c r="D81" s="104" t="s">
        <v>268</v>
      </c>
      <c r="E81" s="104" t="s">
        <v>268</v>
      </c>
      <c r="F81" s="45" t="s">
        <v>37</v>
      </c>
      <c r="G81" s="45" t="s">
        <v>638</v>
      </c>
      <c r="H81" s="61" t="s">
        <v>639</v>
      </c>
      <c r="I81" s="48">
        <v>16834.0</v>
      </c>
      <c r="J81" s="48"/>
      <c r="K81" s="48">
        <f t="shared" si="7"/>
        <v>44972</v>
      </c>
      <c r="L81" s="77" t="s">
        <v>45</v>
      </c>
      <c r="M81" s="77" t="s">
        <v>67</v>
      </c>
      <c r="N81" s="77" t="s">
        <v>37</v>
      </c>
      <c r="O81" s="77" t="s">
        <v>60</v>
      </c>
      <c r="P81" s="30" t="s">
        <v>57</v>
      </c>
      <c r="Q81" s="77" t="s">
        <v>58</v>
      </c>
      <c r="R81" s="30" t="s">
        <v>37</v>
      </c>
      <c r="S81" s="30" t="s">
        <v>37</v>
      </c>
      <c r="T81" s="30" t="s">
        <v>37</v>
      </c>
      <c r="U81" s="30" t="s">
        <v>499</v>
      </c>
      <c r="V81" s="30" t="s">
        <v>37</v>
      </c>
      <c r="W81" s="51" t="str">
        <f t="shared" si="11"/>
        <v>#NAME?</v>
      </c>
      <c r="X81" s="2">
        <v>44971.97</v>
      </c>
      <c r="Y81" s="70">
        <f t="shared" si="13"/>
        <v>-0.03</v>
      </c>
      <c r="Z81" s="2"/>
      <c r="AA81" s="2"/>
      <c r="AB81" s="2"/>
      <c r="AC81" s="2"/>
      <c r="AD81" s="2"/>
      <c r="AE81" s="2"/>
    </row>
    <row r="82" ht="15.75" customHeight="1">
      <c r="A82" s="45">
        <v>352.0</v>
      </c>
      <c r="B82" s="105" t="str">
        <f t="shared" si="8"/>
        <v>Q2</v>
      </c>
      <c r="C82" s="106">
        <f t="shared" si="9"/>
        <v>8</v>
      </c>
      <c r="D82" s="107" t="s">
        <v>268</v>
      </c>
      <c r="E82" s="107" t="s">
        <v>268</v>
      </c>
      <c r="F82" s="108" t="s">
        <v>37</v>
      </c>
      <c r="G82" s="105" t="s">
        <v>642</v>
      </c>
      <c r="H82" s="105" t="s">
        <v>643</v>
      </c>
      <c r="I82" s="48">
        <v>7425.0</v>
      </c>
      <c r="J82" s="48"/>
      <c r="K82" s="48">
        <f t="shared" si="7"/>
        <v>61806</v>
      </c>
      <c r="L82" s="105" t="s">
        <v>45</v>
      </c>
      <c r="M82" s="105" t="s">
        <v>55</v>
      </c>
      <c r="N82" s="108" t="s">
        <v>37</v>
      </c>
      <c r="O82" s="108" t="s">
        <v>60</v>
      </c>
      <c r="P82" s="105" t="s">
        <v>57</v>
      </c>
      <c r="Q82" s="105" t="s">
        <v>58</v>
      </c>
      <c r="R82" s="108" t="s">
        <v>37</v>
      </c>
      <c r="S82" s="108" t="s">
        <v>37</v>
      </c>
      <c r="T82" s="108" t="s">
        <v>37</v>
      </c>
      <c r="U82" s="105" t="s">
        <v>156</v>
      </c>
      <c r="V82" s="108" t="s">
        <v>37</v>
      </c>
      <c r="W82" s="51" t="str">
        <f t="shared" si="11"/>
        <v>#NAME?</v>
      </c>
      <c r="X82" s="109">
        <v>61805.97</v>
      </c>
      <c r="Y82" s="73">
        <f t="shared" si="13"/>
        <v>-0.03</v>
      </c>
      <c r="Z82" s="53"/>
      <c r="AA82" s="53"/>
      <c r="AB82" s="53"/>
      <c r="AC82" s="53"/>
      <c r="AD82" s="53"/>
      <c r="AE82" s="53"/>
    </row>
    <row r="83" ht="15.75" customHeight="1">
      <c r="A83" s="45">
        <v>351.0</v>
      </c>
      <c r="B83" s="105" t="str">
        <f t="shared" si="8"/>
        <v>Q2</v>
      </c>
      <c r="C83" s="106">
        <f t="shared" si="9"/>
        <v>8</v>
      </c>
      <c r="D83" s="110" t="s">
        <v>268</v>
      </c>
      <c r="E83" s="107" t="s">
        <v>268</v>
      </c>
      <c r="F83" s="108" t="s">
        <v>37</v>
      </c>
      <c r="G83" s="105" t="s">
        <v>651</v>
      </c>
      <c r="H83" s="105" t="s">
        <v>653</v>
      </c>
      <c r="I83" s="48">
        <v>7080.0</v>
      </c>
      <c r="J83" s="48"/>
      <c r="K83" s="48">
        <f t="shared" si="7"/>
        <v>69231</v>
      </c>
      <c r="L83" s="105" t="s">
        <v>45</v>
      </c>
      <c r="M83" s="105" t="s">
        <v>67</v>
      </c>
      <c r="N83" s="108" t="s">
        <v>37</v>
      </c>
      <c r="O83" s="108" t="s">
        <v>60</v>
      </c>
      <c r="P83" s="105" t="s">
        <v>57</v>
      </c>
      <c r="Q83" s="105" t="s">
        <v>58</v>
      </c>
      <c r="R83" s="108" t="s">
        <v>37</v>
      </c>
      <c r="S83" s="108" t="s">
        <v>37</v>
      </c>
      <c r="T83" s="108" t="s">
        <v>37</v>
      </c>
      <c r="U83" s="105" t="s">
        <v>499</v>
      </c>
      <c r="V83" s="108" t="s">
        <v>37</v>
      </c>
      <c r="W83" s="51" t="str">
        <f t="shared" si="11"/>
        <v>#NAME?</v>
      </c>
      <c r="X83" s="109">
        <v>69230.97</v>
      </c>
      <c r="Y83" s="73">
        <f t="shared" si="13"/>
        <v>-0.03</v>
      </c>
      <c r="Z83" s="103"/>
      <c r="AA83" s="103"/>
      <c r="AB83" s="103"/>
      <c r="AC83" s="103"/>
      <c r="AD83" s="103"/>
      <c r="AE83" s="103"/>
    </row>
    <row r="84" ht="15.75" customHeight="1">
      <c r="A84" s="45">
        <v>350.0</v>
      </c>
      <c r="B84" s="105" t="str">
        <f t="shared" si="8"/>
        <v>Q2</v>
      </c>
      <c r="C84" s="106">
        <f t="shared" si="9"/>
        <v>8</v>
      </c>
      <c r="D84" s="107" t="s">
        <v>134</v>
      </c>
      <c r="E84" s="107" t="s">
        <v>134</v>
      </c>
      <c r="F84" s="105" t="s">
        <v>37</v>
      </c>
      <c r="G84" s="105" t="s">
        <v>552</v>
      </c>
      <c r="H84" s="105" t="s">
        <v>660</v>
      </c>
      <c r="I84" s="48"/>
      <c r="J84" s="48">
        <v>70000.0</v>
      </c>
      <c r="K84" s="48">
        <f t="shared" si="7"/>
        <v>76311</v>
      </c>
      <c r="L84" s="105" t="s">
        <v>45</v>
      </c>
      <c r="M84" s="105" t="s">
        <v>47</v>
      </c>
      <c r="N84" s="105" t="s">
        <v>37</v>
      </c>
      <c r="O84" s="105" t="s">
        <v>60</v>
      </c>
      <c r="P84" s="105" t="s">
        <v>49</v>
      </c>
      <c r="Q84" s="105" t="s">
        <v>50</v>
      </c>
      <c r="R84" s="105" t="s">
        <v>37</v>
      </c>
      <c r="S84" s="105" t="s">
        <v>37</v>
      </c>
      <c r="T84" s="105" t="s">
        <v>37</v>
      </c>
      <c r="U84" s="105" t="s">
        <v>37</v>
      </c>
      <c r="V84" s="105" t="s">
        <v>37</v>
      </c>
      <c r="W84" s="51" t="str">
        <f>IFERROR(__xludf.DUMMYFUNCTION(" LET ( ref , IF ( ISBLANK ( H84 ) , ""N/A"" , H84 ) , vendor , IF ( ISNUMBER ( SEARCH ( ""/"" , G84 ) ) , TRIM ( LEFT ( SUBSTITUTE ( MID ( G84 , SEARCH ( ""/"" , G84 ) + 1 , 100 ) , ""/"" , REPT ( "" "" , 100 ) ) , 100 ) ) , ""Vendor"" ) , apt , IF ( ISBL"&amp;"ANK ( S84 ) , """" , "" | Apt: "" &amp; S84 ) , IF ( ISBLANK ( U84 ) , ""Remarks Compulsory For Narration"" , TRIM ( IF ( M84 = ""Internal"" , IF ( LEN ( G84 ) - LEN ( SUBSTITUTE ( G84 , ""-"" , """" ) ) &gt;= 3 , IF ( N ( J84 ) &gt; 0 , ""Internal Fund Transfer (F"&amp;"rom x"" &amp; RIGHT ( MID ( G84 , FIND ( ""-"" , SUBSTITUTE ( G84 , ""-"" , ""-"" , 3 ) ) + 1 , LEN ( G84 ) ) , 4 ) &amp; "" to YES IDW 0490)"" , ""Internal Fund Transfer (From YES IDW 0490 to x"" &amp; RIGHT ( MID ( G84 , FIND ( ""-"" , SUBSTITUTE ( G84 , ""-"" , """&amp;"-"" , 3 ) ) + 1 , LEN ( G84 ) ) , 4 ) &amp; "")"" ) &amp; "" | Ref: "" &amp; ref &amp; "" | Type: "" &amp; P84 &amp; "" | BU: "" &amp; L84 &amp; "" | Head: "" &amp; M84 , ""Internal Transfer | Ref: "" &amp; ref &amp; "" | Type: "" &amp; P84 &amp; "" | BU: "" &amp; L84 &amp; "" | Head: "" &amp; M84 ) , IF ( N ( J84 ) &gt;"&amp;" 0 , IF ( P84 = ""Customer Collection"" , ""Receipt Credit (Collection) "" &amp; apt &amp; "" | Ref: "" &amp; ref &amp; "" | From: "" &amp; IF ( ISNUMBER ( SEARCH ( ""SOHNA ROAD"" , G84 ) ) , ""Sohna Road"" , ""Party"" ) &amp; "" | BU: "" &amp; L84 , ""Receipt Credit from x"" &amp; RIGH"&amp;"T ( MID ( G84 , FIND ( ""-"" , SUBSTITUTE ( G84 , ""-"" , ""-"" , 3 ) ) + 1 , LEN ( G84 ) ) , 4 ) &amp; "" (Purpose: "" &amp; IF ( OR ( ISBLANK ( U84 ) , U84 = ""N/A"" ) , L84 , U84 ) &amp; "") "" &amp; apt &amp; "" | Ref: "" &amp; ref &amp; "" | BU: "" &amp; L84 &amp; "" | Head: "" &amp; M84 )"&amp;" , ""Payment Disbursement (Purpose: "" &amp; IF ( ISNUMBER ( SEARCH ( ""salary"" , M84 ) ) , ""Salary"" , U84 ) &amp; "") | To: "" &amp; IF ( ISNUMBER ( SEARCH ( ""/"" , G84 ) ) , IF ( ISNUMBER ( SEARCH ( ""FINO PAYMENTS"" , G84 ) ) , MID ( G84 , FIND ( ""/"" , G84 ,"&amp;" SEARCH ( ""FINO PAYMENTS"" , G84 ) ) + 1 , FIND ( ""/"" , G84 , FIND ( ""/"" , G84 , SEARCH ( ""FINO PAYMENTS"" , G84 ) ) + 1 ) - FIND ( ""/"" , G84 , SEARCH ( ""FINO PAYMENTS"" , G84 ) ) - 1 ) , IFERROR ( REGEXEXTRACT ( G84 , ""^(?:[^/]*/){6}([^/]+)"" )"&amp;" , TRIM ( RIGHT ( SUBSTITUTE ( G84 , ""/"" , REPT ( "" "" , LEN ( G84 ) ) ) , LEN ( G84 ) ) ) ) ) , IFERROR ( MID ( G84 , FIND ( ""-"" , G84 , FIND ( ""-"" , G84 , FIND ( ""-"" , G84 ) + 1 ) + 1 ) + 1 , FIND ( ""-"" , G84 , FIND ( ""-"" , G84 , FIND ( ""-"&amp;""" , G84 , FIND ( ""-"" , G84 ) + 1 ) + 1 ) + 1 ) - FIND ( ""-"" , G84 , FIND ( ""-"" , G84 , FIND ( ""-"" , G84 ) + 1 ) + 1 ) - 1 ) , ""Vendor"" ) ) &amp; "" | Ref: "" &amp; ref &amp; "" | BU: "" &amp; L84 &amp; "" | Head: "" &amp; M84 &amp; apt ) ) ) ) )"),"Internal Transfer | Ref: YESME621300679 9900 | Type: RERA 2 IDW | BU: Casa Romana | Head: Internal")</f>
        <v>Internal Transfer | Ref: YESME621300679 9900 | Type: RERA 2 IDW | BU: Casa Romana | Head: Internal</v>
      </c>
      <c r="X84" s="109">
        <v>76310.97</v>
      </c>
      <c r="Y84" s="73">
        <f t="shared" si="13"/>
        <v>-0.03</v>
      </c>
      <c r="Z84" s="53"/>
      <c r="AA84" s="53"/>
      <c r="AB84" s="53"/>
      <c r="AC84" s="53"/>
      <c r="AD84" s="53"/>
      <c r="AE84" s="53"/>
    </row>
    <row r="85" ht="15.75" customHeight="1">
      <c r="A85" s="45">
        <v>349.0</v>
      </c>
      <c r="B85" s="45" t="str">
        <f t="shared" ref="B85:B431" si="14">IF(D85="","?",_xludf.IFS(
    MONTH(D85)&lt;=3,"Q4",
    MONTH(D85)&lt;=6,"Q1",
    MONTH(D85)&lt;=9,"Q2",
    TRUE,"Q3"
))</f>
        <v>#NAME?</v>
      </c>
      <c r="C85" s="45">
        <f t="shared" ref="C85:C432" si="15">MONTH(D85)</f>
        <v>7</v>
      </c>
      <c r="D85" s="75">
        <v>46230.0</v>
      </c>
      <c r="E85" s="75">
        <v>46230.0</v>
      </c>
      <c r="F85" s="45"/>
      <c r="G85" s="45" t="s">
        <v>673</v>
      </c>
      <c r="H85" s="105" t="s">
        <v>674</v>
      </c>
      <c r="I85" s="48">
        <v>9900.0</v>
      </c>
      <c r="J85" s="48"/>
      <c r="K85" s="48">
        <f t="shared" si="7"/>
        <v>6311</v>
      </c>
      <c r="L85" s="77" t="s">
        <v>45</v>
      </c>
      <c r="M85" s="77" t="s">
        <v>55</v>
      </c>
      <c r="N85" s="64"/>
      <c r="O85" s="77" t="s">
        <v>60</v>
      </c>
      <c r="P85" s="30" t="s">
        <v>57</v>
      </c>
      <c r="Q85" s="64" t="s">
        <v>58</v>
      </c>
      <c r="R85" s="30"/>
      <c r="S85" s="30"/>
      <c r="T85" s="30"/>
      <c r="U85" s="30" t="s">
        <v>156</v>
      </c>
      <c r="V85" s="30"/>
      <c r="W85" s="51" t="str">
        <f>IFERROR(__xludf.DUMMYFUNCTION(" LET ( ref , IF ( ISBLANK ( H85 ) , ""N/A"" , H85 ) , vendor , IF ( ISNUMBER ( SEARCH ( ""/"" , G85 ) ) , TRIM ( LEFT ( SUBSTITUTE ( MID ( G85 , SEARCH ( ""/"" , G85 ) + 1 , 100 ) , ""/"" , REPT ( "" "" , 100 ) ) , 100 ) ) , ""Vendor"" ) , apt , IF ( ISBL"&amp;"ANK ( S85 ) , """" , "" | Apt: "" &amp; S85 ) , IF ( ISBLANK ( U85 ) , ""Remarks Compulsory For Narration"" , TRIM ( IF ( M85 = ""Internal"" , IF ( LEN ( G85 ) - LEN ( SUBSTITUTE ( G85 , ""-"" , """" ) ) &gt;= 3 , IF ( N ( J85 ) &gt; 0 , ""Internal Fund Transfer (F"&amp;"rom x"" &amp; RIGHT ( MID ( G85 , FIND ( ""-"" , SUBSTITUTE ( G85 , ""-"" , ""-"" , 3 ) ) + 1 , LEN ( G85 ) ) , 4 ) &amp; "" to YES IDW 0490)"" , ""Internal Fund Transfer (From YES IDW 0490 to x"" &amp; RIGHT ( MID ( G85 , FIND ( ""-"" , SUBSTITUTE ( G85 , ""-"" , """&amp;"-"" , 3 ) ) + 1 , LEN ( G85 ) ) , 4 ) &amp; "")"" ) &amp; "" | Ref: "" &amp; ref &amp; "" | Type: "" &amp; P85 &amp; "" | BU: "" &amp; L85 &amp; "" | Head: "" &amp; M85 , ""Internal Transfer | Ref: "" &amp; ref &amp; "" | Type: "" &amp; P85 &amp; "" | BU: "" &amp; L85 &amp; "" | Head: "" &amp; M85 ) , IF ( N ( J85 ) &gt;"&amp;" 0 , IF ( P85 = ""Customer Collection"" , ""Receipt Credit (Collection) "" &amp; apt &amp; "" | Ref: "" &amp; ref &amp; "" | From: "" &amp; IF ( ISNUMBER ( SEARCH ( ""SOHNA ROAD"" , G85 ) ) , ""Sohna Road"" , ""Party"" ) &amp; "" | BU: "" &amp; L85 , ""Receipt Credit from x"" &amp; RIGH"&amp;"T ( MID ( G85 , FIND ( ""-"" , SUBSTITUTE ( G85 , ""-"" , ""-"" , 3 ) ) + 1 , LEN ( G85 ) ) , 4 ) &amp; "" (Purpose: "" &amp; IF ( OR ( ISBLANK ( U85 ) , U85 = ""N/A"" ) , L85 , U85 ) &amp; "") "" &amp; apt &amp; "" | Ref: "" &amp; ref &amp; "" | BU: "" &amp; L85 &amp; "" | Head: "" &amp; M85 )"&amp;" , ""Payment Disbursement (Purpose: "" &amp; IF ( ISNUMBER ( SEARCH ( ""salary"" , M85 ) ) , ""Salary"" , U85 ) &amp; "") | To: "" &amp; IF ( ISNUMBER ( SEARCH ( ""/"" , G85 ) ) , IF ( ISNUMBER ( SEARCH ( ""FINO PAYMENTS"" , G85 ) ) , MID ( G85 , FIND ( ""/"" , G85 ,"&amp;" SEARCH ( ""FINO PAYMENTS"" , G85 ) ) + 1 , FIND ( ""/"" , G85 , FIND ( ""/"" , G85 , SEARCH ( ""FINO PAYMENTS"" , G85 ) ) + 1 ) - FIND ( ""/"" , G85 , SEARCH ( ""FINO PAYMENTS"" , G85 ) ) - 1 ) , IFERROR ( REGEXEXTRACT ( G85 , ""^(?:[^/]*/){6}([^/]+)"" )"&amp;" , TRIM ( RIGHT ( SUBSTITUTE ( G85 , ""/"" , REPT ( "" "" , LEN ( G85 ) ) ) , LEN ( G85 ) ) ) ) ) , IFERROR ( MID ( G85 , FIND ( ""-"" , G85 , FIND ( ""-"" , G85 , FIND ( ""-"" , G85 ) + 1 ) + 1 ) + 1 , FIND ( ""-"" , G85 , FIND ( ""-"" , G85 , FIND ( ""-"&amp;""" , G85 , FIND ( ""-"" , G85 ) + 1 ) + 1 ) + 1 ) - FIND ( ""-"" , G85 , FIND ( ""-"" , G85 , FIND ( ""-"" , G85 ) + 1 ) + 1 ) - 1 ) , ""Vendor"" ) ) &amp; "" | Ref: "" &amp; ref &amp; "" | BU: "" &amp; L85 &amp; "" | Head: "" &amp; M85 &amp; apt ) ) ) ) )"),"Payment Disbursement (Purpose: Construction Expenses) | To: Ram Chand Yadav | Ref: YESME6208002599400 | BU: Casa Romana | Head: Contractor")</f>
        <v>Payment Disbursement (Purpose: Construction Expenses) | To: Ram Chand Yadav | Ref: YESME6208002599400 | BU: Casa Romana | Head: Contractor</v>
      </c>
      <c r="X85" s="2"/>
      <c r="Y85" s="2"/>
      <c r="Z85" s="2"/>
      <c r="AA85" s="2"/>
      <c r="AB85" s="2"/>
      <c r="AC85" s="2"/>
      <c r="AD85" s="2"/>
      <c r="AE85" s="2"/>
    </row>
    <row r="86" ht="15.75" customHeight="1">
      <c r="A86" s="45">
        <v>348.0</v>
      </c>
      <c r="B86" s="45" t="str">
        <f t="shared" si="14"/>
        <v>#NAME?</v>
      </c>
      <c r="C86" s="45">
        <f t="shared" si="15"/>
        <v>7</v>
      </c>
      <c r="D86" s="75">
        <v>46230.0</v>
      </c>
      <c r="E86" s="75">
        <v>46230.0</v>
      </c>
      <c r="F86" s="45"/>
      <c r="G86" s="45" t="s">
        <v>679</v>
      </c>
      <c r="H86" s="61" t="s">
        <v>680</v>
      </c>
      <c r="I86" s="48">
        <v>2475.0</v>
      </c>
      <c r="J86" s="48"/>
      <c r="K86" s="48">
        <f t="shared" si="7"/>
        <v>16211</v>
      </c>
      <c r="L86" s="77" t="s">
        <v>45</v>
      </c>
      <c r="M86" s="77" t="s">
        <v>55</v>
      </c>
      <c r="N86" s="64"/>
      <c r="O86" s="77" t="s">
        <v>60</v>
      </c>
      <c r="P86" s="30" t="s">
        <v>57</v>
      </c>
      <c r="Q86" s="64" t="s">
        <v>58</v>
      </c>
      <c r="R86" s="30"/>
      <c r="S86" s="30"/>
      <c r="T86" s="30"/>
      <c r="U86" s="30" t="s">
        <v>156</v>
      </c>
      <c r="V86" s="30"/>
      <c r="W86" s="51" t="str">
        <f>IFERROR(__xludf.DUMMYFUNCTION(" LET ( ref , IF ( ISBLANK ( H86 ) , ""N/A"" , H86 ) , vendor , IF ( ISNUMBER ( SEARCH ( ""/"" , G86 ) ) , TRIM ( LEFT ( SUBSTITUTE ( MID ( G86 , SEARCH ( ""/"" , G86 ) + 1 , 100 ) , ""/"" , REPT ( "" "" , 100 ) ) , 100 ) ) , ""Vendor"" ) , apt , IF ( ISBL"&amp;"ANK ( S86 ) , """" , "" | Apt: "" &amp; S86 ) , IF ( ISBLANK ( U86 ) , ""Remarks Compulsory For Narration"" , TRIM ( IF ( M86 = ""Internal"" , IF ( LEN ( G86 ) - LEN ( SUBSTITUTE ( G86 , ""-"" , """" ) ) &gt;= 3 , IF ( N ( J86 ) &gt; 0 , ""Internal Fund Transfer (F"&amp;"rom x"" &amp; RIGHT ( MID ( G86 , FIND ( ""-"" , SUBSTITUTE ( G86 , ""-"" , ""-"" , 3 ) ) + 1 , LEN ( G86 ) ) , 4 ) &amp; "" to YES IDW 0490)"" , ""Internal Fund Transfer (From YES IDW 0490 to x"" &amp; RIGHT ( MID ( G86 , FIND ( ""-"" , SUBSTITUTE ( G86 , ""-"" , """&amp;"-"" , 3 ) ) + 1 , LEN ( G86 ) ) , 4 ) &amp; "")"" ) &amp; "" | Ref: "" &amp; ref &amp; "" | Type: "" &amp; P86 &amp; "" | BU: "" &amp; L86 &amp; "" | Head: "" &amp; M86 , ""Internal Transfer | Ref: "" &amp; ref &amp; "" | Type: "" &amp; P86 &amp; "" | BU: "" &amp; L86 &amp; "" | Head: "" &amp; M86 ) , IF ( N ( J86 ) &gt;"&amp;" 0 , IF ( P86 = ""Customer Collection"" , ""Receipt Credit (Collection) "" &amp; apt &amp; "" | Ref: "" &amp; ref &amp; "" | From: "" &amp; IF ( ISNUMBER ( SEARCH ( ""SOHNA ROAD"" , G86 ) ) , ""Sohna Road"" , ""Party"" ) &amp; "" | BU: "" &amp; L86 , ""Receipt Credit from x"" &amp; RIGH"&amp;"T ( MID ( G86 , FIND ( ""-"" , SUBSTITUTE ( G86 , ""-"" , ""-"" , 3 ) ) + 1 , LEN ( G86 ) ) , 4 ) &amp; "" (Purpose: "" &amp; IF ( OR ( ISBLANK ( U86 ) , U86 = ""N/A"" ) , L86 , U86 ) &amp; "") "" &amp; apt &amp; "" | Ref: "" &amp; ref &amp; "" | BU: "" &amp; L86 &amp; "" | Head: "" &amp; M86 )"&amp;" , ""Payment Disbursement (Purpose: "" &amp; IF ( ISNUMBER ( SEARCH ( ""salary"" , M86 ) ) , ""Salary"" , U86 ) &amp; "") | To: "" &amp; IF ( ISNUMBER ( SEARCH ( ""/"" , G86 ) ) , IF ( ISNUMBER ( SEARCH ( ""FINO PAYMENTS"" , G86 ) ) , MID ( G86 , FIND ( ""/"" , G86 ,"&amp;" SEARCH ( ""FINO PAYMENTS"" , G86 ) ) + 1 , FIND ( ""/"" , G86 , FIND ( ""/"" , G86 , SEARCH ( ""FINO PAYMENTS"" , G86 ) ) + 1 ) - FIND ( ""/"" , G86 , SEARCH ( ""FINO PAYMENTS"" , G86 ) ) - 1 ) , IFERROR ( REGEXEXTRACT ( G86 , ""^(?:[^/]*/){6}([^/]+)"" )"&amp;" , TRIM ( RIGHT ( SUBSTITUTE ( G86 , ""/"" , REPT ( "" "" , LEN ( G86 ) ) ) , LEN ( G86 ) ) ) ) ) , IFERROR ( MID ( G86 , FIND ( ""-"" , G86 , FIND ( ""-"" , G86 , FIND ( ""-"" , G86 ) + 1 ) + 1 ) + 1 , FIND ( ""-"" , G86 , FIND ( ""-"" , G86 , FIND ( ""-"&amp;""" , G86 , FIND ( ""-"" , G86 ) + 1 ) + 1 ) + 1 ) - FIND ( ""-"" , G86 , FIND ( ""-"" , G86 , FIND ( ""-"" , G86 ) + 1 ) + 1 ) - 1 ) , ""Vendor"" ) ) &amp; "" | Ref: "" &amp; ref &amp; "" | BU: "" &amp; L86 &amp; "" | Head: "" &amp; M86 &amp; apt ) ) ) ) )"),"Payment Disbursement (Purpose: Construction Expenses) | To: Mukesh Kumar | Ref: YESME6208002599300 | BU: Casa Romana | Head: Contractor")</f>
        <v>Payment Disbursement (Purpose: Construction Expenses) | To: Mukesh Kumar | Ref: YESME6208002599300 | BU: Casa Romana | Head: Contractor</v>
      </c>
      <c r="X86" s="2"/>
      <c r="Y86" s="2"/>
      <c r="Z86" s="2"/>
      <c r="AA86" s="2"/>
      <c r="AB86" s="2"/>
      <c r="AC86" s="2"/>
      <c r="AD86" s="2"/>
      <c r="AE86" s="2"/>
    </row>
    <row r="87" ht="15.75" customHeight="1">
      <c r="A87" s="45">
        <v>347.0</v>
      </c>
      <c r="B87" s="45" t="str">
        <f t="shared" si="14"/>
        <v>#NAME?</v>
      </c>
      <c r="C87" s="45">
        <f t="shared" si="15"/>
        <v>7</v>
      </c>
      <c r="D87" s="75">
        <v>46230.0</v>
      </c>
      <c r="E87" s="75">
        <v>46230.0</v>
      </c>
      <c r="F87" s="45"/>
      <c r="G87" s="45" t="s">
        <v>686</v>
      </c>
      <c r="H87" s="61" t="s">
        <v>687</v>
      </c>
      <c r="I87" s="48">
        <v>4950.0</v>
      </c>
      <c r="J87" s="48"/>
      <c r="K87" s="48">
        <f t="shared" si="7"/>
        <v>18686</v>
      </c>
      <c r="L87" s="77" t="s">
        <v>45</v>
      </c>
      <c r="M87" s="77" t="s">
        <v>55</v>
      </c>
      <c r="N87" s="64"/>
      <c r="O87" s="77" t="s">
        <v>60</v>
      </c>
      <c r="P87" s="30" t="s">
        <v>57</v>
      </c>
      <c r="Q87" s="64" t="s">
        <v>58</v>
      </c>
      <c r="R87" s="30"/>
      <c r="S87" s="30"/>
      <c r="T87" s="30"/>
      <c r="U87" s="30" t="s">
        <v>156</v>
      </c>
      <c r="V87" s="30"/>
      <c r="W87" s="51" t="str">
        <f>IFERROR(__xludf.DUMMYFUNCTION(" LET ( ref , IF ( ISBLANK ( H87 ) , ""N/A"" , H87 ) , vendor , IF ( ISNUMBER ( SEARCH ( ""/"" , G87 ) ) , TRIM ( LEFT ( SUBSTITUTE ( MID ( G87 , SEARCH ( ""/"" , G87 ) + 1 , 100 ) , ""/"" , REPT ( "" "" , 100 ) ) , 100 ) ) , ""Vendor"" ) , apt , IF ( ISBL"&amp;"ANK ( S87 ) , """" , "" | Apt: "" &amp; S87 ) , IF ( ISBLANK ( U87 ) , ""Remarks Compulsory For Narration"" , TRIM ( IF ( M87 = ""Internal"" , IF ( LEN ( G87 ) - LEN ( SUBSTITUTE ( G87 , ""-"" , """" ) ) &gt;= 3 , IF ( N ( J87 ) &gt; 0 , ""Internal Fund Transfer (F"&amp;"rom x"" &amp; RIGHT ( MID ( G87 , FIND ( ""-"" , SUBSTITUTE ( G87 , ""-"" , ""-"" , 3 ) ) + 1 , LEN ( G87 ) ) , 4 ) &amp; "" to YES IDW 0490)"" , ""Internal Fund Transfer (From YES IDW 0490 to x"" &amp; RIGHT ( MID ( G87 , FIND ( ""-"" , SUBSTITUTE ( G87 , ""-"" , """&amp;"-"" , 3 ) ) + 1 , LEN ( G87 ) ) , 4 ) &amp; "")"" ) &amp; "" | Ref: "" &amp; ref &amp; "" | Type: "" &amp; P87 &amp; "" | BU: "" &amp; L87 &amp; "" | Head: "" &amp; M87 , ""Internal Transfer | Ref: "" &amp; ref &amp; "" | Type: "" &amp; P87 &amp; "" | BU: "" &amp; L87 &amp; "" | Head: "" &amp; M87 ) , IF ( N ( J87 ) &gt;"&amp;" 0 , IF ( P87 = ""Customer Collection"" , ""Receipt Credit (Collection) "" &amp; apt &amp; "" | Ref: "" &amp; ref &amp; "" | From: "" &amp; IF ( ISNUMBER ( SEARCH ( ""SOHNA ROAD"" , G87 ) ) , ""Sohna Road"" , ""Party"" ) &amp; "" | BU: "" &amp; L87 , ""Receipt Credit from x"" &amp; RIGH"&amp;"T ( MID ( G87 , FIND ( ""-"" , SUBSTITUTE ( G87 , ""-"" , ""-"" , 3 ) ) + 1 , LEN ( G87 ) ) , 4 ) &amp; "" (Purpose: "" &amp; IF ( OR ( ISBLANK ( U87 ) , U87 = ""N/A"" ) , L87 , U87 ) &amp; "") "" &amp; apt &amp; "" | Ref: "" &amp; ref &amp; "" | BU: "" &amp; L87 &amp; "" | Head: "" &amp; M87 )"&amp;" , ""Payment Disbursement (Purpose: "" &amp; IF ( ISNUMBER ( SEARCH ( ""salary"" , M87 ) ) , ""Salary"" , U87 ) &amp; "") | To: "" &amp; IF ( ISNUMBER ( SEARCH ( ""/"" , G87 ) ) , IF ( ISNUMBER ( SEARCH ( ""FINO PAYMENTS"" , G87 ) ) , MID ( G87 , FIND ( ""/"" , G87 ,"&amp;" SEARCH ( ""FINO PAYMENTS"" , G87 ) ) + 1 , FIND ( ""/"" , G87 , FIND ( ""/"" , G87 , SEARCH ( ""FINO PAYMENTS"" , G87 ) ) + 1 ) - FIND ( ""/"" , G87 , SEARCH ( ""FINO PAYMENTS"" , G87 ) ) - 1 ) , IFERROR ( REGEXEXTRACT ( G87 , ""^(?:[^/]*/){6}([^/]+)"" )"&amp;" , TRIM ( RIGHT ( SUBSTITUTE ( G87 , ""/"" , REPT ( "" "" , LEN ( G87 ) ) ) , LEN ( G87 ) ) ) ) ) , IFERROR ( MID ( G87 , FIND ( ""-"" , G87 , FIND ( ""-"" , G87 , FIND ( ""-"" , G87 ) + 1 ) + 1 ) + 1 , FIND ( ""-"" , G87 , FIND ( ""-"" , G87 , FIND ( ""-"&amp;""" , G87 , FIND ( ""-"" , G87 ) + 1 ) + 1 ) + 1 ) - FIND ( ""-"" , G87 , FIND ( ""-"" , G87 , FIND ( ""-"" , G87 ) + 1 ) + 1 ) - 1 ) , ""Vendor"" ) ) &amp; "" | Ref: "" &amp; ref &amp; "" | BU: "" &amp; L87 &amp; "" | Head: "" &amp; M87 &amp; apt ) ) ) ) )"),"Payment Disbursement (Purpose: Construction Expenses) | To: Lalan Yadav | Ref: YESME6208002599200 | BU: Casa Romana | Head: Contractor")</f>
        <v>Payment Disbursement (Purpose: Construction Expenses) | To: Lalan Yadav | Ref: YESME6208002599200 | BU: Casa Romana | Head: Contractor</v>
      </c>
      <c r="X87" s="2"/>
      <c r="Y87" s="2"/>
      <c r="Z87" s="2"/>
      <c r="AA87" s="2"/>
      <c r="AB87" s="2"/>
      <c r="AC87" s="2"/>
      <c r="AD87" s="2"/>
      <c r="AE87" s="2"/>
    </row>
    <row r="88" ht="15.75" customHeight="1">
      <c r="A88" s="45">
        <v>346.0</v>
      </c>
      <c r="B88" s="45" t="str">
        <f t="shared" si="14"/>
        <v>#NAME?</v>
      </c>
      <c r="C88" s="45">
        <f t="shared" si="15"/>
        <v>7</v>
      </c>
      <c r="D88" s="75">
        <v>46230.0</v>
      </c>
      <c r="E88" s="75">
        <v>46230.0</v>
      </c>
      <c r="F88" s="45"/>
      <c r="G88" s="45" t="s">
        <v>693</v>
      </c>
      <c r="H88" s="61" t="s">
        <v>694</v>
      </c>
      <c r="I88" s="48">
        <v>9900.0</v>
      </c>
      <c r="J88" s="48"/>
      <c r="K88" s="48">
        <f t="shared" si="7"/>
        <v>23636</v>
      </c>
      <c r="L88" s="77" t="s">
        <v>45</v>
      </c>
      <c r="M88" s="77" t="s">
        <v>55</v>
      </c>
      <c r="N88" s="64"/>
      <c r="O88" s="77" t="s">
        <v>60</v>
      </c>
      <c r="P88" s="30" t="s">
        <v>57</v>
      </c>
      <c r="Q88" s="64" t="s">
        <v>58</v>
      </c>
      <c r="R88" s="30"/>
      <c r="S88" s="30"/>
      <c r="T88" s="30"/>
      <c r="U88" s="30" t="s">
        <v>156</v>
      </c>
      <c r="V88" s="30"/>
      <c r="W88" s="51" t="str">
        <f>IFERROR(__xludf.DUMMYFUNCTION(" LET ( ref , IF ( ISBLANK ( H88 ) , ""N/A"" , H88 ) , vendor , IF ( ISNUMBER ( SEARCH ( ""/"" , G88 ) ) , TRIM ( LEFT ( SUBSTITUTE ( MID ( G88 , SEARCH ( ""/"" , G88 ) + 1 , 100 ) , ""/"" , REPT ( "" "" , 100 ) ) , 100 ) ) , ""Vendor"" ) , apt , IF ( ISBL"&amp;"ANK ( S88 ) , """" , "" | Apt: "" &amp; S88 ) , IF ( ISBLANK ( U88 ) , ""Remarks Compulsory For Narration"" , TRIM ( IF ( M88 = ""Internal"" , IF ( LEN ( G88 ) - LEN ( SUBSTITUTE ( G88 , ""-"" , """" ) ) &gt;= 3 , IF ( N ( J88 ) &gt; 0 , ""Internal Fund Transfer (F"&amp;"rom x"" &amp; RIGHT ( MID ( G88 , FIND ( ""-"" , SUBSTITUTE ( G88 , ""-"" , ""-"" , 3 ) ) + 1 , LEN ( G88 ) ) , 4 ) &amp; "" to YES IDW 0490)"" , ""Internal Fund Transfer (From YES IDW 0490 to x"" &amp; RIGHT ( MID ( G88 , FIND ( ""-"" , SUBSTITUTE ( G88 , ""-"" , """&amp;"-"" , 3 ) ) + 1 , LEN ( G88 ) ) , 4 ) &amp; "")"" ) &amp; "" | Ref: "" &amp; ref &amp; "" | Type: "" &amp; P88 &amp; "" | BU: "" &amp; L88 &amp; "" | Head: "" &amp; M88 , ""Internal Transfer | Ref: "" &amp; ref &amp; "" | Type: "" &amp; P88 &amp; "" | BU: "" &amp; L88 &amp; "" | Head: "" &amp; M88 ) , IF ( N ( J88 ) &gt;"&amp;" 0 , IF ( P88 = ""Customer Collection"" , ""Receipt Credit (Collection) "" &amp; apt &amp; "" | Ref: "" &amp; ref &amp; "" | From: "" &amp; IF ( ISNUMBER ( SEARCH ( ""SOHNA ROAD"" , G88 ) ) , ""Sohna Road"" , ""Party"" ) &amp; "" | BU: "" &amp; L88 , ""Receipt Credit from x"" &amp; RIGH"&amp;"T ( MID ( G88 , FIND ( ""-"" , SUBSTITUTE ( G88 , ""-"" , ""-"" , 3 ) ) + 1 , LEN ( G88 ) ) , 4 ) &amp; "" (Purpose: "" &amp; IF ( OR ( ISBLANK ( U88 ) , U88 = ""N/A"" ) , L88 , U88 ) &amp; "") "" &amp; apt &amp; "" | Ref: "" &amp; ref &amp; "" | BU: "" &amp; L88 &amp; "" | Head: "" &amp; M88 )"&amp;" , ""Payment Disbursement (Purpose: "" &amp; IF ( ISNUMBER ( SEARCH ( ""salary"" , M88 ) ) , ""Salary"" , U88 ) &amp; "") | To: "" &amp; IF ( ISNUMBER ( SEARCH ( ""/"" , G88 ) ) , IF ( ISNUMBER ( SEARCH ( ""FINO PAYMENTS"" , G88 ) ) , MID ( G88 , FIND ( ""/"" , G88 ,"&amp;" SEARCH ( ""FINO PAYMENTS"" , G88 ) ) + 1 , FIND ( ""/"" , G88 , FIND ( ""/"" , G88 , SEARCH ( ""FINO PAYMENTS"" , G88 ) ) + 1 ) - FIND ( ""/"" , G88 , SEARCH ( ""FINO PAYMENTS"" , G88 ) ) - 1 ) , IFERROR ( REGEXEXTRACT ( G88 , ""^(?:[^/]*/){6}([^/]+)"" )"&amp;" , TRIM ( RIGHT ( SUBSTITUTE ( G88 , ""/"" , REPT ( "" "" , LEN ( G88 ) ) ) , LEN ( G88 ) ) ) ) ) , IFERROR ( MID ( G88 , FIND ( ""-"" , G88 , FIND ( ""-"" , G88 , FIND ( ""-"" , G88 ) + 1 ) + 1 ) + 1 , FIND ( ""-"" , G88 , FIND ( ""-"" , G88 , FIND ( ""-"&amp;""" , G88 , FIND ( ""-"" , G88 ) + 1 ) + 1 ) + 1 ) - FIND ( ""-"" , G88 , FIND ( ""-"" , G88 , FIND ( ""-"" , G88 ) + 1 ) + 1 ) - 1 ) , ""Vendor"" ) ) &amp; "" | Ref: "" &amp; ref &amp; "" | BU: "" &amp; L88 &amp; "" | Head: "" &amp; M88 &amp; apt ) ) ) ) )"),"Payment Disbursement (Purpose: Construction Expenses) | To: MKA Decorator | Ref: YESME6208002753400 | BU: Casa Romana | Head: Contractor")</f>
        <v>Payment Disbursement (Purpose: Construction Expenses) | To: MKA Decorator | Ref: YESME6208002753400 | BU: Casa Romana | Head: Contractor</v>
      </c>
      <c r="X88" s="2"/>
      <c r="Y88" s="2"/>
      <c r="Z88" s="2"/>
      <c r="AA88" s="2"/>
      <c r="AB88" s="2"/>
      <c r="AC88" s="2"/>
      <c r="AD88" s="2"/>
      <c r="AE88" s="2"/>
    </row>
    <row r="89" ht="15.75" customHeight="1">
      <c r="A89" s="45">
        <v>345.0</v>
      </c>
      <c r="B89" s="45" t="str">
        <f t="shared" si="14"/>
        <v>#NAME?</v>
      </c>
      <c r="C89" s="45">
        <f t="shared" si="15"/>
        <v>7</v>
      </c>
      <c r="D89" s="75">
        <v>46230.0</v>
      </c>
      <c r="E89" s="75">
        <v>46230.0</v>
      </c>
      <c r="F89" s="45"/>
      <c r="G89" s="45" t="s">
        <v>699</v>
      </c>
      <c r="H89" s="61" t="s">
        <v>700</v>
      </c>
      <c r="I89" s="48">
        <v>9900.0</v>
      </c>
      <c r="J89" s="48"/>
      <c r="K89" s="48">
        <f t="shared" si="7"/>
        <v>33536</v>
      </c>
      <c r="L89" s="77" t="s">
        <v>45</v>
      </c>
      <c r="M89" s="77" t="s">
        <v>55</v>
      </c>
      <c r="N89" s="64"/>
      <c r="O89" s="77" t="s">
        <v>60</v>
      </c>
      <c r="P89" s="30" t="s">
        <v>57</v>
      </c>
      <c r="Q89" s="64" t="s">
        <v>58</v>
      </c>
      <c r="R89" s="30"/>
      <c r="S89" s="30"/>
      <c r="T89" s="30"/>
      <c r="U89" s="30" t="s">
        <v>156</v>
      </c>
      <c r="V89" s="30"/>
      <c r="W89" s="51" t="str">
        <f>IFERROR(__xludf.DUMMYFUNCTION(" LET ( ref , IF ( ISBLANK ( H89 ) , ""N/A"" , H89 ) , vendor , IF ( ISNUMBER ( SEARCH ( ""/"" , G89 ) ) , TRIM ( LEFT ( SUBSTITUTE ( MID ( G89 , SEARCH ( ""/"" , G89 ) + 1 , 100 ) , ""/"" , REPT ( "" "" , 100 ) ) , 100 ) ) , ""Vendor"" ) , apt , IF ( ISBL"&amp;"ANK ( S89 ) , """" , "" | Apt: "" &amp; S89 ) , IF ( ISBLANK ( U89 ) , ""Remarks Compulsory For Narration"" , TRIM ( IF ( M89 = ""Internal"" , IF ( LEN ( G89 ) - LEN ( SUBSTITUTE ( G89 , ""-"" , """" ) ) &gt;= 3 , IF ( N ( J89 ) &gt; 0 , ""Internal Fund Transfer (F"&amp;"rom x"" &amp; RIGHT ( MID ( G89 , FIND ( ""-"" , SUBSTITUTE ( G89 , ""-"" , ""-"" , 3 ) ) + 1 , LEN ( G89 ) ) , 4 ) &amp; "" to YES IDW 0490)"" , ""Internal Fund Transfer (From YES IDW 0490 to x"" &amp; RIGHT ( MID ( G89 , FIND ( ""-"" , SUBSTITUTE ( G89 , ""-"" , """&amp;"-"" , 3 ) ) + 1 , LEN ( G89 ) ) , 4 ) &amp; "")"" ) &amp; "" | Ref: "" &amp; ref &amp; "" | Type: "" &amp; P89 &amp; "" | BU: "" &amp; L89 &amp; "" | Head: "" &amp; M89 , ""Internal Transfer | Ref: "" &amp; ref &amp; "" | Type: "" &amp; P89 &amp; "" | BU: "" &amp; L89 &amp; "" | Head: "" &amp; M89 ) , IF ( N ( J89 ) &gt;"&amp;" 0 , IF ( P89 = ""Customer Collection"" , ""Receipt Credit (Collection) "" &amp; apt &amp; "" | Ref: "" &amp; ref &amp; "" | From: "" &amp; IF ( ISNUMBER ( SEARCH ( ""SOHNA ROAD"" , G89 ) ) , ""Sohna Road"" , ""Party"" ) &amp; "" | BU: "" &amp; L89 , ""Receipt Credit from x"" &amp; RIGH"&amp;"T ( MID ( G89 , FIND ( ""-"" , SUBSTITUTE ( G89 , ""-"" , ""-"" , 3 ) ) + 1 , LEN ( G89 ) ) , 4 ) &amp; "" (Purpose: "" &amp; IF ( OR ( ISBLANK ( U89 ) , U89 = ""N/A"" ) , L89 , U89 ) &amp; "") "" &amp; apt &amp; "" | Ref: "" &amp; ref &amp; "" | BU: "" &amp; L89 &amp; "" | Head: "" &amp; M89 )"&amp;" , ""Payment Disbursement (Purpose: "" &amp; IF ( ISNUMBER ( SEARCH ( ""salary"" , M89 ) ) , ""Salary"" , U89 ) &amp; "") | To: "" &amp; IF ( ISNUMBER ( SEARCH ( ""/"" , G89 ) ) , IF ( ISNUMBER ( SEARCH ( ""FINO PAYMENTS"" , G89 ) ) , MID ( G89 , FIND ( ""/"" , G89 ,"&amp;" SEARCH ( ""FINO PAYMENTS"" , G89 ) ) + 1 , FIND ( ""/"" , G89 , FIND ( ""/"" , G89 , SEARCH ( ""FINO PAYMENTS"" , G89 ) ) + 1 ) - FIND ( ""/"" , G89 , SEARCH ( ""FINO PAYMENTS"" , G89 ) ) - 1 ) , IFERROR ( REGEXEXTRACT ( G89 , ""^(?:[^/]*/){6}([^/]+)"" )"&amp;" , TRIM ( RIGHT ( SUBSTITUTE ( G89 , ""/"" , REPT ( "" "" , LEN ( G89 ) ) ) , LEN ( G89 ) ) ) ) ) , IFERROR ( MID ( G89 , FIND ( ""-"" , G89 , FIND ( ""-"" , G89 , FIND ( ""-"" , G89 ) + 1 ) + 1 ) + 1 , FIND ( ""-"" , G89 , FIND ( ""-"" , G89 , FIND ( ""-"&amp;""" , G89 , FIND ( ""-"" , G89 ) + 1 ) + 1 ) + 1 ) - FIND ( ""-"" , G89 , FIND ( ""-"" , G89 , FIND ( ""-"" , G89 ) + 1 ) + 1 ) - 1 ) , ""Vendor"" ) ) &amp; "" | Ref: "" &amp; ref &amp; "" | BU: "" &amp; L89 &amp; "" | Head: "" &amp; M89 &amp; apt ) ) ) ) )"),"Payment Disbursement (Purpose: Construction Expenses) | To: Rakiba BIBI | Ref: YESME6208002598800 | BU: Casa Romana | Head: Contractor")</f>
        <v>Payment Disbursement (Purpose: Construction Expenses) | To: Rakiba BIBI | Ref: YESME6208002598800 | BU: Casa Romana | Head: Contractor</v>
      </c>
      <c r="X89" s="2"/>
      <c r="Y89" s="2"/>
      <c r="Z89" s="2"/>
      <c r="AA89" s="2"/>
      <c r="AB89" s="2"/>
      <c r="AC89" s="2"/>
      <c r="AD89" s="2"/>
      <c r="AE89" s="2"/>
    </row>
    <row r="90" ht="15.75" customHeight="1">
      <c r="A90" s="45">
        <v>344.0</v>
      </c>
      <c r="B90" s="45" t="str">
        <f t="shared" si="14"/>
        <v>#NAME?</v>
      </c>
      <c r="C90" s="45">
        <f t="shared" si="15"/>
        <v>7</v>
      </c>
      <c r="D90" s="75">
        <v>46230.0</v>
      </c>
      <c r="E90" s="75">
        <v>46230.0</v>
      </c>
      <c r="F90" s="45"/>
      <c r="G90" s="45" t="s">
        <v>703</v>
      </c>
      <c r="H90" s="61" t="s">
        <v>704</v>
      </c>
      <c r="I90" s="48">
        <v>29700.0</v>
      </c>
      <c r="J90" s="48"/>
      <c r="K90" s="48">
        <f t="shared" si="7"/>
        <v>43436</v>
      </c>
      <c r="L90" s="77" t="s">
        <v>45</v>
      </c>
      <c r="M90" s="77" t="s">
        <v>55</v>
      </c>
      <c r="N90" s="64"/>
      <c r="O90" s="77" t="s">
        <v>60</v>
      </c>
      <c r="P90" s="30" t="s">
        <v>57</v>
      </c>
      <c r="Q90" s="64" t="s">
        <v>58</v>
      </c>
      <c r="R90" s="30"/>
      <c r="S90" s="30"/>
      <c r="T90" s="30"/>
      <c r="U90" s="30" t="s">
        <v>156</v>
      </c>
      <c r="V90" s="30"/>
      <c r="W90" s="51" t="str">
        <f>IFERROR(__xludf.DUMMYFUNCTION(" LET ( ref , IF ( ISBLANK ( H90 ) , ""N/A"" , H90 ) , vendor , IF ( ISNUMBER ( SEARCH ( ""/"" , G90 ) ) , TRIM ( LEFT ( SUBSTITUTE ( MID ( G90 , SEARCH ( ""/"" , G90 ) + 1 , 100 ) , ""/"" , REPT ( "" "" , 100 ) ) , 100 ) ) , ""Vendor"" ) , apt , IF ( ISBL"&amp;"ANK ( S90 ) , """" , "" | Apt: "" &amp; S90 ) , IF ( ISBLANK ( U90 ) , ""Remarks Compulsory For Narration"" , TRIM ( IF ( M90 = ""Internal"" , IF ( LEN ( G90 ) - LEN ( SUBSTITUTE ( G90 , ""-"" , """" ) ) &gt;= 3 , IF ( N ( J90 ) &gt; 0 , ""Internal Fund Transfer (F"&amp;"rom x"" &amp; RIGHT ( MID ( G90 , FIND ( ""-"" , SUBSTITUTE ( G90 , ""-"" , ""-"" , 3 ) ) + 1 , LEN ( G90 ) ) , 4 ) &amp; "" to YES IDW 0490)"" , ""Internal Fund Transfer (From YES IDW 0490 to x"" &amp; RIGHT ( MID ( G90 , FIND ( ""-"" , SUBSTITUTE ( G90 , ""-"" , """&amp;"-"" , 3 ) ) + 1 , LEN ( G90 ) ) , 4 ) &amp; "")"" ) &amp; "" | Ref: "" &amp; ref &amp; "" | Type: "" &amp; P90 &amp; "" | BU: "" &amp; L90 &amp; "" | Head: "" &amp; M90 , ""Internal Transfer | Ref: "" &amp; ref &amp; "" | Type: "" &amp; P90 &amp; "" | BU: "" &amp; L90 &amp; "" | Head: "" &amp; M90 ) , IF ( N ( J90 ) &gt;"&amp;" 0 , IF ( P90 = ""Customer Collection"" , ""Receipt Credit (Collection) "" &amp; apt &amp; "" | Ref: "" &amp; ref &amp; "" | From: "" &amp; IF ( ISNUMBER ( SEARCH ( ""SOHNA ROAD"" , G90 ) ) , ""Sohna Road"" , ""Party"" ) &amp; "" | BU: "" &amp; L90 , ""Receipt Credit from x"" &amp; RIGH"&amp;"T ( MID ( G90 , FIND ( ""-"" , SUBSTITUTE ( G90 , ""-"" , ""-"" , 3 ) ) + 1 , LEN ( G90 ) ) , 4 ) &amp; "" (Purpose: "" &amp; IF ( OR ( ISBLANK ( U90 ) , U90 = ""N/A"" ) , L90 , U90 ) &amp; "") "" &amp; apt &amp; "" | Ref: "" &amp; ref &amp; "" | BU: "" &amp; L90 &amp; "" | Head: "" &amp; M90 )"&amp;" , ""Payment Disbursement (Purpose: "" &amp; IF ( ISNUMBER ( SEARCH ( ""salary"" , M90 ) ) , ""Salary"" , U90 ) &amp; "") | To: "" &amp; IF ( ISNUMBER ( SEARCH ( ""/"" , G90 ) ) , IF ( ISNUMBER ( SEARCH ( ""FINO PAYMENTS"" , G90 ) ) , MID ( G90 , FIND ( ""/"" , G90 ,"&amp;" SEARCH ( ""FINO PAYMENTS"" , G90 ) ) + 1 , FIND ( ""/"" , G90 , FIND ( ""/"" , G90 , SEARCH ( ""FINO PAYMENTS"" , G90 ) ) + 1 ) - FIND ( ""/"" , G90 , SEARCH ( ""FINO PAYMENTS"" , G90 ) ) - 1 ) , IFERROR ( REGEXEXTRACT ( G90 , ""^(?:[^/]*/){6}([^/]+)"" )"&amp;" , TRIM ( RIGHT ( SUBSTITUTE ( G90 , ""/"" , REPT ( "" "" , LEN ( G90 ) ) ) , LEN ( G90 ) ) ) ) ) , IFERROR ( MID ( G90 , FIND ( ""-"" , G90 , FIND ( ""-"" , G90 , FIND ( ""-"" , G90 ) + 1 ) + 1 ) + 1 , FIND ( ""-"" , G90 , FIND ( ""-"" , G90 , FIND ( ""-"&amp;""" , G90 , FIND ( ""-"" , G90 ) + 1 ) + 1 ) + 1 ) - FIND ( ""-"" , G90 , FIND ( ""-"" , G90 , FIND ( ""-"" , G90 ) + 1 ) + 1 ) - 1 ) , ""Vendor"" ) ) &amp; "" | Ref: "" &amp; ref &amp; "" | BU: "" &amp; L90 &amp; "" | Head: "" &amp; M90 &amp; apt ) ) ) ) )"),"Payment Disbursement (Purpose: Construction Expenses) | To: Manmati Yadav | Ref: YESME6208002598900 | BU: Casa Romana | Head: Contractor")</f>
        <v>Payment Disbursement (Purpose: Construction Expenses) | To: Manmati Yadav | Ref: YESME6208002598900 | BU: Casa Romana | Head: Contractor</v>
      </c>
      <c r="X90" s="2"/>
      <c r="Y90" s="2"/>
      <c r="Z90" s="2"/>
      <c r="AA90" s="2"/>
      <c r="AB90" s="2"/>
      <c r="AC90" s="2"/>
      <c r="AD90" s="2"/>
      <c r="AE90" s="2"/>
    </row>
    <row r="91" ht="15.75" customHeight="1">
      <c r="A91" s="45">
        <v>343.0</v>
      </c>
      <c r="B91" s="45" t="str">
        <f t="shared" si="14"/>
        <v>#NAME?</v>
      </c>
      <c r="C91" s="45">
        <f t="shared" si="15"/>
        <v>7</v>
      </c>
      <c r="D91" s="75">
        <v>46230.0</v>
      </c>
      <c r="E91" s="75">
        <v>46230.0</v>
      </c>
      <c r="F91" s="45"/>
      <c r="G91" s="45" t="s">
        <v>708</v>
      </c>
      <c r="H91" s="61" t="s">
        <v>709</v>
      </c>
      <c r="I91" s="48">
        <v>9900.0</v>
      </c>
      <c r="J91" s="48"/>
      <c r="K91" s="48">
        <f t="shared" si="7"/>
        <v>73136</v>
      </c>
      <c r="L91" s="77" t="s">
        <v>45</v>
      </c>
      <c r="M91" s="77" t="s">
        <v>55</v>
      </c>
      <c r="N91" s="64"/>
      <c r="O91" s="77" t="s">
        <v>60</v>
      </c>
      <c r="P91" s="30" t="s">
        <v>57</v>
      </c>
      <c r="Q91" s="64" t="s">
        <v>58</v>
      </c>
      <c r="R91" s="30"/>
      <c r="S91" s="30"/>
      <c r="T91" s="30"/>
      <c r="U91" s="30" t="s">
        <v>156</v>
      </c>
      <c r="V91" s="30"/>
      <c r="W91" s="51" t="str">
        <f>IFERROR(__xludf.DUMMYFUNCTION(" LET ( ref , IF ( ISBLANK ( H91 ) , ""N/A"" , H91 ) , vendor , IF ( ISNUMBER ( SEARCH ( ""/"" , G91 ) ) , TRIM ( LEFT ( SUBSTITUTE ( MID ( G91 , SEARCH ( ""/"" , G91 ) + 1 , 100 ) , ""/"" , REPT ( "" "" , 100 ) ) , 100 ) ) , ""Vendor"" ) , apt , IF ( ISBL"&amp;"ANK ( S91 ) , """" , "" | Apt: "" &amp; S91 ) , IF ( ISBLANK ( U91 ) , ""Remarks Compulsory For Narration"" , TRIM ( IF ( M91 = ""Internal"" , IF ( LEN ( G91 ) - LEN ( SUBSTITUTE ( G91 , ""-"" , """" ) ) &gt;= 3 , IF ( N ( J91 ) &gt; 0 , ""Internal Fund Transfer (F"&amp;"rom x"" &amp; RIGHT ( MID ( G91 , FIND ( ""-"" , SUBSTITUTE ( G91 , ""-"" , ""-"" , 3 ) ) + 1 , LEN ( G91 ) ) , 4 ) &amp; "" to YES IDW 0490)"" , ""Internal Fund Transfer (From YES IDW 0490 to x"" &amp; RIGHT ( MID ( G91 , FIND ( ""-"" , SUBSTITUTE ( G91 , ""-"" , """&amp;"-"" , 3 ) ) + 1 , LEN ( G91 ) ) , 4 ) &amp; "")"" ) &amp; "" | Ref: "" &amp; ref &amp; "" | Type: "" &amp; P91 &amp; "" | BU: "" &amp; L91 &amp; "" | Head: "" &amp; M91 , ""Internal Transfer | Ref: "" &amp; ref &amp; "" | Type: "" &amp; P91 &amp; "" | BU: "" &amp; L91 &amp; "" | Head: "" &amp; M91 ) , IF ( N ( J91 ) &gt;"&amp;" 0 , IF ( P91 = ""Customer Collection"" , ""Receipt Credit (Collection) "" &amp; apt &amp; "" | Ref: "" &amp; ref &amp; "" | From: "" &amp; IF ( ISNUMBER ( SEARCH ( ""SOHNA ROAD"" , G91 ) ) , ""Sohna Road"" , ""Party"" ) &amp; "" | BU: "" &amp; L91 , ""Receipt Credit from x"" &amp; RIGH"&amp;"T ( MID ( G91 , FIND ( ""-"" , SUBSTITUTE ( G91 , ""-"" , ""-"" , 3 ) ) + 1 , LEN ( G91 ) ) , 4 ) &amp; "" (Purpose: "" &amp; IF ( OR ( ISBLANK ( U91 ) , U91 = ""N/A"" ) , L91 , U91 ) &amp; "") "" &amp; apt &amp; "" | Ref: "" &amp; ref &amp; "" | BU: "" &amp; L91 &amp; "" | Head: "" &amp; M91 )"&amp;" , ""Payment Disbursement (Purpose: "" &amp; IF ( ISNUMBER ( SEARCH ( ""salary"" , M91 ) ) , ""Salary"" , U91 ) &amp; "") | To: "" &amp; IF ( ISNUMBER ( SEARCH ( ""/"" , G91 ) ) , IF ( ISNUMBER ( SEARCH ( ""FINO PAYMENTS"" , G91 ) ) , MID ( G91 , FIND ( ""/"" , G91 ,"&amp;" SEARCH ( ""FINO PAYMENTS"" , G91 ) ) + 1 , FIND ( ""/"" , G91 , FIND ( ""/"" , G91 , SEARCH ( ""FINO PAYMENTS"" , G91 ) ) + 1 ) - FIND ( ""/"" , G91 , SEARCH ( ""FINO PAYMENTS"" , G91 ) ) - 1 ) , IFERROR ( REGEXEXTRACT ( G91 , ""^(?:[^/]*/){6}([^/]+)"" )"&amp;" , TRIM ( RIGHT ( SUBSTITUTE ( G91 , ""/"" , REPT ( "" "" , LEN ( G91 ) ) ) , LEN ( G91 ) ) ) ) ) , IFERROR ( MID ( G91 , FIND ( ""-"" , G91 , FIND ( ""-"" , G91 , FIND ( ""-"" , G91 ) + 1 ) + 1 ) + 1 , FIND ( ""-"" , G91 , FIND ( ""-"" , G91 , FIND ( ""-"&amp;""" , G91 , FIND ( ""-"" , G91 ) + 1 ) + 1 ) + 1 ) - FIND ( ""-"" , G91 , FIND ( ""-"" , G91 , FIND ( ""-"" , G91 ) + 1 ) + 1 ) - 1 ) , ""Vendor"" ) ) &amp; "" | Ref: "" &amp; ref &amp; "" | BU: "" &amp; L91 &amp; "" | Head: "" &amp; M91 &amp; apt ) ) ) ) )"),"Payment Disbursement (Purpose: Construction Expenses) | To: Nasim | Ref: YESME6208002598700 | BU: Casa Romana | Head: Contractor")</f>
        <v>Payment Disbursement (Purpose: Construction Expenses) | To: Nasim | Ref: YESME6208002598700 | BU: Casa Romana | Head: Contractor</v>
      </c>
      <c r="X91" s="2"/>
      <c r="Y91" s="2"/>
      <c r="Z91" s="2"/>
      <c r="AA91" s="2"/>
      <c r="AB91" s="2"/>
      <c r="AC91" s="2"/>
      <c r="AD91" s="2"/>
      <c r="AE91" s="2"/>
    </row>
    <row r="92" ht="15.75" customHeight="1">
      <c r="A92" s="45">
        <v>342.0</v>
      </c>
      <c r="B92" s="45" t="str">
        <f t="shared" si="14"/>
        <v>#NAME?</v>
      </c>
      <c r="C92" s="45">
        <f t="shared" si="15"/>
        <v>7</v>
      </c>
      <c r="D92" s="75">
        <v>46230.0</v>
      </c>
      <c r="E92" s="75">
        <v>46230.0</v>
      </c>
      <c r="F92" s="45"/>
      <c r="G92" s="45" t="s">
        <v>711</v>
      </c>
      <c r="H92" s="61" t="s">
        <v>712</v>
      </c>
      <c r="I92" s="48">
        <v>2970.0</v>
      </c>
      <c r="J92" s="48"/>
      <c r="K92" s="48">
        <f t="shared" si="7"/>
        <v>83036</v>
      </c>
      <c r="L92" s="77" t="s">
        <v>45</v>
      </c>
      <c r="M92" s="77" t="s">
        <v>55</v>
      </c>
      <c r="N92" s="64"/>
      <c r="O92" s="77" t="s">
        <v>60</v>
      </c>
      <c r="P92" s="30" t="s">
        <v>57</v>
      </c>
      <c r="Q92" s="64" t="s">
        <v>58</v>
      </c>
      <c r="R92" s="30"/>
      <c r="S92" s="30"/>
      <c r="T92" s="30"/>
      <c r="U92" s="30" t="s">
        <v>156</v>
      </c>
      <c r="V92" s="30"/>
      <c r="W92" s="51" t="str">
        <f>IFERROR(__xludf.DUMMYFUNCTION(" LET ( ref , IF ( ISBLANK ( H92 ) , ""N/A"" , H92 ) , vendor , IF ( ISNUMBER ( SEARCH ( ""/"" , G92 ) ) , TRIM ( LEFT ( SUBSTITUTE ( MID ( G92 , SEARCH ( ""/"" , G92 ) + 1 , 100 ) , ""/"" , REPT ( "" "" , 100 ) ) , 100 ) ) , ""Vendor"" ) , apt , IF ( ISBL"&amp;"ANK ( S92 ) , """" , "" | Apt: "" &amp; S92 ) , IF ( ISBLANK ( U92 ) , ""Remarks Compulsory For Narration"" , TRIM ( IF ( M92 = ""Internal"" , IF ( LEN ( G92 ) - LEN ( SUBSTITUTE ( G92 , ""-"" , """" ) ) &gt;= 3 , IF ( N ( J92 ) &gt; 0 , ""Internal Fund Transfer (F"&amp;"rom x"" &amp; RIGHT ( MID ( G92 , FIND ( ""-"" , SUBSTITUTE ( G92 , ""-"" , ""-"" , 3 ) ) + 1 , LEN ( G92 ) ) , 4 ) &amp; "" to YES IDW 0490)"" , ""Internal Fund Transfer (From YES IDW 0490 to x"" &amp; RIGHT ( MID ( G92 , FIND ( ""-"" , SUBSTITUTE ( G92 , ""-"" , """&amp;"-"" , 3 ) ) + 1 , LEN ( G92 ) ) , 4 ) &amp; "")"" ) &amp; "" | Ref: "" &amp; ref &amp; "" | Type: "" &amp; P92 &amp; "" | BU: "" &amp; L92 &amp; "" | Head: "" &amp; M92 , ""Internal Transfer | Ref: "" &amp; ref &amp; "" | Type: "" &amp; P92 &amp; "" | BU: "" &amp; L92 &amp; "" | Head: "" &amp; M92 ) , IF ( N ( J92 ) &gt;"&amp;" 0 , IF ( P92 = ""Customer Collection"" , ""Receipt Credit (Collection) "" &amp; apt &amp; "" | Ref: "" &amp; ref &amp; "" | From: "" &amp; IF ( ISNUMBER ( SEARCH ( ""SOHNA ROAD"" , G92 ) ) , ""Sohna Road"" , ""Party"" ) &amp; "" | BU: "" &amp; L92 , ""Receipt Credit from x"" &amp; RIGH"&amp;"T ( MID ( G92 , FIND ( ""-"" , SUBSTITUTE ( G92 , ""-"" , ""-"" , 3 ) ) + 1 , LEN ( G92 ) ) , 4 ) &amp; "" (Purpose: "" &amp; IF ( OR ( ISBLANK ( U92 ) , U92 = ""N/A"" ) , L92 , U92 ) &amp; "") "" &amp; apt &amp; "" | Ref: "" &amp; ref &amp; "" | BU: "" &amp; L92 &amp; "" | Head: "" &amp; M92 )"&amp;" , ""Payment Disbursement (Purpose: "" &amp; IF ( ISNUMBER ( SEARCH ( ""salary"" , M92 ) ) , ""Salary"" , U92 ) &amp; "") | To: "" &amp; IF ( ISNUMBER ( SEARCH ( ""/"" , G92 ) ) , IF ( ISNUMBER ( SEARCH ( ""FINO PAYMENTS"" , G92 ) ) , MID ( G92 , FIND ( ""/"" , G92 ,"&amp;" SEARCH ( ""FINO PAYMENTS"" , G92 ) ) + 1 , FIND ( ""/"" , G92 , FIND ( ""/"" , G92 , SEARCH ( ""FINO PAYMENTS"" , G92 ) ) + 1 ) - FIND ( ""/"" , G92 , SEARCH ( ""FINO PAYMENTS"" , G92 ) ) - 1 ) , IFERROR ( REGEXEXTRACT ( G92 , ""^(?:[^/]*/){6}([^/]+)"" )"&amp;" , TRIM ( RIGHT ( SUBSTITUTE ( G92 , ""/"" , REPT ( "" "" , LEN ( G92 ) ) ) , LEN ( G92 ) ) ) ) ) , IFERROR ( MID ( G92 , FIND ( ""-"" , G92 , FIND ( ""-"" , G92 , FIND ( ""-"" , G92 ) + 1 ) + 1 ) + 1 , FIND ( ""-"" , G92 , FIND ( ""-"" , G92 , FIND ( ""-"&amp;""" , G92 , FIND ( ""-"" , G92 ) + 1 ) + 1 ) + 1 ) - FIND ( ""-"" , G92 , FIND ( ""-"" , G92 , FIND ( ""-"" , G92 ) + 1 ) + 1 ) - 1 ) , ""Vendor"" ) ) &amp; "" | Ref: "" &amp; ref &amp; "" | BU: "" &amp; L92 &amp; "" | Head: "" &amp; M92 &amp; apt ) ) ) ) )"),"Payment Disbursement (Purpose: Construction Expenses) | To: Mohammad Khalil | Ref: YESME6208002753200 | BU: Casa Romana | Head: Contractor")</f>
        <v>Payment Disbursement (Purpose: Construction Expenses) | To: Mohammad Khalil | Ref: YESME6208002753200 | BU: Casa Romana | Head: Contractor</v>
      </c>
      <c r="X92" s="2"/>
      <c r="Y92" s="2"/>
      <c r="Z92" s="2"/>
      <c r="AA92" s="2"/>
      <c r="AB92" s="2"/>
      <c r="AC92" s="2"/>
      <c r="AD92" s="2"/>
      <c r="AE92" s="2"/>
    </row>
    <row r="93" ht="15.75" customHeight="1">
      <c r="A93" s="45">
        <v>341.0</v>
      </c>
      <c r="B93" s="45" t="str">
        <f t="shared" si="14"/>
        <v>#NAME?</v>
      </c>
      <c r="C93" s="45">
        <f t="shared" si="15"/>
        <v>7</v>
      </c>
      <c r="D93" s="75">
        <v>46227.0</v>
      </c>
      <c r="E93" s="75">
        <v>46227.0</v>
      </c>
      <c r="F93" s="45"/>
      <c r="G93" s="45" t="s">
        <v>720</v>
      </c>
      <c r="H93" s="61" t="s">
        <v>721</v>
      </c>
      <c r="I93" s="48">
        <v>7080.0</v>
      </c>
      <c r="J93" s="48"/>
      <c r="K93" s="48">
        <f t="shared" si="7"/>
        <v>86006</v>
      </c>
      <c r="L93" s="77" t="s">
        <v>45</v>
      </c>
      <c r="M93" s="77" t="s">
        <v>67</v>
      </c>
      <c r="N93" s="64"/>
      <c r="O93" s="77" t="s">
        <v>60</v>
      </c>
      <c r="P93" s="30" t="s">
        <v>57</v>
      </c>
      <c r="Q93" s="64" t="s">
        <v>58</v>
      </c>
      <c r="R93" s="30"/>
      <c r="S93" s="30"/>
      <c r="T93" s="30"/>
      <c r="U93" s="30" t="s">
        <v>499</v>
      </c>
      <c r="V93" s="30"/>
      <c r="W93" s="51" t="str">
        <f>IFERROR(__xludf.DUMMYFUNCTION(" LET ( ref , IF ( ISBLANK ( H93 ) , ""N/A"" , H93 ) , vendor , IF ( ISNUMBER ( SEARCH ( ""/"" , G93 ) ) , TRIM ( LEFT ( SUBSTITUTE ( MID ( G93 , SEARCH ( ""/"" , G93 ) + 1 , 100 ) , ""/"" , REPT ( "" "" , 100 ) ) , 100 ) ) , ""Vendor"" ) , apt , IF ( ISBL"&amp;"ANK ( S93 ) , """" , "" | Apt: "" &amp; S93 ) , IF ( ISBLANK ( U93 ) , ""Remarks Compulsory For Narration"" , TRIM ( IF ( M93 = ""Internal"" , IF ( LEN ( G93 ) - LEN ( SUBSTITUTE ( G93 , ""-"" , """" ) ) &gt;= 3 , IF ( N ( J93 ) &gt; 0 , ""Internal Fund Transfer (F"&amp;"rom x"" &amp; RIGHT ( MID ( G93 , FIND ( ""-"" , SUBSTITUTE ( G93 , ""-"" , ""-"" , 3 ) ) + 1 , LEN ( G93 ) ) , 4 ) &amp; "" to YES IDW 0490)"" , ""Internal Fund Transfer (From YES IDW 0490 to x"" &amp; RIGHT ( MID ( G93 , FIND ( ""-"" , SUBSTITUTE ( G93 , ""-"" , """&amp;"-"" , 3 ) ) + 1 , LEN ( G93 ) ) , 4 ) &amp; "")"" ) &amp; "" | Ref: "" &amp; ref &amp; "" | Type: "" &amp; P93 &amp; "" | BU: "" &amp; L93 &amp; "" | Head: "" &amp; M93 , ""Internal Transfer | Ref: "" &amp; ref &amp; "" | Type: "" &amp; P93 &amp; "" | BU: "" &amp; L93 &amp; "" | Head: "" &amp; M93 ) , IF ( N ( J93 ) &gt;"&amp;" 0 , IF ( P93 = ""Customer Collection"" , ""Receipt Credit (Collection) "" &amp; apt &amp; "" | Ref: "" &amp; ref &amp; "" | From: "" &amp; IF ( ISNUMBER ( SEARCH ( ""SOHNA ROAD"" , G93 ) ) , ""Sohna Road"" , ""Party"" ) &amp; "" | BU: "" &amp; L93 , ""Receipt Credit from x"" &amp; RIGH"&amp;"T ( MID ( G93 , FIND ( ""-"" , SUBSTITUTE ( G93 , ""-"" , ""-"" , 3 ) ) + 1 , LEN ( G93 ) ) , 4 ) &amp; "" (Purpose: "" &amp; IF ( OR ( ISBLANK ( U93 ) , U93 = ""N/A"" ) , L93 , U93 ) &amp; "") "" &amp; apt &amp; "" | Ref: "" &amp; ref &amp; "" | BU: "" &amp; L93 &amp; "" | Head: "" &amp; M93 )"&amp;" , ""Payment Disbursement (Purpose: "" &amp; IF ( ISNUMBER ( SEARCH ( ""salary"" , M93 ) ) , ""Salary"" , U93 ) &amp; "") | To: "" &amp; IF ( ISNUMBER ( SEARCH ( ""/"" , G93 ) ) , IF ( ISNUMBER ( SEARCH ( ""FINO PAYMENTS"" , G93 ) ) , MID ( G93 , FIND ( ""/"" , G93 ,"&amp;" SEARCH ( ""FINO PAYMENTS"" , G93 ) ) + 1 , FIND ( ""/"" , G93 , FIND ( ""/"" , G93 , SEARCH ( ""FINO PAYMENTS"" , G93 ) ) + 1 ) - FIND ( ""/"" , G93 , SEARCH ( ""FINO PAYMENTS"" , G93 ) ) - 1 ) , IFERROR ( REGEXEXTRACT ( G93 , ""^(?:[^/]*/){6}([^/]+)"" )"&amp;" , TRIM ( RIGHT ( SUBSTITUTE ( G93 , ""/"" , REPT ( "" "" , LEN ( G93 ) ) ) , LEN ( G93 ) ) ) ) ) , IFERROR ( MID ( G93 , FIND ( ""-"" , G93 , FIND ( ""-"" , G93 , FIND ( ""-"" , G93 ) + 1 ) + 1 ) + 1 , FIND ( ""-"" , G93 , FIND ( ""-"" , G93 , FIND ( ""-"&amp;""" , G93 , FIND ( ""-"" , G93 ) + 1 ) + 1 ) + 1 ) - FIND ( ""-"" , G93 , FIND ( ""-"" , G93 , FIND ( ""-"" , G93 ) + 1 ) + 1 ) - 1 ) , ""Vendor"" ) ) &amp; "" | Ref: "" &amp; ref &amp; "" | BU: "" &amp; L93 &amp; "" | Head: "" &amp; M93 &amp; apt ) ) ) ) )"),"Payment Disbursement (Purpose: Purchase of Material for Construction) | To: Pallavi Fibre Glass | Ref: YESI66205008620600 | BU: Casa Romana | Head: Vendor")</f>
        <v>Payment Disbursement (Purpose: Purchase of Material for Construction) | To: Pallavi Fibre Glass | Ref: YESI66205008620600 | BU: Casa Romana | Head: Vendor</v>
      </c>
      <c r="X93" s="2"/>
      <c r="Y93" s="2"/>
      <c r="Z93" s="2"/>
      <c r="AA93" s="2"/>
      <c r="AB93" s="2"/>
      <c r="AC93" s="2"/>
      <c r="AD93" s="2"/>
      <c r="AE93" s="2"/>
    </row>
    <row r="94" ht="15.75" customHeight="1">
      <c r="A94" s="45">
        <v>340.0</v>
      </c>
      <c r="B94" s="45" t="str">
        <f t="shared" si="14"/>
        <v>#NAME?</v>
      </c>
      <c r="C94" s="45">
        <f t="shared" si="15"/>
        <v>7</v>
      </c>
      <c r="D94" s="75">
        <v>46227.0</v>
      </c>
      <c r="E94" s="75">
        <v>46227.0</v>
      </c>
      <c r="F94" s="45"/>
      <c r="G94" s="45" t="s">
        <v>723</v>
      </c>
      <c r="H94" s="61" t="s">
        <v>724</v>
      </c>
      <c r="I94" s="48">
        <v>7434.0</v>
      </c>
      <c r="J94" s="48"/>
      <c r="K94" s="48">
        <f t="shared" si="7"/>
        <v>93086</v>
      </c>
      <c r="L94" s="77" t="s">
        <v>45</v>
      </c>
      <c r="M94" s="77" t="s">
        <v>67</v>
      </c>
      <c r="N94" s="64"/>
      <c r="O94" s="77" t="s">
        <v>60</v>
      </c>
      <c r="P94" s="30" t="s">
        <v>57</v>
      </c>
      <c r="Q94" s="64" t="s">
        <v>58</v>
      </c>
      <c r="R94" s="30"/>
      <c r="S94" s="30"/>
      <c r="T94" s="30"/>
      <c r="U94" s="30" t="s">
        <v>499</v>
      </c>
      <c r="V94" s="30"/>
      <c r="W94" s="51" t="str">
        <f t="shared" ref="W94:W188" si="16">_xludf.LET(ref, IF(ISBLANK(H94), "N/A", H94), vendor, IF(ISNUMBER(SEARCH("/", G94)), TRIM(LEFT(SUBSTITUTE(MID(G94, SEARCH("/", G94)+1, 100), "/", REPT(" ", 100)), 100)), "Vendor"), apt, IF(ISBLANK(S94), "", " | Apt: " &amp; S94), IF(ISBLANK(U94), "Remarks Compulsory For Narration", TRIM(IF(M94="Internal", IF(LEN(G94)-LEN(SUBSTITUTE(G94,"-",""))&gt;=3, IF(N(J94)&gt;0, "Internal Fund Transfer (From x" &amp; RIGHT(MID(G94, FIND("-", SUBSTITUTE(G94, "-", "-", 3)) + 1, LEN(G94)), 4) &amp; " to YES IDW 0490)", "Internal Fund Transfer (From YES IDW 0490 to x" &amp; RIGHT(MID(G94, FIND("-", SUBSTITUTE(G94, "-", "-", 3)) + 1, LEN(G94)), 4) &amp; ")") &amp; " | Ref: " &amp; ref &amp; " | Type: " &amp; P94 &amp; " | BU: " &amp; L94 &amp; " | Head: " &amp; M94, "Internal Transfer | Ref: " &amp; ref &amp; " | Type: " &amp; P94 &amp; " | BU: " &amp; L94 &amp; " | Head: " &amp; M94), IF(N(J94)&gt;0, IF(P94="Customer Collection", "Receipt Credit (Collection) " &amp; apt &amp; " | Ref: " &amp; ref &amp; " | From: " &amp; IF(ISNUMBER(SEARCH("SOHNA ROAD", G94)), "Sohna Road", "Party") &amp; " | BU: " &amp; L94, "Receipt Credit from x" &amp; RIGHT(MID(G94, FIND("-", SUBSTITUTE(G94, "-", "-", 3)) + 1, LEN(G94)), 4) &amp; " (Purpose: " &amp; IF(OR(ISBLANK(U94), U94="N/A"), L94, U94) &amp; ") " &amp; apt &amp; " | Ref: " &amp; ref &amp; " | BU: " &amp; L94 &amp; " | Head: " &amp; M94), "Payment Disbursement (Purpose: " &amp; IF(ISNUMBER(SEARCH("salary", M94)), "Salary", U94) &amp; ") | To: " &amp; IF(ISNUMBER(SEARCH("/",G94)), IF(ISNUMBER(SEARCH("FINO PAYMENTS",G94)), MID(G94, FIND("/",G94, SEARCH("FINO PAYMENTS",G94))+1, FIND("/", G94, FIND("/",G94, SEARCH("FINO PAYMENTS",G94))+1) - FIND("/",G94, SEARCH("FINO PAYMENTS",G94)) - 1), IFERROR(MID(G94, FIND("/", G94, FIND("/", G94, FIND("/", G94, FIND("/", G94)+1)+1)+1)+1, FIND("/", G94, FIND("/", G94, FIND("/", G94, FIND("/", G94, FIND("/", G94)+1)+1)+1)+1) - FIND("/", G94, FIND("/", G94, FIND("/", G94)+1)+1) - 1), TRIM(RIGHT(SUBSTITUTE(G94,"/",REPT(" ",LEN(G94))),LEN(G94))))), IFERROR(MID(G94, FIND("-", G94, FIND("-", G94, FIND("-", G94) + 1) + 1) + 1, FIND("-", G94, FIND("-", G94, FIND("-", G94, FIND("-", G94) + 1) + 1) + 1) - FIND("-", G94, FIND("-", G94, FIND("-", G94) + 1) + 1) - 1), "Vendor")) &amp; " | Ref: " &amp; ref &amp; " | BU: " &amp; L94 &amp; " | Head: " &amp; M94 &amp; apt)))))</f>
        <v>#NAME?</v>
      </c>
      <c r="X94" s="2"/>
      <c r="Y94" s="2"/>
      <c r="Z94" s="2"/>
      <c r="AA94" s="2"/>
      <c r="AB94" s="2"/>
      <c r="AC94" s="2"/>
      <c r="AD94" s="2"/>
      <c r="AE94" s="2"/>
    </row>
    <row r="95" ht="15.75" customHeight="1">
      <c r="A95" s="45">
        <v>339.0</v>
      </c>
      <c r="B95" s="45" t="str">
        <f t="shared" si="14"/>
        <v>#NAME?</v>
      </c>
      <c r="C95" s="45">
        <f t="shared" si="15"/>
        <v>7</v>
      </c>
      <c r="D95" s="75">
        <v>46227.0</v>
      </c>
      <c r="E95" s="75">
        <v>46227.0</v>
      </c>
      <c r="F95" s="45"/>
      <c r="G95" s="45" t="s">
        <v>744</v>
      </c>
      <c r="H95" s="61" t="s">
        <v>745</v>
      </c>
      <c r="I95" s="48">
        <v>9440.0</v>
      </c>
      <c r="J95" s="48"/>
      <c r="K95" s="48">
        <f t="shared" si="7"/>
        <v>100520</v>
      </c>
      <c r="L95" s="77" t="s">
        <v>45</v>
      </c>
      <c r="M95" s="77" t="s">
        <v>67</v>
      </c>
      <c r="N95" s="64"/>
      <c r="O95" s="77" t="s">
        <v>60</v>
      </c>
      <c r="P95" s="30" t="s">
        <v>57</v>
      </c>
      <c r="Q95" s="64" t="s">
        <v>58</v>
      </c>
      <c r="R95" s="30"/>
      <c r="S95" s="30"/>
      <c r="T95" s="30"/>
      <c r="U95" s="30" t="s">
        <v>499</v>
      </c>
      <c r="V95" s="30"/>
      <c r="W95" s="51" t="str">
        <f t="shared" si="16"/>
        <v>#NAME?</v>
      </c>
      <c r="X95" s="2"/>
      <c r="Y95" s="2"/>
      <c r="Z95" s="2"/>
      <c r="AA95" s="2"/>
      <c r="AB95" s="2"/>
      <c r="AC95" s="2"/>
      <c r="AD95" s="2"/>
      <c r="AE95" s="2"/>
    </row>
    <row r="96" ht="15.75" customHeight="1">
      <c r="A96" s="45">
        <v>338.0</v>
      </c>
      <c r="B96" s="45" t="str">
        <f t="shared" si="14"/>
        <v>#NAME?</v>
      </c>
      <c r="C96" s="45">
        <f t="shared" si="15"/>
        <v>7</v>
      </c>
      <c r="D96" s="75">
        <v>46227.0</v>
      </c>
      <c r="E96" s="75">
        <v>46227.0</v>
      </c>
      <c r="F96" s="45"/>
      <c r="G96" s="45" t="s">
        <v>752</v>
      </c>
      <c r="H96" s="61" t="s">
        <v>754</v>
      </c>
      <c r="I96" s="48">
        <v>15930.0</v>
      </c>
      <c r="J96" s="48"/>
      <c r="K96" s="48">
        <f t="shared" si="7"/>
        <v>109960</v>
      </c>
      <c r="L96" s="77" t="s">
        <v>45</v>
      </c>
      <c r="M96" s="77" t="s">
        <v>67</v>
      </c>
      <c r="N96" s="64"/>
      <c r="O96" s="77" t="s">
        <v>60</v>
      </c>
      <c r="P96" s="30" t="s">
        <v>57</v>
      </c>
      <c r="Q96" s="64" t="s">
        <v>58</v>
      </c>
      <c r="R96" s="30"/>
      <c r="S96" s="30"/>
      <c r="T96" s="30"/>
      <c r="U96" s="30" t="s">
        <v>499</v>
      </c>
      <c r="V96" s="30"/>
      <c r="W96" s="51" t="str">
        <f t="shared" si="16"/>
        <v>#NAME?</v>
      </c>
      <c r="X96" s="2"/>
      <c r="Y96" s="2"/>
      <c r="Z96" s="2"/>
      <c r="AA96" s="2"/>
      <c r="AB96" s="2"/>
      <c r="AC96" s="2"/>
      <c r="AD96" s="2"/>
      <c r="AE96" s="2"/>
    </row>
    <row r="97" ht="15.75" customHeight="1">
      <c r="A97" s="45">
        <v>337.0</v>
      </c>
      <c r="B97" s="45" t="str">
        <f t="shared" si="14"/>
        <v>#NAME?</v>
      </c>
      <c r="C97" s="45">
        <f t="shared" si="15"/>
        <v>7</v>
      </c>
      <c r="D97" s="75">
        <v>46227.0</v>
      </c>
      <c r="E97" s="75">
        <v>46227.0</v>
      </c>
      <c r="F97" s="45"/>
      <c r="G97" s="45" t="s">
        <v>392</v>
      </c>
      <c r="H97" s="61" t="s">
        <v>157</v>
      </c>
      <c r="I97" s="48"/>
      <c r="J97" s="48">
        <v>100000.0</v>
      </c>
      <c r="K97" s="48">
        <f t="shared" si="7"/>
        <v>125890</v>
      </c>
      <c r="L97" s="77" t="s">
        <v>45</v>
      </c>
      <c r="M97" s="77" t="s">
        <v>47</v>
      </c>
      <c r="N97" s="64"/>
      <c r="O97" s="77" t="s">
        <v>60</v>
      </c>
      <c r="P97" s="30" t="s">
        <v>49</v>
      </c>
      <c r="Q97" s="64" t="s">
        <v>50</v>
      </c>
      <c r="R97" s="30"/>
      <c r="S97" s="30"/>
      <c r="T97" s="30"/>
      <c r="U97" s="30" t="s">
        <v>75</v>
      </c>
      <c r="V97" s="30"/>
      <c r="W97" s="51" t="str">
        <f t="shared" si="16"/>
        <v>#NAME?</v>
      </c>
      <c r="X97" s="2"/>
      <c r="Y97" s="2"/>
      <c r="Z97" s="2"/>
      <c r="AA97" s="2"/>
      <c r="AB97" s="2"/>
      <c r="AC97" s="2"/>
      <c r="AD97" s="2"/>
      <c r="AE97" s="2"/>
    </row>
    <row r="98" ht="15.75" customHeight="1">
      <c r="A98" s="45">
        <v>336.0</v>
      </c>
      <c r="B98" s="45" t="str">
        <f t="shared" si="14"/>
        <v>#NAME?</v>
      </c>
      <c r="C98" s="45">
        <f t="shared" si="15"/>
        <v>7</v>
      </c>
      <c r="D98" s="75">
        <v>46225.0</v>
      </c>
      <c r="E98" s="75">
        <v>46225.0</v>
      </c>
      <c r="F98" s="45"/>
      <c r="G98" s="45" t="s">
        <v>762</v>
      </c>
      <c r="H98" s="61" t="s">
        <v>764</v>
      </c>
      <c r="I98" s="48">
        <v>9900.0</v>
      </c>
      <c r="J98" s="48"/>
      <c r="K98" s="48">
        <f t="shared" si="7"/>
        <v>25890</v>
      </c>
      <c r="L98" s="77" t="s">
        <v>45</v>
      </c>
      <c r="M98" s="77" t="s">
        <v>55</v>
      </c>
      <c r="N98" s="64"/>
      <c r="O98" s="77" t="s">
        <v>60</v>
      </c>
      <c r="P98" s="30" t="s">
        <v>57</v>
      </c>
      <c r="Q98" s="64" t="s">
        <v>58</v>
      </c>
      <c r="R98" s="30"/>
      <c r="S98" s="30"/>
      <c r="T98" s="30"/>
      <c r="U98" s="30" t="s">
        <v>156</v>
      </c>
      <c r="V98" s="30"/>
      <c r="W98" s="51" t="str">
        <f t="shared" si="16"/>
        <v>#NAME?</v>
      </c>
      <c r="X98" s="2"/>
      <c r="Y98" s="2"/>
      <c r="Z98" s="2"/>
      <c r="AA98" s="2"/>
      <c r="AB98" s="2"/>
      <c r="AC98" s="2"/>
      <c r="AD98" s="2"/>
      <c r="AE98" s="2"/>
    </row>
    <row r="99" ht="15.75" customHeight="1">
      <c r="A99" s="45">
        <v>335.0</v>
      </c>
      <c r="B99" s="45" t="str">
        <f t="shared" si="14"/>
        <v>#NAME?</v>
      </c>
      <c r="C99" s="45">
        <f t="shared" si="15"/>
        <v>7</v>
      </c>
      <c r="D99" s="75">
        <v>46225.0</v>
      </c>
      <c r="E99" s="75">
        <v>46225.0</v>
      </c>
      <c r="F99" s="45"/>
      <c r="G99" s="45" t="s">
        <v>769</v>
      </c>
      <c r="H99" s="61" t="s">
        <v>771</v>
      </c>
      <c r="I99" s="48">
        <v>5940.0</v>
      </c>
      <c r="J99" s="48"/>
      <c r="K99" s="48">
        <f t="shared" si="7"/>
        <v>35790</v>
      </c>
      <c r="L99" s="77" t="s">
        <v>45</v>
      </c>
      <c r="M99" s="77" t="s">
        <v>55</v>
      </c>
      <c r="N99" s="64"/>
      <c r="O99" s="77" t="s">
        <v>60</v>
      </c>
      <c r="P99" s="30" t="s">
        <v>57</v>
      </c>
      <c r="Q99" s="64" t="s">
        <v>58</v>
      </c>
      <c r="R99" s="30"/>
      <c r="S99" s="30"/>
      <c r="T99" s="30"/>
      <c r="U99" s="30" t="s">
        <v>156</v>
      </c>
      <c r="V99" s="30"/>
      <c r="W99" s="51" t="str">
        <f t="shared" si="16"/>
        <v>#NAME?</v>
      </c>
      <c r="X99" s="2"/>
      <c r="Y99" s="2"/>
      <c r="Z99" s="2"/>
      <c r="AA99" s="2"/>
      <c r="AB99" s="2"/>
      <c r="AC99" s="2"/>
      <c r="AD99" s="2"/>
      <c r="AE99" s="2"/>
    </row>
    <row r="100" ht="15.75" customHeight="1">
      <c r="A100" s="45">
        <v>334.0</v>
      </c>
      <c r="B100" s="45" t="str">
        <f t="shared" si="14"/>
        <v>#NAME?</v>
      </c>
      <c r="C100" s="45">
        <f t="shared" si="15"/>
        <v>7</v>
      </c>
      <c r="D100" s="75">
        <v>46225.0</v>
      </c>
      <c r="E100" s="75">
        <v>46225.0</v>
      </c>
      <c r="F100" s="45"/>
      <c r="G100" s="45" t="s">
        <v>774</v>
      </c>
      <c r="H100" s="61" t="s">
        <v>775</v>
      </c>
      <c r="I100" s="48">
        <v>99000.0</v>
      </c>
      <c r="J100" s="48"/>
      <c r="K100" s="48">
        <f t="shared" si="7"/>
        <v>41730</v>
      </c>
      <c r="L100" s="77" t="s">
        <v>45</v>
      </c>
      <c r="M100" s="77" t="s">
        <v>55</v>
      </c>
      <c r="N100" s="64"/>
      <c r="O100" s="77" t="s">
        <v>60</v>
      </c>
      <c r="P100" s="30" t="s">
        <v>57</v>
      </c>
      <c r="Q100" s="64" t="s">
        <v>58</v>
      </c>
      <c r="R100" s="30"/>
      <c r="S100" s="30"/>
      <c r="T100" s="30"/>
      <c r="U100" s="30" t="s">
        <v>156</v>
      </c>
      <c r="V100" s="30"/>
      <c r="W100" s="51" t="str">
        <f t="shared" si="16"/>
        <v>#NAME?</v>
      </c>
      <c r="X100" s="2"/>
      <c r="Y100" s="2"/>
      <c r="Z100" s="2"/>
      <c r="AA100" s="2"/>
      <c r="AB100" s="2"/>
      <c r="AC100" s="2"/>
      <c r="AD100" s="2"/>
      <c r="AE100" s="2"/>
    </row>
    <row r="101" ht="15.75" customHeight="1">
      <c r="A101" s="45">
        <v>333.0</v>
      </c>
      <c r="B101" s="45" t="str">
        <f t="shared" si="14"/>
        <v>#NAME?</v>
      </c>
      <c r="C101" s="45">
        <f t="shared" si="15"/>
        <v>7</v>
      </c>
      <c r="D101" s="75">
        <v>46225.0</v>
      </c>
      <c r="E101" s="75">
        <v>46225.0</v>
      </c>
      <c r="F101" s="45"/>
      <c r="G101" s="45" t="s">
        <v>779</v>
      </c>
      <c r="H101" s="61" t="s">
        <v>780</v>
      </c>
      <c r="I101" s="48">
        <v>4950.0</v>
      </c>
      <c r="J101" s="48"/>
      <c r="K101" s="48">
        <f t="shared" si="7"/>
        <v>140730</v>
      </c>
      <c r="L101" s="77" t="s">
        <v>45</v>
      </c>
      <c r="M101" s="77" t="s">
        <v>55</v>
      </c>
      <c r="N101" s="64"/>
      <c r="O101" s="77" t="s">
        <v>60</v>
      </c>
      <c r="P101" s="30" t="s">
        <v>57</v>
      </c>
      <c r="Q101" s="64" t="s">
        <v>58</v>
      </c>
      <c r="R101" s="30"/>
      <c r="S101" s="30"/>
      <c r="T101" s="30"/>
      <c r="U101" s="30" t="s">
        <v>156</v>
      </c>
      <c r="V101" s="30"/>
      <c r="W101" s="51" t="str">
        <f t="shared" si="16"/>
        <v>#NAME?</v>
      </c>
      <c r="X101" s="2"/>
      <c r="Y101" s="2"/>
      <c r="Z101" s="2"/>
      <c r="AA101" s="2"/>
      <c r="AB101" s="2"/>
      <c r="AC101" s="2"/>
      <c r="AD101" s="2"/>
      <c r="AE101" s="2"/>
    </row>
    <row r="102" ht="15.75" customHeight="1">
      <c r="A102" s="45">
        <v>332.0</v>
      </c>
      <c r="B102" s="45" t="str">
        <f t="shared" si="14"/>
        <v>#NAME?</v>
      </c>
      <c r="C102" s="45">
        <f t="shared" si="15"/>
        <v>7</v>
      </c>
      <c r="D102" s="75">
        <v>46225.0</v>
      </c>
      <c r="E102" s="75">
        <v>46225.0</v>
      </c>
      <c r="F102" s="45"/>
      <c r="G102" s="45" t="s">
        <v>785</v>
      </c>
      <c r="H102" s="61" t="s">
        <v>786</v>
      </c>
      <c r="I102" s="48">
        <v>14850.0</v>
      </c>
      <c r="J102" s="48"/>
      <c r="K102" s="48">
        <f t="shared" si="7"/>
        <v>145680</v>
      </c>
      <c r="L102" s="77" t="s">
        <v>45</v>
      </c>
      <c r="M102" s="77" t="s">
        <v>55</v>
      </c>
      <c r="N102" s="64"/>
      <c r="O102" s="77" t="s">
        <v>60</v>
      </c>
      <c r="P102" s="30" t="s">
        <v>57</v>
      </c>
      <c r="Q102" s="64" t="s">
        <v>58</v>
      </c>
      <c r="R102" s="30"/>
      <c r="S102" s="30"/>
      <c r="T102" s="30"/>
      <c r="U102" s="30" t="s">
        <v>156</v>
      </c>
      <c r="V102" s="30"/>
      <c r="W102" s="51" t="str">
        <f t="shared" si="16"/>
        <v>#NAME?</v>
      </c>
      <c r="X102" s="2"/>
      <c r="Y102" s="2"/>
      <c r="Z102" s="2"/>
      <c r="AA102" s="2"/>
      <c r="AB102" s="2"/>
      <c r="AC102" s="2"/>
      <c r="AD102" s="2"/>
      <c r="AE102" s="2"/>
    </row>
    <row r="103" ht="15.75" customHeight="1">
      <c r="A103" s="45">
        <v>331.0</v>
      </c>
      <c r="B103" s="45" t="str">
        <f t="shared" si="14"/>
        <v>#NAME?</v>
      </c>
      <c r="C103" s="45">
        <f t="shared" si="15"/>
        <v>7</v>
      </c>
      <c r="D103" s="75">
        <v>46225.0</v>
      </c>
      <c r="E103" s="75">
        <v>46225.0</v>
      </c>
      <c r="F103" s="45"/>
      <c r="G103" s="45" t="s">
        <v>791</v>
      </c>
      <c r="H103" s="61" t="s">
        <v>792</v>
      </c>
      <c r="I103" s="48">
        <v>44840.0</v>
      </c>
      <c r="J103" s="48"/>
      <c r="K103" s="48">
        <f t="shared" si="7"/>
        <v>160530</v>
      </c>
      <c r="L103" s="77" t="s">
        <v>45</v>
      </c>
      <c r="M103" s="77" t="s">
        <v>67</v>
      </c>
      <c r="N103" s="64"/>
      <c r="O103" s="77" t="s">
        <v>60</v>
      </c>
      <c r="P103" s="30" t="s">
        <v>57</v>
      </c>
      <c r="Q103" s="64" t="s">
        <v>58</v>
      </c>
      <c r="R103" s="30"/>
      <c r="S103" s="30"/>
      <c r="T103" s="30"/>
      <c r="U103" s="30" t="s">
        <v>499</v>
      </c>
      <c r="V103" s="30"/>
      <c r="W103" s="51" t="str">
        <f t="shared" si="16"/>
        <v>#NAME?</v>
      </c>
      <c r="X103" s="2"/>
      <c r="Y103" s="2"/>
      <c r="Z103" s="2"/>
      <c r="AA103" s="2"/>
      <c r="AB103" s="2"/>
      <c r="AC103" s="2"/>
      <c r="AD103" s="2"/>
      <c r="AE103" s="2"/>
    </row>
    <row r="104" ht="15.75" customHeight="1">
      <c r="A104" s="45">
        <v>330.0</v>
      </c>
      <c r="B104" s="45" t="str">
        <f t="shared" si="14"/>
        <v>#NAME?</v>
      </c>
      <c r="C104" s="45">
        <f t="shared" si="15"/>
        <v>7</v>
      </c>
      <c r="D104" s="75">
        <v>46225.0</v>
      </c>
      <c r="E104" s="75">
        <v>46225.0</v>
      </c>
      <c r="F104" s="45"/>
      <c r="G104" s="45" t="s">
        <v>796</v>
      </c>
      <c r="H104" s="61" t="s">
        <v>797</v>
      </c>
      <c r="I104" s="48">
        <v>4950.0</v>
      </c>
      <c r="J104" s="48"/>
      <c r="K104" s="48">
        <f t="shared" si="7"/>
        <v>205370</v>
      </c>
      <c r="L104" s="77" t="s">
        <v>45</v>
      </c>
      <c r="M104" s="77" t="s">
        <v>55</v>
      </c>
      <c r="N104" s="64"/>
      <c r="O104" s="77" t="s">
        <v>60</v>
      </c>
      <c r="P104" s="30" t="s">
        <v>57</v>
      </c>
      <c r="Q104" s="64" t="s">
        <v>58</v>
      </c>
      <c r="R104" s="30"/>
      <c r="S104" s="30"/>
      <c r="T104" s="30"/>
      <c r="U104" s="30" t="s">
        <v>156</v>
      </c>
      <c r="V104" s="30"/>
      <c r="W104" s="51" t="str">
        <f t="shared" si="16"/>
        <v>#NAME?</v>
      </c>
      <c r="X104" s="2"/>
      <c r="Y104" s="2"/>
      <c r="Z104" s="2"/>
      <c r="AA104" s="2"/>
      <c r="AB104" s="2"/>
      <c r="AC104" s="2"/>
      <c r="AD104" s="2"/>
      <c r="AE104" s="2"/>
    </row>
    <row r="105" ht="15.75" customHeight="1">
      <c r="A105" s="45">
        <v>329.0</v>
      </c>
      <c r="B105" s="45" t="str">
        <f t="shared" si="14"/>
        <v>#NAME?</v>
      </c>
      <c r="C105" s="45">
        <f t="shared" si="15"/>
        <v>7</v>
      </c>
      <c r="D105" s="75">
        <v>46225.0</v>
      </c>
      <c r="E105" s="75">
        <v>46225.0</v>
      </c>
      <c r="F105" s="45"/>
      <c r="G105" s="45" t="s">
        <v>803</v>
      </c>
      <c r="H105" s="61" t="s">
        <v>804</v>
      </c>
      <c r="I105" s="48">
        <v>49500.0</v>
      </c>
      <c r="J105" s="48"/>
      <c r="K105" s="48">
        <f t="shared" si="7"/>
        <v>210320</v>
      </c>
      <c r="L105" s="77" t="s">
        <v>45</v>
      </c>
      <c r="M105" s="77" t="s">
        <v>55</v>
      </c>
      <c r="N105" s="64"/>
      <c r="O105" s="77" t="s">
        <v>60</v>
      </c>
      <c r="P105" s="30" t="s">
        <v>57</v>
      </c>
      <c r="Q105" s="64" t="s">
        <v>58</v>
      </c>
      <c r="R105" s="30"/>
      <c r="S105" s="30"/>
      <c r="T105" s="30"/>
      <c r="U105" s="30" t="s">
        <v>156</v>
      </c>
      <c r="V105" s="30"/>
      <c r="W105" s="51" t="str">
        <f t="shared" si="16"/>
        <v>#NAME?</v>
      </c>
      <c r="X105" s="2"/>
      <c r="Y105" s="2"/>
      <c r="Z105" s="2"/>
      <c r="AA105" s="2"/>
      <c r="AB105" s="2"/>
      <c r="AC105" s="2"/>
      <c r="AD105" s="2"/>
      <c r="AE105" s="2"/>
    </row>
    <row r="106" ht="15.75" customHeight="1">
      <c r="A106" s="45">
        <v>328.0</v>
      </c>
      <c r="B106" s="45" t="str">
        <f t="shared" si="14"/>
        <v>#NAME?</v>
      </c>
      <c r="C106" s="45">
        <f t="shared" si="15"/>
        <v>7</v>
      </c>
      <c r="D106" s="75">
        <v>46225.0</v>
      </c>
      <c r="E106" s="75">
        <v>46225.0</v>
      </c>
      <c r="F106" s="45"/>
      <c r="G106" s="45" t="s">
        <v>811</v>
      </c>
      <c r="H106" s="61" t="s">
        <v>813</v>
      </c>
      <c r="I106" s="48">
        <v>6930.0</v>
      </c>
      <c r="J106" s="48"/>
      <c r="K106" s="48">
        <f t="shared" si="7"/>
        <v>259820</v>
      </c>
      <c r="L106" s="77" t="s">
        <v>45</v>
      </c>
      <c r="M106" s="77" t="s">
        <v>55</v>
      </c>
      <c r="N106" s="64"/>
      <c r="O106" s="77" t="s">
        <v>60</v>
      </c>
      <c r="P106" s="30" t="s">
        <v>57</v>
      </c>
      <c r="Q106" s="64" t="s">
        <v>58</v>
      </c>
      <c r="R106" s="30"/>
      <c r="S106" s="30"/>
      <c r="T106" s="30"/>
      <c r="U106" s="30" t="s">
        <v>156</v>
      </c>
      <c r="V106" s="30"/>
      <c r="W106" s="51" t="str">
        <f t="shared" si="16"/>
        <v>#NAME?</v>
      </c>
      <c r="X106" s="2"/>
      <c r="Y106" s="2"/>
      <c r="Z106" s="2"/>
      <c r="AA106" s="2"/>
      <c r="AB106" s="2"/>
      <c r="AC106" s="2"/>
      <c r="AD106" s="2"/>
      <c r="AE106" s="2"/>
    </row>
    <row r="107" ht="15.75" customHeight="1">
      <c r="A107" s="45">
        <v>327.0</v>
      </c>
      <c r="B107" s="45" t="str">
        <f t="shared" si="14"/>
        <v>#NAME?</v>
      </c>
      <c r="C107" s="45">
        <f t="shared" si="15"/>
        <v>7</v>
      </c>
      <c r="D107" s="75">
        <v>46225.0</v>
      </c>
      <c r="E107" s="75">
        <v>46225.0</v>
      </c>
      <c r="F107" s="45"/>
      <c r="G107" s="45" t="s">
        <v>818</v>
      </c>
      <c r="H107" s="61" t="s">
        <v>819</v>
      </c>
      <c r="I107" s="48">
        <v>19800.0</v>
      </c>
      <c r="J107" s="48"/>
      <c r="K107" s="48">
        <f t="shared" si="7"/>
        <v>266750</v>
      </c>
      <c r="L107" s="77" t="s">
        <v>45</v>
      </c>
      <c r="M107" s="77" t="s">
        <v>55</v>
      </c>
      <c r="N107" s="64"/>
      <c r="O107" s="77" t="s">
        <v>60</v>
      </c>
      <c r="P107" s="30" t="s">
        <v>57</v>
      </c>
      <c r="Q107" s="64" t="s">
        <v>58</v>
      </c>
      <c r="R107" s="30"/>
      <c r="S107" s="30"/>
      <c r="T107" s="30"/>
      <c r="U107" s="30" t="s">
        <v>156</v>
      </c>
      <c r="V107" s="30"/>
      <c r="W107" s="51" t="str">
        <f t="shared" si="16"/>
        <v>#NAME?</v>
      </c>
      <c r="X107" s="2"/>
      <c r="Y107" s="2"/>
      <c r="Z107" s="2"/>
      <c r="AA107" s="2"/>
      <c r="AB107" s="2"/>
      <c r="AC107" s="2"/>
      <c r="AD107" s="2"/>
      <c r="AE107" s="2"/>
    </row>
    <row r="108" ht="15.75" customHeight="1">
      <c r="A108" s="45">
        <v>326.0</v>
      </c>
      <c r="B108" s="45" t="str">
        <f t="shared" si="14"/>
        <v>#NAME?</v>
      </c>
      <c r="C108" s="45">
        <f t="shared" si="15"/>
        <v>7</v>
      </c>
      <c r="D108" s="75">
        <v>46225.0</v>
      </c>
      <c r="E108" s="75">
        <v>46225.0</v>
      </c>
      <c r="F108" s="45"/>
      <c r="G108" s="45" t="s">
        <v>825</v>
      </c>
      <c r="H108" s="61" t="s">
        <v>826</v>
      </c>
      <c r="I108" s="48">
        <v>19800.0</v>
      </c>
      <c r="J108" s="48"/>
      <c r="K108" s="48">
        <f t="shared" si="7"/>
        <v>286550</v>
      </c>
      <c r="L108" s="77" t="s">
        <v>45</v>
      </c>
      <c r="M108" s="77" t="s">
        <v>55</v>
      </c>
      <c r="N108" s="64"/>
      <c r="O108" s="77" t="s">
        <v>60</v>
      </c>
      <c r="P108" s="30" t="s">
        <v>57</v>
      </c>
      <c r="Q108" s="64" t="s">
        <v>58</v>
      </c>
      <c r="R108" s="30"/>
      <c r="S108" s="30"/>
      <c r="T108" s="30"/>
      <c r="U108" s="30" t="s">
        <v>156</v>
      </c>
      <c r="V108" s="30"/>
      <c r="W108" s="51" t="str">
        <f t="shared" si="16"/>
        <v>#NAME?</v>
      </c>
      <c r="X108" s="2"/>
      <c r="Y108" s="2"/>
      <c r="Z108" s="2"/>
      <c r="AA108" s="2"/>
      <c r="AB108" s="2"/>
      <c r="AC108" s="2"/>
      <c r="AD108" s="2"/>
      <c r="AE108" s="2"/>
    </row>
    <row r="109" ht="15.75" customHeight="1">
      <c r="A109" s="45">
        <v>325.0</v>
      </c>
      <c r="B109" s="45" t="str">
        <f t="shared" si="14"/>
        <v>#NAME?</v>
      </c>
      <c r="C109" s="45">
        <f t="shared" si="15"/>
        <v>7</v>
      </c>
      <c r="D109" s="75">
        <v>46225.0</v>
      </c>
      <c r="E109" s="75">
        <v>46225.0</v>
      </c>
      <c r="F109" s="45"/>
      <c r="G109" s="45" t="s">
        <v>392</v>
      </c>
      <c r="H109" s="61" t="s">
        <v>166</v>
      </c>
      <c r="I109" s="48"/>
      <c r="J109" s="48">
        <v>150000.0</v>
      </c>
      <c r="K109" s="48">
        <f t="shared" si="7"/>
        <v>306350</v>
      </c>
      <c r="L109" s="77" t="s">
        <v>45</v>
      </c>
      <c r="M109" s="77" t="s">
        <v>47</v>
      </c>
      <c r="N109" s="64"/>
      <c r="O109" s="77" t="s">
        <v>60</v>
      </c>
      <c r="P109" s="30" t="s">
        <v>49</v>
      </c>
      <c r="Q109" s="64" t="s">
        <v>50</v>
      </c>
      <c r="R109" s="30"/>
      <c r="S109" s="30"/>
      <c r="T109" s="30"/>
      <c r="U109" s="30" t="s">
        <v>75</v>
      </c>
      <c r="V109" s="30"/>
      <c r="W109" s="51" t="str">
        <f t="shared" si="16"/>
        <v>#NAME?</v>
      </c>
      <c r="X109" s="2"/>
      <c r="Y109" s="2"/>
      <c r="Z109" s="2"/>
      <c r="AA109" s="2"/>
      <c r="AB109" s="2"/>
      <c r="AC109" s="2"/>
      <c r="AD109" s="2"/>
      <c r="AE109" s="2"/>
    </row>
    <row r="110" ht="15.75" customHeight="1">
      <c r="A110" s="45">
        <v>324.0</v>
      </c>
      <c r="B110" s="45" t="str">
        <f t="shared" si="14"/>
        <v>#NAME?</v>
      </c>
      <c r="C110" s="45">
        <f t="shared" si="15"/>
        <v>7</v>
      </c>
      <c r="D110" s="75">
        <v>46223.0</v>
      </c>
      <c r="E110" s="75">
        <v>46223.0</v>
      </c>
      <c r="F110" s="45"/>
      <c r="G110" s="45" t="s">
        <v>840</v>
      </c>
      <c r="H110" s="61" t="s">
        <v>313</v>
      </c>
      <c r="I110" s="48">
        <v>100000.0</v>
      </c>
      <c r="J110" s="48"/>
      <c r="K110" s="48">
        <f t="shared" si="7"/>
        <v>156350</v>
      </c>
      <c r="L110" s="77" t="s">
        <v>45</v>
      </c>
      <c r="M110" s="77" t="s">
        <v>47</v>
      </c>
      <c r="N110" s="64"/>
      <c r="O110" s="77" t="s">
        <v>60</v>
      </c>
      <c r="P110" s="30" t="s">
        <v>74</v>
      </c>
      <c r="Q110" s="64" t="s">
        <v>50</v>
      </c>
      <c r="R110" s="30"/>
      <c r="S110" s="30"/>
      <c r="T110" s="30"/>
      <c r="U110" s="30" t="s">
        <v>75</v>
      </c>
      <c r="V110" s="30"/>
      <c r="W110" s="51" t="str">
        <f t="shared" si="16"/>
        <v>#NAME?</v>
      </c>
      <c r="X110" s="2"/>
      <c r="Y110" s="2"/>
      <c r="Z110" s="2"/>
      <c r="AA110" s="2"/>
      <c r="AB110" s="2"/>
      <c r="AC110" s="2"/>
      <c r="AD110" s="2"/>
      <c r="AE110" s="2"/>
    </row>
    <row r="111" ht="15.75" customHeight="1">
      <c r="A111" s="45">
        <v>323.0</v>
      </c>
      <c r="B111" s="45" t="str">
        <f t="shared" si="14"/>
        <v>#NAME?</v>
      </c>
      <c r="C111" s="45">
        <f t="shared" si="15"/>
        <v>7</v>
      </c>
      <c r="D111" s="75">
        <v>46221.0</v>
      </c>
      <c r="E111" s="75">
        <v>46221.0</v>
      </c>
      <c r="F111" s="45"/>
      <c r="G111" s="45" t="s">
        <v>844</v>
      </c>
      <c r="H111" s="61" t="s">
        <v>845</v>
      </c>
      <c r="I111" s="48">
        <v>10000.0</v>
      </c>
      <c r="J111" s="48"/>
      <c r="K111" s="48">
        <f t="shared" si="7"/>
        <v>256350</v>
      </c>
      <c r="L111" s="77" t="s">
        <v>45</v>
      </c>
      <c r="M111" s="77" t="s">
        <v>85</v>
      </c>
      <c r="N111" s="64"/>
      <c r="O111" s="77" t="s">
        <v>60</v>
      </c>
      <c r="P111" s="30" t="s">
        <v>57</v>
      </c>
      <c r="Q111" s="64" t="s">
        <v>58</v>
      </c>
      <c r="R111" s="30"/>
      <c r="S111" s="30"/>
      <c r="T111" s="30"/>
      <c r="U111" s="30" t="s">
        <v>430</v>
      </c>
      <c r="V111" s="30"/>
      <c r="W111" s="51" t="str">
        <f t="shared" si="16"/>
        <v>#NAME?</v>
      </c>
      <c r="X111" s="2"/>
      <c r="Y111" s="2"/>
      <c r="Z111" s="2"/>
      <c r="AA111" s="2"/>
      <c r="AB111" s="2"/>
      <c r="AC111" s="2"/>
      <c r="AD111" s="2"/>
      <c r="AE111" s="2"/>
    </row>
    <row r="112" ht="15.75" customHeight="1">
      <c r="A112" s="45">
        <v>322.0</v>
      </c>
      <c r="B112" s="45" t="str">
        <f t="shared" si="14"/>
        <v>#NAME?</v>
      </c>
      <c r="C112" s="45">
        <f t="shared" si="15"/>
        <v>7</v>
      </c>
      <c r="D112" s="75">
        <v>46221.0</v>
      </c>
      <c r="E112" s="75">
        <v>46221.0</v>
      </c>
      <c r="F112" s="45"/>
      <c r="G112" s="45" t="s">
        <v>850</v>
      </c>
      <c r="H112" s="61" t="s">
        <v>851</v>
      </c>
      <c r="I112" s="48">
        <v>10578.0</v>
      </c>
      <c r="J112" s="48"/>
      <c r="K112" s="48">
        <f t="shared" si="7"/>
        <v>266350</v>
      </c>
      <c r="L112" s="77" t="s">
        <v>45</v>
      </c>
      <c r="M112" s="77" t="s">
        <v>110</v>
      </c>
      <c r="N112" s="64"/>
      <c r="O112" s="77" t="s">
        <v>60</v>
      </c>
      <c r="P112" s="30" t="s">
        <v>57</v>
      </c>
      <c r="Q112" s="64" t="s">
        <v>58</v>
      </c>
      <c r="R112" s="30"/>
      <c r="S112" s="30"/>
      <c r="T112" s="30"/>
      <c r="U112" s="30" t="s">
        <v>103</v>
      </c>
      <c r="V112" s="30"/>
      <c r="W112" s="51" t="str">
        <f t="shared" si="16"/>
        <v>#NAME?</v>
      </c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A113" s="45">
        <v>321.0</v>
      </c>
      <c r="B113" s="45" t="str">
        <f t="shared" si="14"/>
        <v>#NAME?</v>
      </c>
      <c r="C113" s="45">
        <f t="shared" si="15"/>
        <v>7</v>
      </c>
      <c r="D113" s="75">
        <v>46221.0</v>
      </c>
      <c r="E113" s="75">
        <v>46221.0</v>
      </c>
      <c r="F113" s="45"/>
      <c r="G113" s="45" t="s">
        <v>857</v>
      </c>
      <c r="H113" s="61" t="s">
        <v>858</v>
      </c>
      <c r="I113" s="48">
        <v>10437.0</v>
      </c>
      <c r="J113" s="48"/>
      <c r="K113" s="48">
        <f t="shared" si="7"/>
        <v>276928</v>
      </c>
      <c r="L113" s="77" t="s">
        <v>45</v>
      </c>
      <c r="M113" s="77" t="s">
        <v>110</v>
      </c>
      <c r="N113" s="64"/>
      <c r="O113" s="77" t="s">
        <v>60</v>
      </c>
      <c r="P113" s="30" t="s">
        <v>57</v>
      </c>
      <c r="Q113" s="64" t="s">
        <v>58</v>
      </c>
      <c r="R113" s="30"/>
      <c r="S113" s="30"/>
      <c r="T113" s="30"/>
      <c r="U113" s="30" t="s">
        <v>103</v>
      </c>
      <c r="V113" s="30"/>
      <c r="W113" s="51" t="str">
        <f t="shared" si="16"/>
        <v>#NAME?</v>
      </c>
      <c r="X113" s="2"/>
      <c r="Y113" s="2"/>
      <c r="Z113" s="2"/>
      <c r="AA113" s="2"/>
      <c r="AB113" s="2"/>
      <c r="AC113" s="2"/>
      <c r="AD113" s="2"/>
      <c r="AE113" s="2"/>
    </row>
    <row r="114" ht="15.75" customHeight="1">
      <c r="A114" s="45">
        <v>320.0</v>
      </c>
      <c r="B114" s="45" t="str">
        <f t="shared" si="14"/>
        <v>#NAME?</v>
      </c>
      <c r="C114" s="45">
        <f t="shared" si="15"/>
        <v>7</v>
      </c>
      <c r="D114" s="75">
        <v>46221.0</v>
      </c>
      <c r="E114" s="75">
        <v>46221.0</v>
      </c>
      <c r="F114" s="45"/>
      <c r="G114" s="45" t="s">
        <v>864</v>
      </c>
      <c r="H114" s="61" t="s">
        <v>865</v>
      </c>
      <c r="I114" s="48">
        <v>30382.0</v>
      </c>
      <c r="J114" s="48"/>
      <c r="K114" s="48">
        <f t="shared" si="7"/>
        <v>287365</v>
      </c>
      <c r="L114" s="77" t="s">
        <v>45</v>
      </c>
      <c r="M114" s="77" t="s">
        <v>110</v>
      </c>
      <c r="N114" s="64"/>
      <c r="O114" s="77" t="s">
        <v>60</v>
      </c>
      <c r="P114" s="30" t="s">
        <v>57</v>
      </c>
      <c r="Q114" s="64" t="s">
        <v>58</v>
      </c>
      <c r="R114" s="30"/>
      <c r="S114" s="30"/>
      <c r="T114" s="30"/>
      <c r="U114" s="30" t="s">
        <v>103</v>
      </c>
      <c r="V114" s="30"/>
      <c r="W114" s="51" t="str">
        <f t="shared" si="16"/>
        <v>#NAME?</v>
      </c>
      <c r="X114" s="2"/>
      <c r="Y114" s="2"/>
      <c r="Z114" s="2"/>
      <c r="AA114" s="2"/>
      <c r="AB114" s="2"/>
      <c r="AC114" s="2"/>
      <c r="AD114" s="2"/>
      <c r="AE114" s="2"/>
    </row>
    <row r="115" ht="15.75" customHeight="1">
      <c r="A115" s="45">
        <v>319.0</v>
      </c>
      <c r="B115" s="45" t="str">
        <f t="shared" si="14"/>
        <v>#NAME?</v>
      </c>
      <c r="C115" s="45">
        <f t="shared" si="15"/>
        <v>7</v>
      </c>
      <c r="D115" s="75">
        <v>46221.0</v>
      </c>
      <c r="E115" s="75">
        <v>46221.0</v>
      </c>
      <c r="F115" s="45"/>
      <c r="G115" s="45" t="s">
        <v>871</v>
      </c>
      <c r="H115" s="61" t="s">
        <v>872</v>
      </c>
      <c r="I115" s="48">
        <v>7276.0</v>
      </c>
      <c r="J115" s="48"/>
      <c r="K115" s="48">
        <f t="shared" si="7"/>
        <v>317747</v>
      </c>
      <c r="L115" s="77" t="s">
        <v>45</v>
      </c>
      <c r="M115" s="77" t="s">
        <v>110</v>
      </c>
      <c r="N115" s="64"/>
      <c r="O115" s="77" t="s">
        <v>60</v>
      </c>
      <c r="P115" s="30" t="s">
        <v>57</v>
      </c>
      <c r="Q115" s="64" t="s">
        <v>58</v>
      </c>
      <c r="R115" s="30"/>
      <c r="S115" s="30"/>
      <c r="T115" s="30"/>
      <c r="U115" s="30" t="s">
        <v>103</v>
      </c>
      <c r="V115" s="30"/>
      <c r="W115" s="51" t="str">
        <f t="shared" si="16"/>
        <v>#NAME?</v>
      </c>
      <c r="X115" s="2"/>
      <c r="Y115" s="2"/>
      <c r="Z115" s="2"/>
      <c r="AA115" s="2"/>
      <c r="AB115" s="2"/>
      <c r="AC115" s="2"/>
      <c r="AD115" s="2"/>
      <c r="AE115" s="2"/>
    </row>
    <row r="116" ht="15.75" customHeight="1">
      <c r="A116" s="45">
        <v>318.0</v>
      </c>
      <c r="B116" s="45" t="str">
        <f t="shared" si="14"/>
        <v>#NAME?</v>
      </c>
      <c r="C116" s="45">
        <f t="shared" si="15"/>
        <v>7</v>
      </c>
      <c r="D116" s="75">
        <v>46221.0</v>
      </c>
      <c r="E116" s="75">
        <v>46221.0</v>
      </c>
      <c r="F116" s="45"/>
      <c r="G116" s="45" t="s">
        <v>878</v>
      </c>
      <c r="H116" s="61" t="s">
        <v>879</v>
      </c>
      <c r="I116" s="48">
        <v>39898.0</v>
      </c>
      <c r="J116" s="48"/>
      <c r="K116" s="48">
        <f t="shared" si="7"/>
        <v>325023</v>
      </c>
      <c r="L116" s="77" t="s">
        <v>45</v>
      </c>
      <c r="M116" s="77" t="s">
        <v>110</v>
      </c>
      <c r="N116" s="64"/>
      <c r="O116" s="77" t="s">
        <v>60</v>
      </c>
      <c r="P116" s="30" t="s">
        <v>57</v>
      </c>
      <c r="Q116" s="64" t="s">
        <v>58</v>
      </c>
      <c r="R116" s="30"/>
      <c r="S116" s="30"/>
      <c r="T116" s="30"/>
      <c r="U116" s="30" t="s">
        <v>103</v>
      </c>
      <c r="V116" s="30"/>
      <c r="W116" s="51" t="str">
        <f t="shared" si="16"/>
        <v>#NAME?</v>
      </c>
      <c r="X116" s="2"/>
      <c r="Y116" s="2"/>
      <c r="Z116" s="2"/>
      <c r="AA116" s="2"/>
      <c r="AB116" s="2"/>
      <c r="AC116" s="2"/>
      <c r="AD116" s="2"/>
      <c r="AE116" s="2"/>
    </row>
    <row r="117" ht="15.75" customHeight="1">
      <c r="A117" s="45">
        <v>317.0</v>
      </c>
      <c r="B117" s="45" t="str">
        <f t="shared" si="14"/>
        <v>#NAME?</v>
      </c>
      <c r="C117" s="45">
        <f t="shared" si="15"/>
        <v>7</v>
      </c>
      <c r="D117" s="75">
        <v>46221.0</v>
      </c>
      <c r="E117" s="75">
        <v>46221.0</v>
      </c>
      <c r="F117" s="45"/>
      <c r="G117" s="45" t="s">
        <v>883</v>
      </c>
      <c r="H117" s="61" t="s">
        <v>884</v>
      </c>
      <c r="I117" s="48">
        <v>15840.0</v>
      </c>
      <c r="J117" s="48"/>
      <c r="K117" s="48">
        <f t="shared" si="7"/>
        <v>364921</v>
      </c>
      <c r="L117" s="77" t="s">
        <v>45</v>
      </c>
      <c r="M117" s="77" t="s">
        <v>55</v>
      </c>
      <c r="N117" s="64"/>
      <c r="O117" s="77" t="s">
        <v>60</v>
      </c>
      <c r="P117" s="30" t="s">
        <v>57</v>
      </c>
      <c r="Q117" s="64" t="s">
        <v>58</v>
      </c>
      <c r="R117" s="30"/>
      <c r="S117" s="30"/>
      <c r="T117" s="30"/>
      <c r="U117" s="30" t="s">
        <v>156</v>
      </c>
      <c r="V117" s="30"/>
      <c r="W117" s="51" t="str">
        <f t="shared" si="16"/>
        <v>#NAME?</v>
      </c>
      <c r="X117" s="2"/>
      <c r="Y117" s="2"/>
      <c r="Z117" s="2"/>
      <c r="AA117" s="2"/>
      <c r="AB117" s="2"/>
      <c r="AC117" s="2"/>
      <c r="AD117" s="2"/>
      <c r="AE117" s="2"/>
    </row>
    <row r="118" ht="15.75" customHeight="1">
      <c r="A118" s="45">
        <v>316.0</v>
      </c>
      <c r="B118" s="45" t="str">
        <f t="shared" si="14"/>
        <v>#NAME?</v>
      </c>
      <c r="C118" s="45">
        <f t="shared" si="15"/>
        <v>7</v>
      </c>
      <c r="D118" s="75">
        <v>46221.0</v>
      </c>
      <c r="E118" s="75">
        <v>46221.0</v>
      </c>
      <c r="F118" s="45"/>
      <c r="G118" s="45" t="s">
        <v>891</v>
      </c>
      <c r="H118" s="61" t="s">
        <v>892</v>
      </c>
      <c r="I118" s="48">
        <v>10538.0</v>
      </c>
      <c r="J118" s="48"/>
      <c r="K118" s="48">
        <f t="shared" si="7"/>
        <v>380761</v>
      </c>
      <c r="L118" s="77" t="s">
        <v>45</v>
      </c>
      <c r="M118" s="77" t="s">
        <v>110</v>
      </c>
      <c r="N118" s="64"/>
      <c r="O118" s="77" t="s">
        <v>60</v>
      </c>
      <c r="P118" s="30" t="s">
        <v>57</v>
      </c>
      <c r="Q118" s="64" t="s">
        <v>58</v>
      </c>
      <c r="R118" s="30"/>
      <c r="S118" s="30"/>
      <c r="T118" s="30"/>
      <c r="U118" s="30" t="s">
        <v>103</v>
      </c>
      <c r="V118" s="30"/>
      <c r="W118" s="51" t="str">
        <f t="shared" si="16"/>
        <v>#NAME?</v>
      </c>
      <c r="X118" s="2"/>
      <c r="Y118" s="2"/>
      <c r="Z118" s="2"/>
      <c r="AA118" s="2"/>
      <c r="AB118" s="2"/>
      <c r="AC118" s="2"/>
      <c r="AD118" s="2"/>
      <c r="AE118" s="2"/>
    </row>
    <row r="119" ht="15.75" customHeight="1">
      <c r="A119" s="45">
        <v>315.0</v>
      </c>
      <c r="B119" s="45" t="str">
        <f t="shared" si="14"/>
        <v>#NAME?</v>
      </c>
      <c r="C119" s="45">
        <f t="shared" si="15"/>
        <v>7</v>
      </c>
      <c r="D119" s="75">
        <v>46221.0</v>
      </c>
      <c r="E119" s="75">
        <v>46221.0</v>
      </c>
      <c r="F119" s="45"/>
      <c r="G119" s="45" t="s">
        <v>898</v>
      </c>
      <c r="H119" s="61" t="s">
        <v>899</v>
      </c>
      <c r="I119" s="48">
        <v>7627.0</v>
      </c>
      <c r="J119" s="48"/>
      <c r="K119" s="48">
        <f t="shared" si="7"/>
        <v>391299</v>
      </c>
      <c r="L119" s="77" t="s">
        <v>45</v>
      </c>
      <c r="M119" s="77" t="s">
        <v>110</v>
      </c>
      <c r="N119" s="64"/>
      <c r="O119" s="77" t="s">
        <v>60</v>
      </c>
      <c r="P119" s="30" t="s">
        <v>57</v>
      </c>
      <c r="Q119" s="64" t="s">
        <v>58</v>
      </c>
      <c r="R119" s="30"/>
      <c r="S119" s="30"/>
      <c r="T119" s="30"/>
      <c r="U119" s="30" t="s">
        <v>103</v>
      </c>
      <c r="V119" s="30"/>
      <c r="W119" s="51" t="str">
        <f t="shared" si="16"/>
        <v>#NAME?</v>
      </c>
      <c r="X119" s="2"/>
      <c r="Y119" s="2"/>
      <c r="Z119" s="2"/>
      <c r="AA119" s="2"/>
      <c r="AB119" s="2"/>
      <c r="AC119" s="2"/>
      <c r="AD119" s="2"/>
      <c r="AE119" s="2"/>
    </row>
    <row r="120" ht="15.75" customHeight="1">
      <c r="A120" s="45">
        <v>314.0</v>
      </c>
      <c r="B120" s="45" t="str">
        <f t="shared" si="14"/>
        <v>#NAME?</v>
      </c>
      <c r="C120" s="45">
        <f t="shared" si="15"/>
        <v>7</v>
      </c>
      <c r="D120" s="75">
        <v>46221.0</v>
      </c>
      <c r="E120" s="75">
        <v>46221.0</v>
      </c>
      <c r="F120" s="45"/>
      <c r="G120" s="45" t="s">
        <v>905</v>
      </c>
      <c r="H120" s="61" t="s">
        <v>907</v>
      </c>
      <c r="I120" s="48">
        <v>8730.0</v>
      </c>
      <c r="J120" s="48"/>
      <c r="K120" s="48">
        <f t="shared" si="7"/>
        <v>398926</v>
      </c>
      <c r="L120" s="77" t="s">
        <v>45</v>
      </c>
      <c r="M120" s="77" t="s">
        <v>110</v>
      </c>
      <c r="N120" s="64"/>
      <c r="O120" s="77" t="s">
        <v>60</v>
      </c>
      <c r="P120" s="30" t="s">
        <v>57</v>
      </c>
      <c r="Q120" s="64" t="s">
        <v>58</v>
      </c>
      <c r="R120" s="30"/>
      <c r="S120" s="30"/>
      <c r="T120" s="30"/>
      <c r="U120" s="30" t="s">
        <v>103</v>
      </c>
      <c r="V120" s="30"/>
      <c r="W120" s="51" t="str">
        <f t="shared" si="16"/>
        <v>#NAME?</v>
      </c>
      <c r="X120" s="2"/>
      <c r="Y120" s="2"/>
      <c r="Z120" s="2"/>
      <c r="AA120" s="2"/>
      <c r="AB120" s="2"/>
      <c r="AC120" s="2"/>
      <c r="AD120" s="2"/>
      <c r="AE120" s="2"/>
    </row>
    <row r="121" ht="15.75" customHeight="1">
      <c r="A121" s="45">
        <v>313.0</v>
      </c>
      <c r="B121" s="45" t="str">
        <f t="shared" si="14"/>
        <v>#NAME?</v>
      </c>
      <c r="C121" s="45">
        <f t="shared" si="15"/>
        <v>7</v>
      </c>
      <c r="D121" s="75">
        <v>46221.0</v>
      </c>
      <c r="E121" s="75">
        <v>46221.0</v>
      </c>
      <c r="F121" s="45"/>
      <c r="G121" s="45" t="s">
        <v>912</v>
      </c>
      <c r="H121" s="61" t="s">
        <v>913</v>
      </c>
      <c r="I121" s="48">
        <v>29507.0</v>
      </c>
      <c r="J121" s="48"/>
      <c r="K121" s="48">
        <f t="shared" si="7"/>
        <v>407656</v>
      </c>
      <c r="L121" s="77" t="s">
        <v>45</v>
      </c>
      <c r="M121" s="77" t="s">
        <v>110</v>
      </c>
      <c r="N121" s="64"/>
      <c r="O121" s="77" t="s">
        <v>60</v>
      </c>
      <c r="P121" s="30" t="s">
        <v>57</v>
      </c>
      <c r="Q121" s="64" t="s">
        <v>58</v>
      </c>
      <c r="R121" s="30"/>
      <c r="S121" s="30"/>
      <c r="T121" s="30"/>
      <c r="U121" s="30" t="s">
        <v>103</v>
      </c>
      <c r="V121" s="30"/>
      <c r="W121" s="51" t="str">
        <f t="shared" si="16"/>
        <v>#NAME?</v>
      </c>
      <c r="X121" s="2"/>
      <c r="Y121" s="2"/>
      <c r="Z121" s="2"/>
      <c r="AA121" s="2"/>
      <c r="AB121" s="2"/>
      <c r="AC121" s="2"/>
      <c r="AD121" s="2"/>
      <c r="AE121" s="2"/>
    </row>
    <row r="122" ht="15.75" customHeight="1">
      <c r="A122" s="45">
        <v>312.0</v>
      </c>
      <c r="B122" s="45" t="str">
        <f t="shared" si="14"/>
        <v>#NAME?</v>
      </c>
      <c r="C122" s="45">
        <f t="shared" si="15"/>
        <v>7</v>
      </c>
      <c r="D122" s="75">
        <v>46221.0</v>
      </c>
      <c r="E122" s="75">
        <v>46221.0</v>
      </c>
      <c r="F122" s="45"/>
      <c r="G122" s="45" t="s">
        <v>919</v>
      </c>
      <c r="H122" s="61" t="s">
        <v>920</v>
      </c>
      <c r="I122" s="48">
        <v>10538.0</v>
      </c>
      <c r="J122" s="48"/>
      <c r="K122" s="48">
        <f t="shared" si="7"/>
        <v>437163</v>
      </c>
      <c r="L122" s="77" t="s">
        <v>45</v>
      </c>
      <c r="M122" s="77" t="s">
        <v>110</v>
      </c>
      <c r="N122" s="64"/>
      <c r="O122" s="77" t="s">
        <v>60</v>
      </c>
      <c r="P122" s="30" t="s">
        <v>57</v>
      </c>
      <c r="Q122" s="64" t="s">
        <v>58</v>
      </c>
      <c r="R122" s="30"/>
      <c r="S122" s="30"/>
      <c r="T122" s="30"/>
      <c r="U122" s="30" t="s">
        <v>103</v>
      </c>
      <c r="V122" s="30"/>
      <c r="W122" s="51" t="str">
        <f t="shared" si="16"/>
        <v>#NAME?</v>
      </c>
      <c r="X122" s="2"/>
      <c r="Y122" s="2"/>
      <c r="Z122" s="2"/>
      <c r="AA122" s="2"/>
      <c r="AB122" s="2"/>
      <c r="AC122" s="2"/>
      <c r="AD122" s="2"/>
      <c r="AE122" s="2"/>
    </row>
    <row r="123" ht="15.75" customHeight="1">
      <c r="A123" s="45">
        <v>311.0</v>
      </c>
      <c r="B123" s="45" t="str">
        <f t="shared" si="14"/>
        <v>#NAME?</v>
      </c>
      <c r="C123" s="45">
        <f t="shared" si="15"/>
        <v>7</v>
      </c>
      <c r="D123" s="75">
        <v>46221.0</v>
      </c>
      <c r="E123" s="75">
        <v>46221.0</v>
      </c>
      <c r="F123" s="45"/>
      <c r="G123" s="45" t="s">
        <v>927</v>
      </c>
      <c r="H123" s="61" t="s">
        <v>928</v>
      </c>
      <c r="I123" s="48">
        <v>10498.0</v>
      </c>
      <c r="J123" s="48"/>
      <c r="K123" s="48">
        <f t="shared" si="7"/>
        <v>447701</v>
      </c>
      <c r="L123" s="77" t="s">
        <v>45</v>
      </c>
      <c r="M123" s="77" t="s">
        <v>110</v>
      </c>
      <c r="N123" s="64"/>
      <c r="O123" s="77" t="s">
        <v>60</v>
      </c>
      <c r="P123" s="30" t="s">
        <v>57</v>
      </c>
      <c r="Q123" s="64" t="s">
        <v>58</v>
      </c>
      <c r="R123" s="30"/>
      <c r="S123" s="30"/>
      <c r="T123" s="30"/>
      <c r="U123" s="30" t="s">
        <v>103</v>
      </c>
      <c r="V123" s="30"/>
      <c r="W123" s="51" t="str">
        <f t="shared" si="16"/>
        <v>#NAME?</v>
      </c>
      <c r="X123" s="2"/>
      <c r="Y123" s="2"/>
      <c r="Z123" s="2"/>
      <c r="AA123" s="2"/>
      <c r="AB123" s="2"/>
      <c r="AC123" s="2"/>
      <c r="AD123" s="2"/>
      <c r="AE123" s="2"/>
    </row>
    <row r="124" ht="15.75" customHeight="1">
      <c r="A124" s="45">
        <v>310.0</v>
      </c>
      <c r="B124" s="45" t="str">
        <f t="shared" si="14"/>
        <v>#NAME?</v>
      </c>
      <c r="C124" s="45">
        <f t="shared" si="15"/>
        <v>7</v>
      </c>
      <c r="D124" s="75">
        <v>46221.0</v>
      </c>
      <c r="E124" s="75">
        <v>46221.0</v>
      </c>
      <c r="F124" s="45"/>
      <c r="G124" s="45" t="s">
        <v>932</v>
      </c>
      <c r="H124" s="61" t="s">
        <v>933</v>
      </c>
      <c r="I124" s="48">
        <v>10187.0</v>
      </c>
      <c r="J124" s="48"/>
      <c r="K124" s="48">
        <f t="shared" si="7"/>
        <v>458199</v>
      </c>
      <c r="L124" s="77" t="s">
        <v>45</v>
      </c>
      <c r="M124" s="77" t="s">
        <v>110</v>
      </c>
      <c r="N124" s="64"/>
      <c r="O124" s="77" t="s">
        <v>60</v>
      </c>
      <c r="P124" s="30" t="s">
        <v>57</v>
      </c>
      <c r="Q124" s="64" t="s">
        <v>58</v>
      </c>
      <c r="R124" s="30"/>
      <c r="S124" s="30"/>
      <c r="T124" s="30"/>
      <c r="U124" s="30" t="s">
        <v>103</v>
      </c>
      <c r="V124" s="30"/>
      <c r="W124" s="51" t="str">
        <f t="shared" si="16"/>
        <v>#NAME?</v>
      </c>
      <c r="X124" s="2"/>
      <c r="Y124" s="2"/>
      <c r="Z124" s="2"/>
      <c r="AA124" s="2"/>
      <c r="AB124" s="2"/>
      <c r="AC124" s="2"/>
      <c r="AD124" s="2"/>
      <c r="AE124" s="2"/>
    </row>
    <row r="125" ht="15.75" customHeight="1">
      <c r="A125" s="45">
        <v>309.0</v>
      </c>
      <c r="B125" s="45" t="str">
        <f t="shared" si="14"/>
        <v>#NAME?</v>
      </c>
      <c r="C125" s="45">
        <f t="shared" si="15"/>
        <v>7</v>
      </c>
      <c r="D125" s="75">
        <v>46221.0</v>
      </c>
      <c r="E125" s="75">
        <v>46221.0</v>
      </c>
      <c r="F125" s="45"/>
      <c r="G125" s="45" t="s">
        <v>938</v>
      </c>
      <c r="H125" s="61" t="s">
        <v>939</v>
      </c>
      <c r="I125" s="48">
        <v>4599.0</v>
      </c>
      <c r="J125" s="48"/>
      <c r="K125" s="48">
        <f t="shared" si="7"/>
        <v>468386</v>
      </c>
      <c r="L125" s="77" t="s">
        <v>45</v>
      </c>
      <c r="M125" s="77" t="s">
        <v>110</v>
      </c>
      <c r="N125" s="64"/>
      <c r="O125" s="77" t="s">
        <v>60</v>
      </c>
      <c r="P125" s="30" t="s">
        <v>57</v>
      </c>
      <c r="Q125" s="64" t="s">
        <v>58</v>
      </c>
      <c r="R125" s="30"/>
      <c r="S125" s="30"/>
      <c r="T125" s="30"/>
      <c r="U125" s="30" t="s">
        <v>103</v>
      </c>
      <c r="V125" s="30"/>
      <c r="W125" s="51" t="str">
        <f t="shared" si="16"/>
        <v>#NAME?</v>
      </c>
      <c r="X125" s="2"/>
      <c r="Y125" s="2"/>
      <c r="Z125" s="2"/>
      <c r="AA125" s="2"/>
      <c r="AB125" s="2"/>
      <c r="AC125" s="2"/>
      <c r="AD125" s="2"/>
      <c r="AE125" s="2"/>
    </row>
    <row r="126" ht="15.75" customHeight="1">
      <c r="A126" s="45">
        <v>308.0</v>
      </c>
      <c r="B126" s="45" t="str">
        <f t="shared" si="14"/>
        <v>#NAME?</v>
      </c>
      <c r="C126" s="45">
        <f t="shared" si="15"/>
        <v>7</v>
      </c>
      <c r="D126" s="75">
        <v>46221.0</v>
      </c>
      <c r="E126" s="75">
        <v>46221.0</v>
      </c>
      <c r="F126" s="45"/>
      <c r="G126" s="45" t="s">
        <v>943</v>
      </c>
      <c r="H126" s="61" t="s">
        <v>944</v>
      </c>
      <c r="I126" s="48">
        <v>727.0</v>
      </c>
      <c r="J126" s="48"/>
      <c r="K126" s="48">
        <f t="shared" si="7"/>
        <v>472985</v>
      </c>
      <c r="L126" s="77" t="s">
        <v>45</v>
      </c>
      <c r="M126" s="77" t="s">
        <v>110</v>
      </c>
      <c r="N126" s="64"/>
      <c r="O126" s="77" t="s">
        <v>60</v>
      </c>
      <c r="P126" s="30" t="s">
        <v>57</v>
      </c>
      <c r="Q126" s="64" t="s">
        <v>58</v>
      </c>
      <c r="R126" s="30"/>
      <c r="S126" s="30"/>
      <c r="T126" s="30"/>
      <c r="U126" s="30" t="s">
        <v>103</v>
      </c>
      <c r="V126" s="30"/>
      <c r="W126" s="51" t="str">
        <f t="shared" si="16"/>
        <v>#NAME?</v>
      </c>
      <c r="X126" s="2"/>
      <c r="Y126" s="2"/>
      <c r="Z126" s="2"/>
      <c r="AA126" s="2"/>
      <c r="AB126" s="2"/>
      <c r="AC126" s="2"/>
      <c r="AD126" s="2"/>
      <c r="AE126" s="2"/>
    </row>
    <row r="127" ht="15.75" customHeight="1">
      <c r="A127" s="45">
        <v>307.0</v>
      </c>
      <c r="B127" s="45" t="str">
        <f t="shared" si="14"/>
        <v>#NAME?</v>
      </c>
      <c r="C127" s="45">
        <f t="shared" si="15"/>
        <v>7</v>
      </c>
      <c r="D127" s="75">
        <v>46221.0</v>
      </c>
      <c r="E127" s="75">
        <v>46221.0</v>
      </c>
      <c r="F127" s="45"/>
      <c r="G127" s="45" t="s">
        <v>946</v>
      </c>
      <c r="H127" s="61" t="s">
        <v>947</v>
      </c>
      <c r="I127" s="48">
        <v>36898.0</v>
      </c>
      <c r="J127" s="48"/>
      <c r="K127" s="48">
        <f t="shared" si="7"/>
        <v>473712</v>
      </c>
      <c r="L127" s="77" t="s">
        <v>45</v>
      </c>
      <c r="M127" s="77" t="s">
        <v>110</v>
      </c>
      <c r="N127" s="64"/>
      <c r="O127" s="77" t="s">
        <v>60</v>
      </c>
      <c r="P127" s="30" t="s">
        <v>57</v>
      </c>
      <c r="Q127" s="64" t="s">
        <v>58</v>
      </c>
      <c r="R127" s="30"/>
      <c r="S127" s="30"/>
      <c r="T127" s="30"/>
      <c r="U127" s="30" t="s">
        <v>103</v>
      </c>
      <c r="V127" s="30"/>
      <c r="W127" s="51" t="str">
        <f t="shared" si="16"/>
        <v>#NAME?</v>
      </c>
      <c r="X127" s="2"/>
      <c r="Y127" s="2"/>
      <c r="Z127" s="2"/>
      <c r="AA127" s="2"/>
      <c r="AB127" s="2"/>
      <c r="AC127" s="2"/>
      <c r="AD127" s="2"/>
      <c r="AE127" s="2"/>
    </row>
    <row r="128" ht="15.75" customHeight="1">
      <c r="A128" s="45">
        <v>306.0</v>
      </c>
      <c r="B128" s="45" t="str">
        <f t="shared" si="14"/>
        <v>#NAME?</v>
      </c>
      <c r="C128" s="45">
        <f t="shared" si="15"/>
        <v>7</v>
      </c>
      <c r="D128" s="75">
        <v>46221.0</v>
      </c>
      <c r="E128" s="75">
        <v>46221.0</v>
      </c>
      <c r="F128" s="45"/>
      <c r="G128" s="45" t="s">
        <v>840</v>
      </c>
      <c r="H128" s="61" t="s">
        <v>385</v>
      </c>
      <c r="I128" s="48">
        <v>200000.0</v>
      </c>
      <c r="J128" s="48"/>
      <c r="K128" s="48">
        <f t="shared" si="7"/>
        <v>510610</v>
      </c>
      <c r="L128" s="77" t="s">
        <v>45</v>
      </c>
      <c r="M128" s="77" t="s">
        <v>47</v>
      </c>
      <c r="N128" s="64"/>
      <c r="O128" s="77" t="s">
        <v>60</v>
      </c>
      <c r="P128" s="30" t="s">
        <v>74</v>
      </c>
      <c r="Q128" s="64" t="s">
        <v>50</v>
      </c>
      <c r="R128" s="30"/>
      <c r="S128" s="30"/>
      <c r="T128" s="30"/>
      <c r="U128" s="30" t="s">
        <v>75</v>
      </c>
      <c r="V128" s="30"/>
      <c r="W128" s="51" t="str">
        <f t="shared" si="16"/>
        <v>#NAME?</v>
      </c>
      <c r="X128" s="2"/>
      <c r="Y128" s="2"/>
      <c r="Z128" s="2"/>
      <c r="AA128" s="2"/>
      <c r="AB128" s="2"/>
      <c r="AC128" s="2"/>
      <c r="AD128" s="2"/>
      <c r="AE128" s="2"/>
    </row>
    <row r="129" ht="15.75" customHeight="1">
      <c r="A129" s="45">
        <v>305.0</v>
      </c>
      <c r="B129" s="45" t="str">
        <f t="shared" si="14"/>
        <v>#NAME?</v>
      </c>
      <c r="C129" s="45">
        <f t="shared" si="15"/>
        <v>7</v>
      </c>
      <c r="D129" s="75">
        <v>46221.0</v>
      </c>
      <c r="E129" s="75">
        <v>46221.0</v>
      </c>
      <c r="F129" s="45"/>
      <c r="G129" s="45" t="s">
        <v>956</v>
      </c>
      <c r="H129" s="61" t="s">
        <v>958</v>
      </c>
      <c r="I129" s="48">
        <v>13751.0</v>
      </c>
      <c r="J129" s="48"/>
      <c r="K129" s="48">
        <f t="shared" si="7"/>
        <v>710610</v>
      </c>
      <c r="L129" s="77" t="s">
        <v>45</v>
      </c>
      <c r="M129" s="77" t="s">
        <v>110</v>
      </c>
      <c r="N129" s="64"/>
      <c r="O129" s="77" t="s">
        <v>60</v>
      </c>
      <c r="P129" s="30" t="s">
        <v>57</v>
      </c>
      <c r="Q129" s="64" t="s">
        <v>58</v>
      </c>
      <c r="R129" s="30"/>
      <c r="S129" s="30"/>
      <c r="T129" s="30"/>
      <c r="U129" s="30" t="s">
        <v>103</v>
      </c>
      <c r="V129" s="30"/>
      <c r="W129" s="51" t="str">
        <f t="shared" si="16"/>
        <v>#NAME?</v>
      </c>
      <c r="X129" s="2"/>
      <c r="Y129" s="2"/>
      <c r="Z129" s="2"/>
      <c r="AA129" s="2"/>
      <c r="AB129" s="2"/>
      <c r="AC129" s="2"/>
      <c r="AD129" s="2"/>
      <c r="AE129" s="2"/>
    </row>
    <row r="130" ht="15.75" customHeight="1">
      <c r="A130" s="45">
        <v>304.0</v>
      </c>
      <c r="B130" s="45" t="str">
        <f t="shared" si="14"/>
        <v>#NAME?</v>
      </c>
      <c r="C130" s="45">
        <f t="shared" si="15"/>
        <v>7</v>
      </c>
      <c r="D130" s="75">
        <v>46221.0</v>
      </c>
      <c r="E130" s="75">
        <v>46221.0</v>
      </c>
      <c r="F130" s="45"/>
      <c r="G130" s="45" t="s">
        <v>960</v>
      </c>
      <c r="H130" s="61" t="s">
        <v>961</v>
      </c>
      <c r="I130" s="48">
        <v>26327.0</v>
      </c>
      <c r="J130" s="48"/>
      <c r="K130" s="48">
        <f t="shared" si="7"/>
        <v>724361</v>
      </c>
      <c r="L130" s="77" t="s">
        <v>45</v>
      </c>
      <c r="M130" s="77" t="s">
        <v>110</v>
      </c>
      <c r="N130" s="64"/>
      <c r="O130" s="77" t="s">
        <v>60</v>
      </c>
      <c r="P130" s="30" t="s">
        <v>57</v>
      </c>
      <c r="Q130" s="64" t="s">
        <v>58</v>
      </c>
      <c r="R130" s="30"/>
      <c r="S130" s="30"/>
      <c r="T130" s="30"/>
      <c r="U130" s="30" t="s">
        <v>103</v>
      </c>
      <c r="V130" s="30"/>
      <c r="W130" s="51" t="str">
        <f t="shared" si="16"/>
        <v>#NAME?</v>
      </c>
      <c r="X130" s="2"/>
      <c r="Y130" s="2"/>
      <c r="Z130" s="2"/>
      <c r="AA130" s="2"/>
      <c r="AB130" s="2"/>
      <c r="AC130" s="2"/>
      <c r="AD130" s="2"/>
      <c r="AE130" s="2"/>
    </row>
    <row r="131" ht="15.75" customHeight="1">
      <c r="A131" s="45">
        <v>303.0</v>
      </c>
      <c r="B131" s="45" t="str">
        <f t="shared" si="14"/>
        <v>#NAME?</v>
      </c>
      <c r="C131" s="45">
        <f t="shared" si="15"/>
        <v>7</v>
      </c>
      <c r="D131" s="75">
        <v>46221.0</v>
      </c>
      <c r="E131" s="75">
        <v>46221.0</v>
      </c>
      <c r="F131" s="45"/>
      <c r="G131" s="45" t="s">
        <v>967</v>
      </c>
      <c r="H131" s="61" t="s">
        <v>969</v>
      </c>
      <c r="I131" s="48">
        <v>23891.0</v>
      </c>
      <c r="J131" s="48"/>
      <c r="K131" s="48">
        <f t="shared" si="7"/>
        <v>750688</v>
      </c>
      <c r="L131" s="77" t="s">
        <v>45</v>
      </c>
      <c r="M131" s="77" t="s">
        <v>55</v>
      </c>
      <c r="N131" s="64"/>
      <c r="O131" s="77" t="s">
        <v>60</v>
      </c>
      <c r="P131" s="30" t="s">
        <v>57</v>
      </c>
      <c r="Q131" s="64" t="s">
        <v>58</v>
      </c>
      <c r="R131" s="30"/>
      <c r="S131" s="30"/>
      <c r="T131" s="30"/>
      <c r="U131" s="30" t="s">
        <v>156</v>
      </c>
      <c r="V131" s="30"/>
      <c r="W131" s="51" t="str">
        <f t="shared" si="16"/>
        <v>#NAME?</v>
      </c>
      <c r="X131" s="2"/>
      <c r="Y131" s="2"/>
      <c r="Z131" s="2"/>
      <c r="AA131" s="2"/>
      <c r="AB131" s="2"/>
      <c r="AC131" s="2"/>
      <c r="AD131" s="2"/>
      <c r="AE131" s="2"/>
    </row>
    <row r="132" ht="15.75" customHeight="1">
      <c r="A132" s="45">
        <v>302.0</v>
      </c>
      <c r="B132" s="45" t="str">
        <f t="shared" si="14"/>
        <v>#NAME?</v>
      </c>
      <c r="C132" s="45">
        <f t="shared" si="15"/>
        <v>7</v>
      </c>
      <c r="D132" s="75">
        <v>46221.0</v>
      </c>
      <c r="E132" s="75">
        <v>46221.0</v>
      </c>
      <c r="F132" s="45"/>
      <c r="G132" s="45" t="s">
        <v>972</v>
      </c>
      <c r="H132" s="61" t="s">
        <v>973</v>
      </c>
      <c r="I132" s="48">
        <v>15906.0</v>
      </c>
      <c r="J132" s="48"/>
      <c r="K132" s="48">
        <f t="shared" si="7"/>
        <v>774579</v>
      </c>
      <c r="L132" s="77" t="s">
        <v>45</v>
      </c>
      <c r="M132" s="77" t="s">
        <v>110</v>
      </c>
      <c r="N132" s="64"/>
      <c r="O132" s="77" t="s">
        <v>60</v>
      </c>
      <c r="P132" s="30" t="s">
        <v>57</v>
      </c>
      <c r="Q132" s="64" t="s">
        <v>58</v>
      </c>
      <c r="R132" s="30"/>
      <c r="S132" s="30"/>
      <c r="T132" s="30"/>
      <c r="U132" s="30" t="s">
        <v>103</v>
      </c>
      <c r="V132" s="30"/>
      <c r="W132" s="51" t="str">
        <f t="shared" si="16"/>
        <v>#NAME?</v>
      </c>
      <c r="X132" s="2"/>
      <c r="Y132" s="2"/>
      <c r="Z132" s="2"/>
      <c r="AA132" s="2"/>
      <c r="AB132" s="2"/>
      <c r="AC132" s="2"/>
      <c r="AD132" s="2"/>
      <c r="AE132" s="2"/>
    </row>
    <row r="133" ht="15.75" customHeight="1">
      <c r="A133" s="45">
        <v>301.0</v>
      </c>
      <c r="B133" s="45" t="str">
        <f t="shared" si="14"/>
        <v>#NAME?</v>
      </c>
      <c r="C133" s="45">
        <f t="shared" si="15"/>
        <v>7</v>
      </c>
      <c r="D133" s="75">
        <v>46221.0</v>
      </c>
      <c r="E133" s="75">
        <v>46221.0</v>
      </c>
      <c r="F133" s="45"/>
      <c r="G133" s="45" t="s">
        <v>978</v>
      </c>
      <c r="H133" s="61" t="s">
        <v>979</v>
      </c>
      <c r="I133" s="48">
        <v>7275.0</v>
      </c>
      <c r="J133" s="48"/>
      <c r="K133" s="48">
        <f t="shared" si="7"/>
        <v>790485</v>
      </c>
      <c r="L133" s="77" t="s">
        <v>45</v>
      </c>
      <c r="M133" s="77" t="s">
        <v>110</v>
      </c>
      <c r="N133" s="64"/>
      <c r="O133" s="77" t="s">
        <v>60</v>
      </c>
      <c r="P133" s="30" t="s">
        <v>57</v>
      </c>
      <c r="Q133" s="64" t="s">
        <v>58</v>
      </c>
      <c r="R133" s="30"/>
      <c r="S133" s="30"/>
      <c r="T133" s="30"/>
      <c r="U133" s="30" t="s">
        <v>103</v>
      </c>
      <c r="V133" s="30"/>
      <c r="W133" s="51" t="str">
        <f t="shared" si="16"/>
        <v>#NAME?</v>
      </c>
      <c r="X133" s="2"/>
      <c r="Y133" s="2"/>
      <c r="Z133" s="2"/>
      <c r="AA133" s="2"/>
      <c r="AB133" s="2"/>
      <c r="AC133" s="2"/>
      <c r="AD133" s="2"/>
      <c r="AE133" s="2"/>
    </row>
    <row r="134" ht="15.75" customHeight="1">
      <c r="A134" s="45">
        <v>300.0</v>
      </c>
      <c r="B134" s="45" t="str">
        <f t="shared" si="14"/>
        <v>#NAME?</v>
      </c>
      <c r="C134" s="45">
        <f t="shared" si="15"/>
        <v>7</v>
      </c>
      <c r="D134" s="75">
        <v>46221.0</v>
      </c>
      <c r="E134" s="75">
        <v>46221.0</v>
      </c>
      <c r="F134" s="45"/>
      <c r="G134" s="45" t="s">
        <v>983</v>
      </c>
      <c r="H134" s="61" t="s">
        <v>984</v>
      </c>
      <c r="I134" s="48">
        <v>26298.0</v>
      </c>
      <c r="J134" s="48"/>
      <c r="K134" s="48">
        <f t="shared" si="7"/>
        <v>797760</v>
      </c>
      <c r="L134" s="77" t="s">
        <v>45</v>
      </c>
      <c r="M134" s="77" t="s">
        <v>110</v>
      </c>
      <c r="N134" s="64"/>
      <c r="O134" s="77" t="s">
        <v>60</v>
      </c>
      <c r="P134" s="30" t="s">
        <v>57</v>
      </c>
      <c r="Q134" s="64" t="s">
        <v>58</v>
      </c>
      <c r="R134" s="30"/>
      <c r="S134" s="30"/>
      <c r="T134" s="30"/>
      <c r="U134" s="30" t="s">
        <v>103</v>
      </c>
      <c r="V134" s="30"/>
      <c r="W134" s="51" t="str">
        <f t="shared" si="16"/>
        <v>#NAME?</v>
      </c>
      <c r="X134" s="2"/>
      <c r="Y134" s="2"/>
      <c r="Z134" s="2"/>
      <c r="AA134" s="2"/>
      <c r="AB134" s="2"/>
      <c r="AC134" s="2"/>
      <c r="AD134" s="2"/>
      <c r="AE134" s="2"/>
    </row>
    <row r="135" ht="15.75" customHeight="1">
      <c r="A135" s="45">
        <v>299.0</v>
      </c>
      <c r="B135" s="45" t="str">
        <f t="shared" si="14"/>
        <v>#NAME?</v>
      </c>
      <c r="C135" s="45">
        <f t="shared" si="15"/>
        <v>7</v>
      </c>
      <c r="D135" s="75">
        <v>46221.0</v>
      </c>
      <c r="E135" s="75">
        <v>46221.0</v>
      </c>
      <c r="F135" s="45"/>
      <c r="G135" s="45" t="s">
        <v>986</v>
      </c>
      <c r="H135" s="61" t="s">
        <v>988</v>
      </c>
      <c r="I135" s="48">
        <v>9233.0</v>
      </c>
      <c r="J135" s="48"/>
      <c r="K135" s="48">
        <f t="shared" si="7"/>
        <v>824058</v>
      </c>
      <c r="L135" s="77" t="s">
        <v>45</v>
      </c>
      <c r="M135" s="77" t="s">
        <v>110</v>
      </c>
      <c r="N135" s="64"/>
      <c r="O135" s="77" t="s">
        <v>60</v>
      </c>
      <c r="P135" s="30" t="s">
        <v>57</v>
      </c>
      <c r="Q135" s="64" t="s">
        <v>58</v>
      </c>
      <c r="R135" s="30"/>
      <c r="S135" s="30"/>
      <c r="T135" s="30"/>
      <c r="U135" s="30" t="s">
        <v>103</v>
      </c>
      <c r="V135" s="30"/>
      <c r="W135" s="51" t="str">
        <f t="shared" si="16"/>
        <v>#NAME?</v>
      </c>
      <c r="X135" s="2"/>
      <c r="Y135" s="2"/>
      <c r="Z135" s="2"/>
      <c r="AA135" s="2"/>
      <c r="AB135" s="2"/>
      <c r="AC135" s="2"/>
      <c r="AD135" s="2"/>
      <c r="AE135" s="2"/>
    </row>
    <row r="136" ht="15.75" customHeight="1">
      <c r="A136" s="45">
        <v>298.0</v>
      </c>
      <c r="B136" s="45" t="str">
        <f t="shared" si="14"/>
        <v>#NAME?</v>
      </c>
      <c r="C136" s="45">
        <f t="shared" si="15"/>
        <v>7</v>
      </c>
      <c r="D136" s="75">
        <v>46221.0</v>
      </c>
      <c r="E136" s="75">
        <v>46221.0</v>
      </c>
      <c r="F136" s="45"/>
      <c r="G136" s="45" t="s">
        <v>992</v>
      </c>
      <c r="H136" s="61" t="s">
        <v>993</v>
      </c>
      <c r="I136" s="48">
        <v>12043.0</v>
      </c>
      <c r="J136" s="48"/>
      <c r="K136" s="48">
        <f t="shared" si="7"/>
        <v>833291</v>
      </c>
      <c r="L136" s="77" t="s">
        <v>45</v>
      </c>
      <c r="M136" s="77" t="s">
        <v>110</v>
      </c>
      <c r="N136" s="64"/>
      <c r="O136" s="77" t="s">
        <v>60</v>
      </c>
      <c r="P136" s="30" t="s">
        <v>57</v>
      </c>
      <c r="Q136" s="64" t="s">
        <v>58</v>
      </c>
      <c r="R136" s="30"/>
      <c r="S136" s="30"/>
      <c r="T136" s="30"/>
      <c r="U136" s="30" t="s">
        <v>103</v>
      </c>
      <c r="V136" s="30"/>
      <c r="W136" s="51" t="str">
        <f t="shared" si="16"/>
        <v>#NAME?</v>
      </c>
      <c r="X136" s="2"/>
      <c r="Y136" s="2"/>
      <c r="Z136" s="2"/>
      <c r="AA136" s="2"/>
      <c r="AB136" s="2"/>
      <c r="AC136" s="2"/>
      <c r="AD136" s="2"/>
      <c r="AE136" s="2"/>
    </row>
    <row r="137" ht="15.75" customHeight="1">
      <c r="A137" s="45">
        <v>297.0</v>
      </c>
      <c r="B137" s="45" t="str">
        <f t="shared" si="14"/>
        <v>#NAME?</v>
      </c>
      <c r="C137" s="45">
        <f t="shared" si="15"/>
        <v>7</v>
      </c>
      <c r="D137" s="75">
        <v>46218.0</v>
      </c>
      <c r="E137" s="75">
        <v>46218.0</v>
      </c>
      <c r="F137" s="45"/>
      <c r="G137" s="45" t="s">
        <v>392</v>
      </c>
      <c r="H137" s="61" t="s">
        <v>176</v>
      </c>
      <c r="I137" s="48"/>
      <c r="J137" s="48">
        <v>550000.0</v>
      </c>
      <c r="K137" s="48">
        <f t="shared" si="7"/>
        <v>845334</v>
      </c>
      <c r="L137" s="77" t="s">
        <v>45</v>
      </c>
      <c r="M137" s="77" t="s">
        <v>47</v>
      </c>
      <c r="N137" s="64"/>
      <c r="O137" s="77" t="s">
        <v>60</v>
      </c>
      <c r="P137" s="30" t="s">
        <v>49</v>
      </c>
      <c r="Q137" s="64" t="s">
        <v>50</v>
      </c>
      <c r="R137" s="30"/>
      <c r="S137" s="30"/>
      <c r="T137" s="30"/>
      <c r="U137" s="30" t="s">
        <v>75</v>
      </c>
      <c r="V137" s="30"/>
      <c r="W137" s="51" t="str">
        <f t="shared" si="16"/>
        <v>#NAME?</v>
      </c>
      <c r="X137" s="2"/>
      <c r="Y137" s="2"/>
      <c r="Z137" s="2"/>
      <c r="AA137" s="2"/>
      <c r="AB137" s="2"/>
      <c r="AC137" s="2"/>
      <c r="AD137" s="2"/>
      <c r="AE137" s="2"/>
    </row>
    <row r="138" ht="15.75" customHeight="1">
      <c r="A138" s="45">
        <v>296.0</v>
      </c>
      <c r="B138" s="45" t="str">
        <f t="shared" si="14"/>
        <v>#NAME?</v>
      </c>
      <c r="C138" s="45">
        <f t="shared" si="15"/>
        <v>7</v>
      </c>
      <c r="D138" s="75">
        <v>46216.0</v>
      </c>
      <c r="E138" s="75">
        <v>46216.0</v>
      </c>
      <c r="F138" s="45"/>
      <c r="G138" s="45" t="s">
        <v>996</v>
      </c>
      <c r="H138" s="61" t="s">
        <v>997</v>
      </c>
      <c r="I138" s="48">
        <v>125316.0</v>
      </c>
      <c r="J138" s="48"/>
      <c r="K138" s="48">
        <f t="shared" si="7"/>
        <v>295334</v>
      </c>
      <c r="L138" s="77" t="s">
        <v>45</v>
      </c>
      <c r="M138" s="77" t="s">
        <v>67</v>
      </c>
      <c r="N138" s="64"/>
      <c r="O138" s="77" t="s">
        <v>60</v>
      </c>
      <c r="P138" s="30" t="s">
        <v>57</v>
      </c>
      <c r="Q138" s="64" t="s">
        <v>58</v>
      </c>
      <c r="R138" s="30"/>
      <c r="S138" s="30"/>
      <c r="T138" s="30"/>
      <c r="U138" s="30" t="s">
        <v>499</v>
      </c>
      <c r="V138" s="30"/>
      <c r="W138" s="51" t="str">
        <f t="shared" si="16"/>
        <v>#NAME?</v>
      </c>
      <c r="X138" s="2"/>
      <c r="Y138" s="2"/>
      <c r="Z138" s="2"/>
      <c r="AA138" s="2"/>
      <c r="AB138" s="2"/>
      <c r="AC138" s="2"/>
      <c r="AD138" s="2"/>
      <c r="AE138" s="2"/>
    </row>
    <row r="139" ht="15.75" customHeight="1">
      <c r="A139" s="45">
        <v>295.0</v>
      </c>
      <c r="B139" s="45" t="str">
        <f t="shared" si="14"/>
        <v>#NAME?</v>
      </c>
      <c r="C139" s="45">
        <f t="shared" si="15"/>
        <v>7</v>
      </c>
      <c r="D139" s="75">
        <v>46216.0</v>
      </c>
      <c r="E139" s="75">
        <v>46216.0</v>
      </c>
      <c r="F139" s="45"/>
      <c r="G139" s="45" t="s">
        <v>1001</v>
      </c>
      <c r="H139" s="61" t="s">
        <v>1002</v>
      </c>
      <c r="I139" s="48">
        <v>56299.0</v>
      </c>
      <c r="J139" s="48"/>
      <c r="K139" s="48">
        <f t="shared" si="7"/>
        <v>420650</v>
      </c>
      <c r="L139" s="77" t="s">
        <v>45</v>
      </c>
      <c r="M139" s="77" t="s">
        <v>47</v>
      </c>
      <c r="N139" s="64"/>
      <c r="O139" s="77" t="s">
        <v>60</v>
      </c>
      <c r="P139" s="30" t="s">
        <v>47</v>
      </c>
      <c r="Q139" s="64" t="s">
        <v>50</v>
      </c>
      <c r="R139" s="30"/>
      <c r="S139" s="30"/>
      <c r="T139" s="30"/>
      <c r="U139" s="30" t="s">
        <v>75</v>
      </c>
      <c r="V139" s="30"/>
      <c r="W139" s="51" t="str">
        <f t="shared" si="16"/>
        <v>#NAME?</v>
      </c>
      <c r="X139" s="2"/>
      <c r="Y139" s="2"/>
      <c r="Z139" s="2"/>
      <c r="AA139" s="2"/>
      <c r="AB139" s="2"/>
      <c r="AC139" s="2"/>
      <c r="AD139" s="2"/>
      <c r="AE139" s="2"/>
    </row>
    <row r="140" ht="15.75" customHeight="1">
      <c r="A140" s="45">
        <v>294.0</v>
      </c>
      <c r="B140" s="45" t="str">
        <f t="shared" si="14"/>
        <v>#NAME?</v>
      </c>
      <c r="C140" s="45">
        <f t="shared" si="15"/>
        <v>7</v>
      </c>
      <c r="D140" s="75">
        <v>46216.0</v>
      </c>
      <c r="E140" s="75">
        <v>46216.0</v>
      </c>
      <c r="F140" s="45"/>
      <c r="G140" s="45" t="s">
        <v>1007</v>
      </c>
      <c r="H140" s="61" t="s">
        <v>1008</v>
      </c>
      <c r="I140" s="48">
        <v>98997.0</v>
      </c>
      <c r="J140" s="48"/>
      <c r="K140" s="48">
        <f t="shared" si="7"/>
        <v>476949</v>
      </c>
      <c r="L140" s="77" t="s">
        <v>45</v>
      </c>
      <c r="M140" s="77" t="s">
        <v>67</v>
      </c>
      <c r="N140" s="64"/>
      <c r="O140" s="77" t="s">
        <v>60</v>
      </c>
      <c r="P140" s="30" t="s">
        <v>57</v>
      </c>
      <c r="Q140" s="64" t="s">
        <v>58</v>
      </c>
      <c r="R140" s="30"/>
      <c r="S140" s="30"/>
      <c r="T140" s="30"/>
      <c r="U140" s="30" t="s">
        <v>499</v>
      </c>
      <c r="V140" s="30"/>
      <c r="W140" s="51" t="str">
        <f t="shared" si="16"/>
        <v>#NAME?</v>
      </c>
      <c r="X140" s="2"/>
      <c r="Y140" s="2"/>
      <c r="Z140" s="2"/>
      <c r="AA140" s="2"/>
      <c r="AB140" s="2"/>
      <c r="AC140" s="2"/>
      <c r="AD140" s="2"/>
      <c r="AE140" s="2"/>
    </row>
    <row r="141" ht="15.75" customHeight="1">
      <c r="A141" s="45">
        <v>293.0</v>
      </c>
      <c r="B141" s="45" t="str">
        <f t="shared" si="14"/>
        <v>#NAME?</v>
      </c>
      <c r="C141" s="45">
        <f t="shared" si="15"/>
        <v>7</v>
      </c>
      <c r="D141" s="75">
        <v>46216.0</v>
      </c>
      <c r="E141" s="75">
        <v>46216.0</v>
      </c>
      <c r="F141" s="45"/>
      <c r="G141" s="45" t="s">
        <v>1015</v>
      </c>
      <c r="H141" s="61" t="s">
        <v>1016</v>
      </c>
      <c r="I141" s="48">
        <v>14278.0</v>
      </c>
      <c r="J141" s="48"/>
      <c r="K141" s="48">
        <f t="shared" si="7"/>
        <v>575946</v>
      </c>
      <c r="L141" s="77" t="s">
        <v>45</v>
      </c>
      <c r="M141" s="77" t="s">
        <v>67</v>
      </c>
      <c r="N141" s="64"/>
      <c r="O141" s="77" t="s">
        <v>60</v>
      </c>
      <c r="P141" s="30" t="s">
        <v>57</v>
      </c>
      <c r="Q141" s="64" t="s">
        <v>58</v>
      </c>
      <c r="R141" s="30"/>
      <c r="S141" s="30"/>
      <c r="T141" s="30"/>
      <c r="U141" s="30" t="s">
        <v>499</v>
      </c>
      <c r="V141" s="30"/>
      <c r="W141" s="51" t="str">
        <f t="shared" si="16"/>
        <v>#NAME?</v>
      </c>
      <c r="X141" s="2"/>
      <c r="Y141" s="2"/>
      <c r="Z141" s="2"/>
      <c r="AA141" s="2"/>
      <c r="AB141" s="2"/>
      <c r="AC141" s="2"/>
      <c r="AD141" s="2"/>
      <c r="AE141" s="2"/>
    </row>
    <row r="142" ht="15.75" customHeight="1">
      <c r="A142" s="45">
        <v>292.0</v>
      </c>
      <c r="B142" s="45" t="str">
        <f t="shared" si="14"/>
        <v>#NAME?</v>
      </c>
      <c r="C142" s="45">
        <f t="shared" si="15"/>
        <v>7</v>
      </c>
      <c r="D142" s="75">
        <v>46216.0</v>
      </c>
      <c r="E142" s="75">
        <v>46216.0</v>
      </c>
      <c r="F142" s="45"/>
      <c r="G142" s="45" t="s">
        <v>392</v>
      </c>
      <c r="H142" s="61" t="s">
        <v>194</v>
      </c>
      <c r="I142" s="48"/>
      <c r="J142" s="48">
        <v>500000.0</v>
      </c>
      <c r="K142" s="48">
        <f t="shared" si="7"/>
        <v>590224</v>
      </c>
      <c r="L142" s="77" t="s">
        <v>45</v>
      </c>
      <c r="M142" s="77" t="s">
        <v>47</v>
      </c>
      <c r="N142" s="64"/>
      <c r="O142" s="77" t="s">
        <v>60</v>
      </c>
      <c r="P142" s="30" t="s">
        <v>49</v>
      </c>
      <c r="Q142" s="64" t="s">
        <v>50</v>
      </c>
      <c r="R142" s="30"/>
      <c r="S142" s="30"/>
      <c r="T142" s="30"/>
      <c r="U142" s="30" t="s">
        <v>75</v>
      </c>
      <c r="V142" s="30"/>
      <c r="W142" s="51" t="str">
        <f t="shared" si="16"/>
        <v>#NAME?</v>
      </c>
      <c r="X142" s="2"/>
      <c r="Y142" s="2"/>
      <c r="Z142" s="2"/>
      <c r="AA142" s="2"/>
      <c r="AB142" s="2"/>
      <c r="AC142" s="2"/>
      <c r="AD142" s="2"/>
      <c r="AE142" s="2"/>
    </row>
    <row r="143" ht="15.75" customHeight="1">
      <c r="A143" s="45">
        <v>291.0</v>
      </c>
      <c r="B143" s="45" t="str">
        <f t="shared" si="14"/>
        <v>#NAME?</v>
      </c>
      <c r="C143" s="45">
        <f t="shared" si="15"/>
        <v>7</v>
      </c>
      <c r="D143" s="75">
        <v>46214.0</v>
      </c>
      <c r="E143" s="75">
        <v>46214.0</v>
      </c>
      <c r="F143" s="45"/>
      <c r="G143" s="45" t="s">
        <v>1026</v>
      </c>
      <c r="H143" s="61" t="s">
        <v>1027</v>
      </c>
      <c r="I143" s="48">
        <v>2970.0</v>
      </c>
      <c r="J143" s="48"/>
      <c r="K143" s="48">
        <f t="shared" si="7"/>
        <v>90224</v>
      </c>
      <c r="L143" s="77" t="s">
        <v>45</v>
      </c>
      <c r="M143" s="77" t="s">
        <v>55</v>
      </c>
      <c r="N143" s="64"/>
      <c r="O143" s="77" t="s">
        <v>60</v>
      </c>
      <c r="P143" s="30" t="s">
        <v>57</v>
      </c>
      <c r="Q143" s="64" t="s">
        <v>58</v>
      </c>
      <c r="R143" s="30"/>
      <c r="S143" s="30"/>
      <c r="T143" s="30"/>
      <c r="U143" s="30" t="s">
        <v>156</v>
      </c>
      <c r="V143" s="30"/>
      <c r="W143" s="51" t="str">
        <f t="shared" si="16"/>
        <v>#NAME?</v>
      </c>
      <c r="X143" s="2"/>
      <c r="Y143" s="2"/>
      <c r="Z143" s="2"/>
      <c r="AA143" s="2"/>
      <c r="AB143" s="2"/>
      <c r="AC143" s="2"/>
      <c r="AD143" s="2"/>
      <c r="AE143" s="2"/>
    </row>
    <row r="144" ht="15.75" customHeight="1">
      <c r="A144" s="45">
        <v>290.0</v>
      </c>
      <c r="B144" s="45" t="str">
        <f t="shared" si="14"/>
        <v>#NAME?</v>
      </c>
      <c r="C144" s="45">
        <f t="shared" si="15"/>
        <v>7</v>
      </c>
      <c r="D144" s="75">
        <v>46214.0</v>
      </c>
      <c r="E144" s="75">
        <v>46214.0</v>
      </c>
      <c r="F144" s="45"/>
      <c r="G144" s="45" t="s">
        <v>1034</v>
      </c>
      <c r="H144" s="61" t="s">
        <v>1035</v>
      </c>
      <c r="I144" s="48">
        <v>9900.0</v>
      </c>
      <c r="J144" s="48"/>
      <c r="K144" s="48">
        <f t="shared" si="7"/>
        <v>93194</v>
      </c>
      <c r="L144" s="77" t="s">
        <v>45</v>
      </c>
      <c r="M144" s="77" t="s">
        <v>55</v>
      </c>
      <c r="N144" s="64"/>
      <c r="O144" s="77" t="s">
        <v>60</v>
      </c>
      <c r="P144" s="30" t="s">
        <v>57</v>
      </c>
      <c r="Q144" s="64" t="s">
        <v>58</v>
      </c>
      <c r="R144" s="30"/>
      <c r="S144" s="30"/>
      <c r="T144" s="30"/>
      <c r="U144" s="30" t="s">
        <v>156</v>
      </c>
      <c r="V144" s="30"/>
      <c r="W144" s="51" t="str">
        <f t="shared" si="16"/>
        <v>#NAME?</v>
      </c>
      <c r="X144" s="2"/>
      <c r="Y144" s="2"/>
      <c r="Z144" s="2"/>
      <c r="AA144" s="2"/>
      <c r="AB144" s="2"/>
      <c r="AC144" s="2"/>
      <c r="AD144" s="2"/>
      <c r="AE144" s="2"/>
    </row>
    <row r="145" ht="15.75" customHeight="1">
      <c r="A145" s="45">
        <v>289.0</v>
      </c>
      <c r="B145" s="45" t="str">
        <f t="shared" si="14"/>
        <v>#NAME?</v>
      </c>
      <c r="C145" s="45">
        <f t="shared" si="15"/>
        <v>7</v>
      </c>
      <c r="D145" s="75">
        <v>46214.0</v>
      </c>
      <c r="E145" s="75">
        <v>46214.0</v>
      </c>
      <c r="F145" s="45"/>
      <c r="G145" s="45" t="s">
        <v>1040</v>
      </c>
      <c r="H145" s="61" t="s">
        <v>1041</v>
      </c>
      <c r="I145" s="48">
        <v>39600.0</v>
      </c>
      <c r="J145" s="48"/>
      <c r="K145" s="48">
        <f t="shared" si="7"/>
        <v>103094</v>
      </c>
      <c r="L145" s="77" t="s">
        <v>45</v>
      </c>
      <c r="M145" s="77" t="s">
        <v>55</v>
      </c>
      <c r="N145" s="64"/>
      <c r="O145" s="77" t="s">
        <v>60</v>
      </c>
      <c r="P145" s="30" t="s">
        <v>57</v>
      </c>
      <c r="Q145" s="64" t="s">
        <v>58</v>
      </c>
      <c r="R145" s="30"/>
      <c r="S145" s="30"/>
      <c r="T145" s="30"/>
      <c r="U145" s="30" t="s">
        <v>156</v>
      </c>
      <c r="V145" s="30"/>
      <c r="W145" s="51" t="str">
        <f t="shared" si="16"/>
        <v>#NAME?</v>
      </c>
      <c r="X145" s="2"/>
      <c r="Y145" s="2"/>
      <c r="Z145" s="2"/>
      <c r="AA145" s="2"/>
      <c r="AB145" s="2"/>
      <c r="AC145" s="2"/>
      <c r="AD145" s="2"/>
      <c r="AE145" s="2"/>
    </row>
    <row r="146" ht="15.75" customHeight="1">
      <c r="A146" s="45">
        <v>288.0</v>
      </c>
      <c r="B146" s="45" t="str">
        <f t="shared" si="14"/>
        <v>#NAME?</v>
      </c>
      <c r="C146" s="45">
        <f t="shared" si="15"/>
        <v>7</v>
      </c>
      <c r="D146" s="75">
        <v>46214.0</v>
      </c>
      <c r="E146" s="75">
        <v>46214.0</v>
      </c>
      <c r="F146" s="45"/>
      <c r="G146" s="45" t="s">
        <v>1043</v>
      </c>
      <c r="H146" s="61" t="s">
        <v>1044</v>
      </c>
      <c r="I146" s="48">
        <v>2970.0</v>
      </c>
      <c r="J146" s="48"/>
      <c r="K146" s="48">
        <f t="shared" si="7"/>
        <v>142694</v>
      </c>
      <c r="L146" s="77" t="s">
        <v>45</v>
      </c>
      <c r="M146" s="77" t="s">
        <v>55</v>
      </c>
      <c r="N146" s="64"/>
      <c r="O146" s="77" t="s">
        <v>60</v>
      </c>
      <c r="P146" s="30" t="s">
        <v>57</v>
      </c>
      <c r="Q146" s="64" t="s">
        <v>58</v>
      </c>
      <c r="R146" s="30"/>
      <c r="S146" s="30"/>
      <c r="T146" s="30"/>
      <c r="U146" s="30" t="s">
        <v>156</v>
      </c>
      <c r="V146" s="30"/>
      <c r="W146" s="51" t="str">
        <f t="shared" si="16"/>
        <v>#NAME?</v>
      </c>
      <c r="X146" s="2"/>
      <c r="Y146" s="2"/>
      <c r="Z146" s="2"/>
      <c r="AA146" s="2"/>
      <c r="AB146" s="2"/>
      <c r="AC146" s="2"/>
      <c r="AD146" s="2"/>
      <c r="AE146" s="2"/>
    </row>
    <row r="147" ht="15.75" customHeight="1">
      <c r="A147" s="45">
        <v>287.0</v>
      </c>
      <c r="B147" s="45" t="str">
        <f t="shared" si="14"/>
        <v>#NAME?</v>
      </c>
      <c r="C147" s="45">
        <f t="shared" si="15"/>
        <v>7</v>
      </c>
      <c r="D147" s="75">
        <v>46214.0</v>
      </c>
      <c r="E147" s="75">
        <v>46214.0</v>
      </c>
      <c r="F147" s="45"/>
      <c r="G147" s="45" t="s">
        <v>1052</v>
      </c>
      <c r="H147" s="61" t="s">
        <v>1053</v>
      </c>
      <c r="I147" s="48">
        <v>2970.0</v>
      </c>
      <c r="J147" s="48"/>
      <c r="K147" s="48">
        <f t="shared" si="7"/>
        <v>145664</v>
      </c>
      <c r="L147" s="77" t="s">
        <v>45</v>
      </c>
      <c r="M147" s="77" t="s">
        <v>55</v>
      </c>
      <c r="N147" s="64"/>
      <c r="O147" s="77" t="s">
        <v>60</v>
      </c>
      <c r="P147" s="30" t="s">
        <v>57</v>
      </c>
      <c r="Q147" s="64" t="s">
        <v>58</v>
      </c>
      <c r="R147" s="30"/>
      <c r="S147" s="30"/>
      <c r="T147" s="30"/>
      <c r="U147" s="30" t="s">
        <v>156</v>
      </c>
      <c r="V147" s="30"/>
      <c r="W147" s="51" t="str">
        <f t="shared" si="16"/>
        <v>#NAME?</v>
      </c>
      <c r="X147" s="2"/>
      <c r="Y147" s="2"/>
      <c r="Z147" s="2"/>
      <c r="AA147" s="2"/>
      <c r="AB147" s="2"/>
      <c r="AC147" s="2"/>
      <c r="AD147" s="2"/>
      <c r="AE147" s="2"/>
    </row>
    <row r="148" ht="15.75" customHeight="1">
      <c r="A148" s="45">
        <v>286.0</v>
      </c>
      <c r="B148" s="45" t="str">
        <f t="shared" si="14"/>
        <v>#NAME?</v>
      </c>
      <c r="C148" s="45">
        <f t="shared" si="15"/>
        <v>7</v>
      </c>
      <c r="D148" s="75">
        <v>46214.0</v>
      </c>
      <c r="E148" s="75">
        <v>46214.0</v>
      </c>
      <c r="F148" s="45"/>
      <c r="G148" s="45" t="s">
        <v>1058</v>
      </c>
      <c r="H148" s="61" t="s">
        <v>1060</v>
      </c>
      <c r="I148" s="48">
        <v>14850.0</v>
      </c>
      <c r="J148" s="48"/>
      <c r="K148" s="48">
        <f t="shared" si="7"/>
        <v>148634</v>
      </c>
      <c r="L148" s="77" t="s">
        <v>45</v>
      </c>
      <c r="M148" s="77" t="s">
        <v>55</v>
      </c>
      <c r="N148" s="64"/>
      <c r="O148" s="77" t="s">
        <v>60</v>
      </c>
      <c r="P148" s="30" t="s">
        <v>57</v>
      </c>
      <c r="Q148" s="64" t="s">
        <v>58</v>
      </c>
      <c r="R148" s="30"/>
      <c r="S148" s="30"/>
      <c r="T148" s="30"/>
      <c r="U148" s="30" t="s">
        <v>156</v>
      </c>
      <c r="V148" s="30"/>
      <c r="W148" s="51" t="str">
        <f t="shared" si="16"/>
        <v>#NAME?</v>
      </c>
      <c r="X148" s="2"/>
      <c r="Y148" s="2"/>
      <c r="Z148" s="2"/>
      <c r="AA148" s="2"/>
      <c r="AB148" s="2"/>
      <c r="AC148" s="2"/>
      <c r="AD148" s="2"/>
      <c r="AE148" s="2"/>
    </row>
    <row r="149" ht="15.75" customHeight="1">
      <c r="A149" s="45">
        <v>285.0</v>
      </c>
      <c r="B149" s="45" t="str">
        <f t="shared" si="14"/>
        <v>#NAME?</v>
      </c>
      <c r="C149" s="45">
        <f t="shared" si="15"/>
        <v>7</v>
      </c>
      <c r="D149" s="75">
        <v>46214.0</v>
      </c>
      <c r="E149" s="75">
        <v>46214.0</v>
      </c>
      <c r="F149" s="45"/>
      <c r="G149" s="45" t="s">
        <v>1066</v>
      </c>
      <c r="H149" s="61" t="s">
        <v>1067</v>
      </c>
      <c r="I149" s="48">
        <v>10395.0</v>
      </c>
      <c r="J149" s="48"/>
      <c r="K149" s="48">
        <f t="shared" si="7"/>
        <v>163484</v>
      </c>
      <c r="L149" s="77" t="s">
        <v>45</v>
      </c>
      <c r="M149" s="77" t="s">
        <v>55</v>
      </c>
      <c r="N149" s="64"/>
      <c r="O149" s="77" t="s">
        <v>60</v>
      </c>
      <c r="P149" s="30" t="s">
        <v>57</v>
      </c>
      <c r="Q149" s="64" t="s">
        <v>58</v>
      </c>
      <c r="R149" s="30"/>
      <c r="S149" s="30"/>
      <c r="T149" s="30"/>
      <c r="U149" s="30" t="s">
        <v>156</v>
      </c>
      <c r="V149" s="30"/>
      <c r="W149" s="51" t="str">
        <f t="shared" si="16"/>
        <v>#NAME?</v>
      </c>
      <c r="X149" s="2"/>
      <c r="Y149" s="2"/>
      <c r="Z149" s="2"/>
      <c r="AA149" s="2"/>
      <c r="AB149" s="2"/>
      <c r="AC149" s="2"/>
      <c r="AD149" s="2"/>
      <c r="AE149" s="2"/>
    </row>
    <row r="150" ht="15.75" customHeight="1">
      <c r="A150" s="45">
        <v>284.0</v>
      </c>
      <c r="B150" s="45" t="str">
        <f t="shared" si="14"/>
        <v>#NAME?</v>
      </c>
      <c r="C150" s="45">
        <f t="shared" si="15"/>
        <v>7</v>
      </c>
      <c r="D150" s="75">
        <v>46214.0</v>
      </c>
      <c r="E150" s="75">
        <v>46214.0</v>
      </c>
      <c r="F150" s="45"/>
      <c r="G150" s="45" t="s">
        <v>1074</v>
      </c>
      <c r="H150" s="61" t="s">
        <v>1075</v>
      </c>
      <c r="I150" s="48">
        <v>10000.0</v>
      </c>
      <c r="J150" s="48"/>
      <c r="K150" s="48">
        <f t="shared" si="7"/>
        <v>173879</v>
      </c>
      <c r="L150" s="77" t="s">
        <v>45</v>
      </c>
      <c r="M150" s="77" t="s">
        <v>85</v>
      </c>
      <c r="N150" s="64"/>
      <c r="O150" s="77" t="s">
        <v>60</v>
      </c>
      <c r="P150" s="30" t="s">
        <v>57</v>
      </c>
      <c r="Q150" s="64" t="s">
        <v>58</v>
      </c>
      <c r="R150" s="30"/>
      <c r="S150" s="30"/>
      <c r="T150" s="30"/>
      <c r="U150" s="30" t="s">
        <v>430</v>
      </c>
      <c r="V150" s="30"/>
      <c r="W150" s="51" t="str">
        <f t="shared" si="16"/>
        <v>#NAME?</v>
      </c>
      <c r="X150" s="2"/>
      <c r="Y150" s="2"/>
      <c r="Z150" s="2"/>
      <c r="AA150" s="2"/>
      <c r="AB150" s="2"/>
      <c r="AC150" s="2"/>
      <c r="AD150" s="2"/>
      <c r="AE150" s="2"/>
    </row>
    <row r="151" ht="15.75" customHeight="1">
      <c r="A151" s="45">
        <v>283.0</v>
      </c>
      <c r="B151" s="45" t="str">
        <f t="shared" si="14"/>
        <v>#NAME?</v>
      </c>
      <c r="C151" s="45">
        <f t="shared" si="15"/>
        <v>7</v>
      </c>
      <c r="D151" s="75">
        <v>46214.0</v>
      </c>
      <c r="E151" s="75">
        <v>46214.0</v>
      </c>
      <c r="F151" s="45"/>
      <c r="G151" s="45" t="s">
        <v>1076</v>
      </c>
      <c r="H151" s="61" t="s">
        <v>1077</v>
      </c>
      <c r="I151" s="48">
        <v>2970.0</v>
      </c>
      <c r="J151" s="48"/>
      <c r="K151" s="48">
        <f t="shared" si="7"/>
        <v>183879</v>
      </c>
      <c r="L151" s="77" t="s">
        <v>45</v>
      </c>
      <c r="M151" s="77" t="s">
        <v>55</v>
      </c>
      <c r="N151" s="64"/>
      <c r="O151" s="77" t="s">
        <v>60</v>
      </c>
      <c r="P151" s="30" t="s">
        <v>57</v>
      </c>
      <c r="Q151" s="64" t="s">
        <v>58</v>
      </c>
      <c r="R151" s="30"/>
      <c r="S151" s="30"/>
      <c r="T151" s="30"/>
      <c r="U151" s="30" t="s">
        <v>156</v>
      </c>
      <c r="V151" s="30"/>
      <c r="W151" s="51" t="str">
        <f t="shared" si="16"/>
        <v>#NAME?</v>
      </c>
      <c r="X151" s="2"/>
      <c r="Y151" s="2"/>
      <c r="Z151" s="2"/>
      <c r="AA151" s="2"/>
      <c r="AB151" s="2"/>
      <c r="AC151" s="2"/>
      <c r="AD151" s="2"/>
      <c r="AE151" s="2"/>
    </row>
    <row r="152" ht="15.75" customHeight="1">
      <c r="A152" s="45">
        <v>282.0</v>
      </c>
      <c r="B152" s="45" t="str">
        <f t="shared" si="14"/>
        <v>#NAME?</v>
      </c>
      <c r="C152" s="45">
        <f t="shared" si="15"/>
        <v>7</v>
      </c>
      <c r="D152" s="75">
        <v>46214.0</v>
      </c>
      <c r="E152" s="75">
        <v>46214.0</v>
      </c>
      <c r="F152" s="45"/>
      <c r="G152" s="45" t="s">
        <v>1082</v>
      </c>
      <c r="H152" s="61" t="s">
        <v>1084</v>
      </c>
      <c r="I152" s="48">
        <v>7920.0</v>
      </c>
      <c r="J152" s="48"/>
      <c r="K152" s="48">
        <f t="shared" si="7"/>
        <v>186849</v>
      </c>
      <c r="L152" s="77" t="s">
        <v>45</v>
      </c>
      <c r="M152" s="77" t="s">
        <v>55</v>
      </c>
      <c r="N152" s="64"/>
      <c r="O152" s="77" t="s">
        <v>60</v>
      </c>
      <c r="P152" s="30" t="s">
        <v>57</v>
      </c>
      <c r="Q152" s="64" t="s">
        <v>58</v>
      </c>
      <c r="R152" s="30"/>
      <c r="S152" s="30"/>
      <c r="T152" s="30"/>
      <c r="U152" s="30" t="s">
        <v>156</v>
      </c>
      <c r="V152" s="30"/>
      <c r="W152" s="51" t="str">
        <f t="shared" si="16"/>
        <v>#NAME?</v>
      </c>
      <c r="X152" s="2"/>
      <c r="Y152" s="2"/>
      <c r="Z152" s="2"/>
      <c r="AA152" s="2"/>
      <c r="AB152" s="2"/>
      <c r="AC152" s="2"/>
      <c r="AD152" s="2"/>
      <c r="AE152" s="2"/>
    </row>
    <row r="153" ht="15.75" customHeight="1">
      <c r="A153" s="45">
        <v>281.0</v>
      </c>
      <c r="B153" s="45" t="str">
        <f t="shared" si="14"/>
        <v>#NAME?</v>
      </c>
      <c r="C153" s="45">
        <f t="shared" si="15"/>
        <v>7</v>
      </c>
      <c r="D153" s="75">
        <v>46214.0</v>
      </c>
      <c r="E153" s="75">
        <v>46214.0</v>
      </c>
      <c r="F153" s="45"/>
      <c r="G153" s="45" t="s">
        <v>1094</v>
      </c>
      <c r="H153" s="61" t="s">
        <v>1095</v>
      </c>
      <c r="I153" s="48">
        <v>7920.0</v>
      </c>
      <c r="J153" s="48"/>
      <c r="K153" s="48">
        <f t="shared" si="7"/>
        <v>194769</v>
      </c>
      <c r="L153" s="77" t="s">
        <v>45</v>
      </c>
      <c r="M153" s="77" t="s">
        <v>55</v>
      </c>
      <c r="N153" s="64"/>
      <c r="O153" s="77" t="s">
        <v>60</v>
      </c>
      <c r="P153" s="30" t="s">
        <v>57</v>
      </c>
      <c r="Q153" s="64" t="s">
        <v>58</v>
      </c>
      <c r="R153" s="30"/>
      <c r="S153" s="30"/>
      <c r="T153" s="30"/>
      <c r="U153" s="30" t="s">
        <v>156</v>
      </c>
      <c r="V153" s="30"/>
      <c r="W153" s="51" t="str">
        <f t="shared" si="16"/>
        <v>#NAME?</v>
      </c>
      <c r="X153" s="2"/>
      <c r="Y153" s="2"/>
      <c r="Z153" s="2"/>
      <c r="AA153" s="2"/>
      <c r="AB153" s="2"/>
      <c r="AC153" s="2"/>
      <c r="AD153" s="2"/>
      <c r="AE153" s="2"/>
    </row>
    <row r="154" ht="15.75" customHeight="1">
      <c r="A154" s="45">
        <v>280.0</v>
      </c>
      <c r="B154" s="45" t="str">
        <f t="shared" si="14"/>
        <v>#NAME?</v>
      </c>
      <c r="C154" s="45">
        <f t="shared" si="15"/>
        <v>7</v>
      </c>
      <c r="D154" s="75">
        <v>46214.0</v>
      </c>
      <c r="E154" s="75">
        <v>46214.0</v>
      </c>
      <c r="F154" s="45"/>
      <c r="G154" s="45" t="s">
        <v>392</v>
      </c>
      <c r="H154" s="61" t="s">
        <v>203</v>
      </c>
      <c r="I154" s="48"/>
      <c r="J154" s="48">
        <v>200000.0</v>
      </c>
      <c r="K154" s="48">
        <f t="shared" si="7"/>
        <v>202689</v>
      </c>
      <c r="L154" s="77" t="s">
        <v>45</v>
      </c>
      <c r="M154" s="77" t="s">
        <v>47</v>
      </c>
      <c r="N154" s="64"/>
      <c r="O154" s="77" t="s">
        <v>60</v>
      </c>
      <c r="P154" s="30" t="s">
        <v>49</v>
      </c>
      <c r="Q154" s="64" t="s">
        <v>50</v>
      </c>
      <c r="R154" s="30"/>
      <c r="S154" s="30"/>
      <c r="T154" s="30"/>
      <c r="U154" s="30" t="s">
        <v>75</v>
      </c>
      <c r="V154" s="30"/>
      <c r="W154" s="51" t="str">
        <f t="shared" si="16"/>
        <v>#NAME?</v>
      </c>
      <c r="X154" s="2"/>
      <c r="Y154" s="2"/>
      <c r="Z154" s="2"/>
      <c r="AA154" s="2"/>
      <c r="AB154" s="2"/>
      <c r="AC154" s="2"/>
      <c r="AD154" s="2"/>
      <c r="AE154" s="2"/>
    </row>
    <row r="155" ht="15.75" customHeight="1">
      <c r="A155" s="45">
        <v>279.0</v>
      </c>
      <c r="B155" s="45" t="str">
        <f t="shared" si="14"/>
        <v>#NAME?</v>
      </c>
      <c r="C155" s="45">
        <f t="shared" si="15"/>
        <v>7</v>
      </c>
      <c r="D155" s="75">
        <v>46213.0</v>
      </c>
      <c r="E155" s="75">
        <v>46213.0</v>
      </c>
      <c r="F155" s="45"/>
      <c r="G155" s="45" t="s">
        <v>1102</v>
      </c>
      <c r="H155" s="61" t="s">
        <v>1103</v>
      </c>
      <c r="I155" s="48">
        <v>25606.0</v>
      </c>
      <c r="J155" s="48"/>
      <c r="K155" s="48">
        <f t="shared" si="7"/>
        <v>2689</v>
      </c>
      <c r="L155" s="77" t="s">
        <v>45</v>
      </c>
      <c r="M155" s="77" t="s">
        <v>67</v>
      </c>
      <c r="N155" s="64"/>
      <c r="O155" s="77" t="s">
        <v>60</v>
      </c>
      <c r="P155" s="30" t="s">
        <v>57</v>
      </c>
      <c r="Q155" s="64" t="s">
        <v>50</v>
      </c>
      <c r="R155" s="30"/>
      <c r="S155" s="30"/>
      <c r="T155" s="30"/>
      <c r="U155" s="30" t="s">
        <v>499</v>
      </c>
      <c r="V155" s="30"/>
      <c r="W155" s="51" t="str">
        <f t="shared" si="16"/>
        <v>#NAME?</v>
      </c>
      <c r="X155" s="2"/>
      <c r="Y155" s="2"/>
      <c r="Z155" s="2"/>
      <c r="AA155" s="2"/>
      <c r="AB155" s="2"/>
      <c r="AC155" s="2"/>
      <c r="AD155" s="2"/>
      <c r="AE155" s="2"/>
    </row>
    <row r="156" ht="15.75" customHeight="1">
      <c r="A156" s="45">
        <v>278.0</v>
      </c>
      <c r="B156" s="45" t="str">
        <f t="shared" si="14"/>
        <v>#NAME?</v>
      </c>
      <c r="C156" s="45">
        <f t="shared" si="15"/>
        <v>7</v>
      </c>
      <c r="D156" s="75">
        <v>46212.0</v>
      </c>
      <c r="E156" s="75">
        <v>46212.0</v>
      </c>
      <c r="F156" s="45"/>
      <c r="G156" s="45" t="s">
        <v>1106</v>
      </c>
      <c r="H156" s="61" t="s">
        <v>1107</v>
      </c>
      <c r="I156" s="48">
        <v>6181.0</v>
      </c>
      <c r="J156" s="48"/>
      <c r="K156" s="48">
        <f t="shared" si="7"/>
        <v>28295</v>
      </c>
      <c r="L156" s="77" t="s">
        <v>45</v>
      </c>
      <c r="M156" s="77" t="s">
        <v>67</v>
      </c>
      <c r="N156" s="64"/>
      <c r="O156" s="77" t="s">
        <v>60</v>
      </c>
      <c r="P156" s="30" t="s">
        <v>57</v>
      </c>
      <c r="Q156" s="64" t="s">
        <v>58</v>
      </c>
      <c r="R156" s="30"/>
      <c r="S156" s="30"/>
      <c r="T156" s="30"/>
      <c r="U156" s="30" t="s">
        <v>499</v>
      </c>
      <c r="V156" s="30"/>
      <c r="W156" s="51" t="str">
        <f t="shared" si="16"/>
        <v>#NAME?</v>
      </c>
      <c r="X156" s="2"/>
      <c r="Y156" s="2"/>
      <c r="Z156" s="2"/>
      <c r="AA156" s="2"/>
      <c r="AB156" s="2"/>
      <c r="AC156" s="2"/>
      <c r="AD156" s="2"/>
      <c r="AE156" s="2"/>
    </row>
    <row r="157" ht="15.75" customHeight="1">
      <c r="A157" s="45">
        <v>277.0</v>
      </c>
      <c r="B157" s="45" t="str">
        <f t="shared" si="14"/>
        <v>#NAME?</v>
      </c>
      <c r="C157" s="45">
        <f t="shared" si="15"/>
        <v>7</v>
      </c>
      <c r="D157" s="75">
        <v>46212.0</v>
      </c>
      <c r="E157" s="75">
        <v>46212.0</v>
      </c>
      <c r="F157" s="45"/>
      <c r="G157" s="45" t="s">
        <v>1111</v>
      </c>
      <c r="H157" s="61" t="s">
        <v>1112</v>
      </c>
      <c r="I157" s="48">
        <v>11824.0</v>
      </c>
      <c r="J157" s="48"/>
      <c r="K157" s="48">
        <f t="shared" si="7"/>
        <v>34476</v>
      </c>
      <c r="L157" s="77" t="s">
        <v>45</v>
      </c>
      <c r="M157" s="77" t="s">
        <v>67</v>
      </c>
      <c r="N157" s="64"/>
      <c r="O157" s="77" t="s">
        <v>60</v>
      </c>
      <c r="P157" s="30" t="s">
        <v>57</v>
      </c>
      <c r="Q157" s="64" t="s">
        <v>58</v>
      </c>
      <c r="R157" s="30"/>
      <c r="S157" s="30"/>
      <c r="T157" s="30"/>
      <c r="U157" s="30" t="s">
        <v>499</v>
      </c>
      <c r="V157" s="30"/>
      <c r="W157" s="51" t="str">
        <f t="shared" si="16"/>
        <v>#NAME?</v>
      </c>
      <c r="X157" s="2"/>
      <c r="Y157" s="2"/>
      <c r="Z157" s="2"/>
      <c r="AA157" s="2"/>
      <c r="AB157" s="2"/>
      <c r="AC157" s="2"/>
      <c r="AD157" s="2"/>
      <c r="AE157" s="2"/>
    </row>
    <row r="158" ht="15.75" customHeight="1">
      <c r="A158" s="45">
        <v>276.0</v>
      </c>
      <c r="B158" s="45" t="str">
        <f t="shared" si="14"/>
        <v>#NAME?</v>
      </c>
      <c r="C158" s="45">
        <f t="shared" si="15"/>
        <v>7</v>
      </c>
      <c r="D158" s="75">
        <v>46212.0</v>
      </c>
      <c r="E158" s="75">
        <v>46212.0</v>
      </c>
      <c r="F158" s="45"/>
      <c r="G158" s="45" t="s">
        <v>1118</v>
      </c>
      <c r="H158" s="61" t="s">
        <v>1119</v>
      </c>
      <c r="I158" s="48">
        <v>9900.0</v>
      </c>
      <c r="J158" s="48"/>
      <c r="K158" s="48">
        <f t="shared" si="7"/>
        <v>46300</v>
      </c>
      <c r="L158" s="77" t="s">
        <v>45</v>
      </c>
      <c r="M158" s="77" t="s">
        <v>55</v>
      </c>
      <c r="N158" s="64"/>
      <c r="O158" s="77" t="s">
        <v>60</v>
      </c>
      <c r="P158" s="30" t="s">
        <v>57</v>
      </c>
      <c r="Q158" s="64" t="s">
        <v>58</v>
      </c>
      <c r="R158" s="30"/>
      <c r="S158" s="30"/>
      <c r="T158" s="30"/>
      <c r="U158" s="30" t="s">
        <v>156</v>
      </c>
      <c r="V158" s="30"/>
      <c r="W158" s="51" t="str">
        <f t="shared" si="16"/>
        <v>#NAME?</v>
      </c>
      <c r="X158" s="2"/>
      <c r="Y158" s="2"/>
      <c r="Z158" s="2"/>
      <c r="AA158" s="2"/>
      <c r="AB158" s="2"/>
      <c r="AC158" s="2"/>
      <c r="AD158" s="2"/>
      <c r="AE158" s="2"/>
    </row>
    <row r="159" ht="15.75" customHeight="1">
      <c r="A159" s="45">
        <v>275.0</v>
      </c>
      <c r="B159" s="45" t="str">
        <f t="shared" si="14"/>
        <v>#NAME?</v>
      </c>
      <c r="C159" s="45">
        <f t="shared" si="15"/>
        <v>7</v>
      </c>
      <c r="D159" s="75">
        <v>46212.0</v>
      </c>
      <c r="E159" s="75">
        <v>46212.0</v>
      </c>
      <c r="F159" s="45"/>
      <c r="G159" s="45" t="s">
        <v>1127</v>
      </c>
      <c r="H159" s="61" t="s">
        <v>1128</v>
      </c>
      <c r="I159" s="48">
        <v>10000.0</v>
      </c>
      <c r="J159" s="48"/>
      <c r="K159" s="48">
        <f t="shared" si="7"/>
        <v>56200</v>
      </c>
      <c r="L159" s="77" t="s">
        <v>45</v>
      </c>
      <c r="M159" s="77" t="s">
        <v>85</v>
      </c>
      <c r="N159" s="64"/>
      <c r="O159" s="77" t="s">
        <v>60</v>
      </c>
      <c r="P159" s="30" t="s">
        <v>57</v>
      </c>
      <c r="Q159" s="64" t="s">
        <v>58</v>
      </c>
      <c r="R159" s="30"/>
      <c r="S159" s="30"/>
      <c r="T159" s="30"/>
      <c r="U159" s="30" t="s">
        <v>430</v>
      </c>
      <c r="V159" s="30"/>
      <c r="W159" s="51" t="str">
        <f t="shared" si="16"/>
        <v>#NAME?</v>
      </c>
      <c r="X159" s="2"/>
      <c r="Y159" s="2"/>
      <c r="Z159" s="2"/>
      <c r="AA159" s="2"/>
      <c r="AB159" s="2"/>
      <c r="AC159" s="2"/>
      <c r="AD159" s="2"/>
      <c r="AE159" s="2"/>
    </row>
    <row r="160" ht="15.75" customHeight="1">
      <c r="A160" s="45">
        <v>274.0</v>
      </c>
      <c r="B160" s="45" t="str">
        <f t="shared" si="14"/>
        <v>#NAME?</v>
      </c>
      <c r="C160" s="45">
        <f t="shared" si="15"/>
        <v>7</v>
      </c>
      <c r="D160" s="75">
        <v>46209.0</v>
      </c>
      <c r="E160" s="75">
        <v>46209.0</v>
      </c>
      <c r="F160" s="45"/>
      <c r="G160" s="45" t="s">
        <v>1135</v>
      </c>
      <c r="H160" s="61" t="s">
        <v>1136</v>
      </c>
      <c r="I160" s="48">
        <v>10395.0</v>
      </c>
      <c r="J160" s="48"/>
      <c r="K160" s="144">
        <f t="shared" si="7"/>
        <v>66200</v>
      </c>
      <c r="L160" s="77" t="s">
        <v>45</v>
      </c>
      <c r="M160" s="77" t="s">
        <v>55</v>
      </c>
      <c r="N160" s="64"/>
      <c r="O160" s="77" t="s">
        <v>60</v>
      </c>
      <c r="P160" s="30" t="s">
        <v>57</v>
      </c>
      <c r="Q160" s="64" t="s">
        <v>58</v>
      </c>
      <c r="R160" s="30"/>
      <c r="S160" s="30"/>
      <c r="T160" s="30"/>
      <c r="U160" s="30" t="s">
        <v>156</v>
      </c>
      <c r="V160" s="30"/>
      <c r="W160" s="51" t="str">
        <f t="shared" si="16"/>
        <v>#NAME?</v>
      </c>
      <c r="X160" s="2"/>
      <c r="Y160" s="2"/>
      <c r="Z160" s="2"/>
      <c r="AA160" s="2"/>
      <c r="AB160" s="2"/>
      <c r="AC160" s="2"/>
      <c r="AD160" s="2"/>
      <c r="AE160" s="2"/>
    </row>
    <row r="161" ht="15.75" customHeight="1">
      <c r="A161" s="45">
        <v>273.0</v>
      </c>
      <c r="B161" s="45" t="str">
        <f t="shared" si="14"/>
        <v>#NAME?</v>
      </c>
      <c r="C161" s="45">
        <f t="shared" si="15"/>
        <v>7</v>
      </c>
      <c r="D161" s="75">
        <v>46209.0</v>
      </c>
      <c r="E161" s="75">
        <v>46209.0</v>
      </c>
      <c r="F161" s="45"/>
      <c r="G161" s="45" t="s">
        <v>1142</v>
      </c>
      <c r="H161" s="61" t="s">
        <v>1143</v>
      </c>
      <c r="I161" s="48">
        <v>20709.0</v>
      </c>
      <c r="J161" s="48"/>
      <c r="K161" s="48">
        <f t="shared" si="7"/>
        <v>76595</v>
      </c>
      <c r="L161" s="77" t="s">
        <v>45</v>
      </c>
      <c r="M161" s="77" t="s">
        <v>47</v>
      </c>
      <c r="N161" s="64"/>
      <c r="O161" s="77" t="s">
        <v>60</v>
      </c>
      <c r="P161" s="30" t="s">
        <v>47</v>
      </c>
      <c r="Q161" s="64" t="s">
        <v>50</v>
      </c>
      <c r="R161" s="30"/>
      <c r="S161" s="30"/>
      <c r="T161" s="30"/>
      <c r="U161" s="30" t="s">
        <v>1149</v>
      </c>
      <c r="V161" s="30"/>
      <c r="W161" s="51" t="str">
        <f t="shared" si="16"/>
        <v>#NAME?</v>
      </c>
      <c r="X161" s="2"/>
      <c r="Y161" s="2"/>
      <c r="Z161" s="2"/>
      <c r="AA161" s="2"/>
      <c r="AB161" s="2"/>
      <c r="AC161" s="2"/>
      <c r="AD161" s="2"/>
      <c r="AE161" s="2"/>
    </row>
    <row r="162" ht="15.75" customHeight="1">
      <c r="A162" s="45">
        <v>272.0</v>
      </c>
      <c r="B162" s="45" t="str">
        <f t="shared" si="14"/>
        <v>#NAME?</v>
      </c>
      <c r="C162" s="45">
        <f t="shared" si="15"/>
        <v>7</v>
      </c>
      <c r="D162" s="75">
        <v>46207.0</v>
      </c>
      <c r="E162" s="75">
        <v>46207.0</v>
      </c>
      <c r="F162" s="45"/>
      <c r="G162" s="45" t="s">
        <v>1150</v>
      </c>
      <c r="H162" s="61" t="s">
        <v>1151</v>
      </c>
      <c r="I162" s="48">
        <v>2970.0</v>
      </c>
      <c r="J162" s="48"/>
      <c r="K162" s="144">
        <f t="shared" si="7"/>
        <v>97304</v>
      </c>
      <c r="L162" s="77" t="s">
        <v>45</v>
      </c>
      <c r="M162" s="77" t="s">
        <v>55</v>
      </c>
      <c r="N162" s="64"/>
      <c r="O162" s="77" t="s">
        <v>60</v>
      </c>
      <c r="P162" s="30" t="s">
        <v>57</v>
      </c>
      <c r="Q162" s="64" t="s">
        <v>58</v>
      </c>
      <c r="R162" s="30"/>
      <c r="S162" s="30"/>
      <c r="T162" s="30"/>
      <c r="U162" s="30" t="s">
        <v>156</v>
      </c>
      <c r="V162" s="30"/>
      <c r="W162" s="51" t="str">
        <f t="shared" si="16"/>
        <v>#NAME?</v>
      </c>
      <c r="X162" s="2"/>
      <c r="Y162" s="2"/>
      <c r="Z162" s="2"/>
      <c r="AA162" s="2"/>
      <c r="AB162" s="2"/>
      <c r="AC162" s="2"/>
      <c r="AD162" s="2"/>
      <c r="AE162" s="2"/>
    </row>
    <row r="163" ht="15.75" customHeight="1">
      <c r="A163" s="45">
        <v>271.0</v>
      </c>
      <c r="B163" s="45" t="str">
        <f t="shared" si="14"/>
        <v>#NAME?</v>
      </c>
      <c r="C163" s="45">
        <f t="shared" si="15"/>
        <v>7</v>
      </c>
      <c r="D163" s="75">
        <v>46207.0</v>
      </c>
      <c r="E163" s="75">
        <v>46207.0</v>
      </c>
      <c r="F163" s="45"/>
      <c r="G163" s="45" t="s">
        <v>1158</v>
      </c>
      <c r="H163" s="61" t="s">
        <v>1159</v>
      </c>
      <c r="I163" s="48">
        <v>14850.0</v>
      </c>
      <c r="J163" s="48"/>
      <c r="K163" s="48">
        <f t="shared" si="7"/>
        <v>100274</v>
      </c>
      <c r="L163" s="77" t="s">
        <v>45</v>
      </c>
      <c r="M163" s="77" t="s">
        <v>55</v>
      </c>
      <c r="N163" s="64"/>
      <c r="O163" s="77" t="s">
        <v>60</v>
      </c>
      <c r="P163" s="30" t="s">
        <v>57</v>
      </c>
      <c r="Q163" s="64" t="s">
        <v>58</v>
      </c>
      <c r="R163" s="30"/>
      <c r="S163" s="30"/>
      <c r="T163" s="30"/>
      <c r="U163" s="30" t="s">
        <v>156</v>
      </c>
      <c r="V163" s="30"/>
      <c r="W163" s="51" t="str">
        <f t="shared" si="16"/>
        <v>#NAME?</v>
      </c>
      <c r="X163" s="2"/>
      <c r="Y163" s="2"/>
      <c r="Z163" s="2"/>
      <c r="AA163" s="2"/>
      <c r="AB163" s="2"/>
      <c r="AC163" s="2"/>
      <c r="AD163" s="2"/>
      <c r="AE163" s="2"/>
    </row>
    <row r="164" ht="15.75" customHeight="1">
      <c r="A164" s="45">
        <v>270.0</v>
      </c>
      <c r="B164" s="45" t="str">
        <f t="shared" si="14"/>
        <v>#NAME?</v>
      </c>
      <c r="C164" s="45">
        <f t="shared" si="15"/>
        <v>7</v>
      </c>
      <c r="D164" s="75">
        <v>46207.0</v>
      </c>
      <c r="E164" s="75">
        <v>46207.0</v>
      </c>
      <c r="F164" s="45"/>
      <c r="G164" s="45" t="s">
        <v>1164</v>
      </c>
      <c r="H164" s="61" t="s">
        <v>1165</v>
      </c>
      <c r="I164" s="48">
        <v>9900.0</v>
      </c>
      <c r="J164" s="48"/>
      <c r="K164" s="48">
        <f t="shared" si="7"/>
        <v>115124</v>
      </c>
      <c r="L164" s="77" t="s">
        <v>45</v>
      </c>
      <c r="M164" s="77" t="s">
        <v>55</v>
      </c>
      <c r="N164" s="64"/>
      <c r="O164" s="77" t="s">
        <v>60</v>
      </c>
      <c r="P164" s="30" t="s">
        <v>57</v>
      </c>
      <c r="Q164" s="64" t="s">
        <v>58</v>
      </c>
      <c r="R164" s="30"/>
      <c r="S164" s="30"/>
      <c r="T164" s="30"/>
      <c r="U164" s="30" t="s">
        <v>156</v>
      </c>
      <c r="V164" s="30"/>
      <c r="W164" s="51" t="str">
        <f t="shared" si="16"/>
        <v>#NAME?</v>
      </c>
      <c r="X164" s="2"/>
      <c r="Y164" s="2"/>
      <c r="Z164" s="2"/>
      <c r="AA164" s="2"/>
      <c r="AB164" s="2"/>
      <c r="AC164" s="2"/>
      <c r="AD164" s="2"/>
      <c r="AE164" s="2"/>
    </row>
    <row r="165" ht="15.75" customHeight="1">
      <c r="A165" s="45">
        <v>269.0</v>
      </c>
      <c r="B165" s="45" t="str">
        <f t="shared" si="14"/>
        <v>#NAME?</v>
      </c>
      <c r="C165" s="45">
        <f t="shared" si="15"/>
        <v>7</v>
      </c>
      <c r="D165" s="75">
        <v>46207.0</v>
      </c>
      <c r="E165" s="75">
        <v>46207.0</v>
      </c>
      <c r="F165" s="45"/>
      <c r="G165" s="45" t="s">
        <v>1170</v>
      </c>
      <c r="H165" s="61" t="s">
        <v>1171</v>
      </c>
      <c r="I165" s="48">
        <v>4950.0</v>
      </c>
      <c r="J165" s="48"/>
      <c r="K165" s="48">
        <f t="shared" si="7"/>
        <v>125024</v>
      </c>
      <c r="L165" s="77" t="s">
        <v>45</v>
      </c>
      <c r="M165" s="77" t="s">
        <v>55</v>
      </c>
      <c r="N165" s="64"/>
      <c r="O165" s="77" t="s">
        <v>60</v>
      </c>
      <c r="P165" s="30" t="s">
        <v>57</v>
      </c>
      <c r="Q165" s="64" t="s">
        <v>58</v>
      </c>
      <c r="R165" s="30"/>
      <c r="S165" s="30"/>
      <c r="T165" s="30"/>
      <c r="U165" s="30" t="s">
        <v>156</v>
      </c>
      <c r="V165" s="30"/>
      <c r="W165" s="51" t="str">
        <f t="shared" si="16"/>
        <v>#NAME?</v>
      </c>
      <c r="X165" s="2"/>
      <c r="Y165" s="2"/>
      <c r="Z165" s="2"/>
      <c r="AA165" s="2"/>
      <c r="AB165" s="2"/>
      <c r="AC165" s="2"/>
      <c r="AD165" s="2"/>
      <c r="AE165" s="2"/>
    </row>
    <row r="166" ht="15.75" customHeight="1">
      <c r="A166" s="45">
        <v>268.0</v>
      </c>
      <c r="B166" s="45" t="str">
        <f t="shared" si="14"/>
        <v>#NAME?</v>
      </c>
      <c r="C166" s="45">
        <f t="shared" si="15"/>
        <v>7</v>
      </c>
      <c r="D166" s="75">
        <v>46207.0</v>
      </c>
      <c r="E166" s="75">
        <v>46207.0</v>
      </c>
      <c r="F166" s="45"/>
      <c r="G166" s="45" t="s">
        <v>1179</v>
      </c>
      <c r="H166" s="61" t="s">
        <v>1180</v>
      </c>
      <c r="I166" s="48">
        <v>49500.0</v>
      </c>
      <c r="J166" s="48"/>
      <c r="K166" s="48">
        <f t="shared" si="7"/>
        <v>129974</v>
      </c>
      <c r="L166" s="77" t="s">
        <v>45</v>
      </c>
      <c r="M166" s="77" t="s">
        <v>55</v>
      </c>
      <c r="N166" s="64"/>
      <c r="O166" s="77" t="s">
        <v>60</v>
      </c>
      <c r="P166" s="30" t="s">
        <v>57</v>
      </c>
      <c r="Q166" s="64" t="s">
        <v>58</v>
      </c>
      <c r="R166" s="30"/>
      <c r="S166" s="30"/>
      <c r="T166" s="30"/>
      <c r="U166" s="30" t="s">
        <v>156</v>
      </c>
      <c r="V166" s="30"/>
      <c r="W166" s="51" t="str">
        <f t="shared" si="16"/>
        <v>#NAME?</v>
      </c>
      <c r="X166" s="2"/>
      <c r="Y166" s="2"/>
      <c r="Z166" s="2"/>
      <c r="AA166" s="2"/>
      <c r="AB166" s="2"/>
      <c r="AC166" s="2"/>
      <c r="AD166" s="2"/>
      <c r="AE166" s="2"/>
    </row>
    <row r="167" ht="15.75" customHeight="1">
      <c r="A167" s="45">
        <v>267.0</v>
      </c>
      <c r="B167" s="45" t="str">
        <f t="shared" si="14"/>
        <v>#NAME?</v>
      </c>
      <c r="C167" s="45">
        <f t="shared" si="15"/>
        <v>7</v>
      </c>
      <c r="D167" s="75">
        <v>46207.0</v>
      </c>
      <c r="E167" s="75">
        <v>46207.0</v>
      </c>
      <c r="F167" s="45"/>
      <c r="G167" s="45" t="s">
        <v>1184</v>
      </c>
      <c r="H167" s="61" t="s">
        <v>1186</v>
      </c>
      <c r="I167" s="48">
        <v>2970.0</v>
      </c>
      <c r="J167" s="48"/>
      <c r="K167" s="48">
        <f t="shared" si="7"/>
        <v>179474</v>
      </c>
      <c r="L167" s="77" t="s">
        <v>45</v>
      </c>
      <c r="M167" s="77" t="s">
        <v>55</v>
      </c>
      <c r="N167" s="64"/>
      <c r="O167" s="77" t="s">
        <v>60</v>
      </c>
      <c r="P167" s="30" t="s">
        <v>57</v>
      </c>
      <c r="Q167" s="64" t="s">
        <v>58</v>
      </c>
      <c r="R167" s="30"/>
      <c r="S167" s="30"/>
      <c r="T167" s="30"/>
      <c r="U167" s="30" t="s">
        <v>156</v>
      </c>
      <c r="V167" s="30"/>
      <c r="W167" s="51" t="str">
        <f t="shared" si="16"/>
        <v>#NAME?</v>
      </c>
      <c r="X167" s="2"/>
      <c r="Y167" s="2"/>
      <c r="Z167" s="2"/>
      <c r="AA167" s="2"/>
      <c r="AB167" s="2"/>
      <c r="AC167" s="2"/>
      <c r="AD167" s="2"/>
      <c r="AE167" s="2"/>
    </row>
    <row r="168" ht="15.75" customHeight="1">
      <c r="A168" s="45">
        <v>266.0</v>
      </c>
      <c r="B168" s="45" t="str">
        <f t="shared" si="14"/>
        <v>#NAME?</v>
      </c>
      <c r="C168" s="45">
        <f t="shared" si="15"/>
        <v>7</v>
      </c>
      <c r="D168" s="75">
        <v>46207.0</v>
      </c>
      <c r="E168" s="75">
        <v>46207.0</v>
      </c>
      <c r="F168" s="45"/>
      <c r="G168" s="45" t="s">
        <v>1193</v>
      </c>
      <c r="H168" s="61" t="s">
        <v>1194</v>
      </c>
      <c r="I168" s="48">
        <v>19800.0</v>
      </c>
      <c r="J168" s="48"/>
      <c r="K168" s="48">
        <f t="shared" si="7"/>
        <v>182444</v>
      </c>
      <c r="L168" s="77" t="s">
        <v>45</v>
      </c>
      <c r="M168" s="77" t="s">
        <v>55</v>
      </c>
      <c r="N168" s="64"/>
      <c r="O168" s="77" t="s">
        <v>60</v>
      </c>
      <c r="P168" s="30" t="s">
        <v>57</v>
      </c>
      <c r="Q168" s="64" t="s">
        <v>58</v>
      </c>
      <c r="R168" s="30"/>
      <c r="S168" s="30"/>
      <c r="T168" s="30"/>
      <c r="U168" s="30" t="s">
        <v>156</v>
      </c>
      <c r="V168" s="30"/>
      <c r="W168" s="51" t="str">
        <f t="shared" si="16"/>
        <v>#NAME?</v>
      </c>
      <c r="X168" s="2"/>
      <c r="Y168" s="2"/>
      <c r="Z168" s="2"/>
      <c r="AA168" s="2"/>
      <c r="AB168" s="2"/>
      <c r="AC168" s="2"/>
      <c r="AD168" s="2"/>
      <c r="AE168" s="2"/>
    </row>
    <row r="169" ht="15.75" customHeight="1">
      <c r="A169" s="45">
        <v>265.0</v>
      </c>
      <c r="B169" s="45" t="str">
        <f t="shared" si="14"/>
        <v>#NAME?</v>
      </c>
      <c r="C169" s="45">
        <f t="shared" si="15"/>
        <v>7</v>
      </c>
      <c r="D169" s="75">
        <v>46207.0</v>
      </c>
      <c r="E169" s="75">
        <v>46207.0</v>
      </c>
      <c r="F169" s="45"/>
      <c r="G169" s="45" t="s">
        <v>1202</v>
      </c>
      <c r="H169" s="61" t="s">
        <v>1203</v>
      </c>
      <c r="I169" s="48">
        <v>200000.0</v>
      </c>
      <c r="J169" s="48"/>
      <c r="K169" s="48">
        <f t="shared" si="7"/>
        <v>202244</v>
      </c>
      <c r="L169" s="77" t="s">
        <v>45</v>
      </c>
      <c r="M169" s="77" t="s">
        <v>67</v>
      </c>
      <c r="N169" s="64"/>
      <c r="O169" s="77" t="s">
        <v>60</v>
      </c>
      <c r="P169" s="30" t="s">
        <v>57</v>
      </c>
      <c r="Q169" s="64" t="s">
        <v>58</v>
      </c>
      <c r="R169" s="30"/>
      <c r="S169" s="30"/>
      <c r="T169" s="30"/>
      <c r="U169" s="30" t="s">
        <v>499</v>
      </c>
      <c r="V169" s="30"/>
      <c r="W169" s="51" t="str">
        <f t="shared" si="16"/>
        <v>#NAME?</v>
      </c>
      <c r="X169" s="2"/>
      <c r="Y169" s="2"/>
      <c r="Z169" s="2"/>
      <c r="AA169" s="2"/>
      <c r="AB169" s="2"/>
      <c r="AC169" s="2"/>
      <c r="AD169" s="2"/>
      <c r="AE169" s="2"/>
    </row>
    <row r="170" ht="15.75" customHeight="1">
      <c r="A170" s="45">
        <v>264.0</v>
      </c>
      <c r="B170" s="45" t="str">
        <f t="shared" si="14"/>
        <v>#NAME?</v>
      </c>
      <c r="C170" s="45">
        <f t="shared" si="15"/>
        <v>7</v>
      </c>
      <c r="D170" s="75">
        <v>46207.0</v>
      </c>
      <c r="E170" s="75">
        <v>46207.0</v>
      </c>
      <c r="F170" s="45"/>
      <c r="G170" s="45" t="s">
        <v>1208</v>
      </c>
      <c r="H170" s="61" t="s">
        <v>1209</v>
      </c>
      <c r="I170" s="48">
        <v>297000.0</v>
      </c>
      <c r="J170" s="48"/>
      <c r="K170" s="48">
        <f t="shared" si="7"/>
        <v>402244</v>
      </c>
      <c r="L170" s="77" t="s">
        <v>45</v>
      </c>
      <c r="M170" s="77" t="s">
        <v>55</v>
      </c>
      <c r="N170" s="64"/>
      <c r="O170" s="77" t="s">
        <v>60</v>
      </c>
      <c r="P170" s="30" t="s">
        <v>57</v>
      </c>
      <c r="Q170" s="64" t="s">
        <v>58</v>
      </c>
      <c r="R170" s="30"/>
      <c r="S170" s="30"/>
      <c r="T170" s="30"/>
      <c r="U170" s="30" t="s">
        <v>156</v>
      </c>
      <c r="V170" s="30"/>
      <c r="W170" s="51" t="str">
        <f t="shared" si="16"/>
        <v>#NAME?</v>
      </c>
      <c r="X170" s="2"/>
      <c r="Y170" s="2"/>
      <c r="Z170" s="2"/>
      <c r="AA170" s="2"/>
      <c r="AB170" s="2"/>
      <c r="AC170" s="2"/>
      <c r="AD170" s="2"/>
      <c r="AE170" s="2"/>
    </row>
    <row r="171" ht="15.75" customHeight="1">
      <c r="A171" s="45">
        <v>263.0</v>
      </c>
      <c r="B171" s="45" t="str">
        <f t="shared" si="14"/>
        <v>#NAME?</v>
      </c>
      <c r="C171" s="45">
        <f t="shared" si="15"/>
        <v>7</v>
      </c>
      <c r="D171" s="75">
        <v>46207.0</v>
      </c>
      <c r="E171" s="75">
        <v>46207.0</v>
      </c>
      <c r="F171" s="45"/>
      <c r="G171" s="45" t="s">
        <v>392</v>
      </c>
      <c r="H171" s="61" t="s">
        <v>220</v>
      </c>
      <c r="I171" s="48"/>
      <c r="J171" s="48">
        <v>600000.0</v>
      </c>
      <c r="K171" s="48">
        <f t="shared" si="7"/>
        <v>699244</v>
      </c>
      <c r="L171" s="77" t="s">
        <v>45</v>
      </c>
      <c r="M171" s="77" t="s">
        <v>47</v>
      </c>
      <c r="N171" s="64"/>
      <c r="O171" s="77" t="s">
        <v>60</v>
      </c>
      <c r="P171" s="30" t="s">
        <v>49</v>
      </c>
      <c r="Q171" s="64" t="s">
        <v>50</v>
      </c>
      <c r="R171" s="30"/>
      <c r="S171" s="30"/>
      <c r="T171" s="30"/>
      <c r="U171" s="30" t="s">
        <v>75</v>
      </c>
      <c r="V171" s="30"/>
      <c r="W171" s="51" t="str">
        <f t="shared" si="16"/>
        <v>#NAME?</v>
      </c>
      <c r="X171" s="2"/>
      <c r="Y171" s="2"/>
      <c r="Z171" s="2"/>
      <c r="AA171" s="2"/>
      <c r="AB171" s="2"/>
      <c r="AC171" s="2"/>
      <c r="AD171" s="2"/>
      <c r="AE171" s="2"/>
    </row>
    <row r="172" ht="15.75" customHeight="1">
      <c r="A172" s="45">
        <v>262.0</v>
      </c>
      <c r="B172" s="45" t="str">
        <f t="shared" si="14"/>
        <v>#NAME?</v>
      </c>
      <c r="C172" s="45">
        <f t="shared" si="15"/>
        <v>7</v>
      </c>
      <c r="D172" s="75">
        <v>46206.0</v>
      </c>
      <c r="E172" s="75">
        <v>46206.0</v>
      </c>
      <c r="F172" s="45"/>
      <c r="G172" s="45" t="s">
        <v>1221</v>
      </c>
      <c r="H172" s="61" t="s">
        <v>1222</v>
      </c>
      <c r="I172" s="48">
        <v>18000.0</v>
      </c>
      <c r="J172" s="48"/>
      <c r="K172" s="48">
        <f t="shared" si="7"/>
        <v>99244</v>
      </c>
      <c r="L172" s="77" t="s">
        <v>45</v>
      </c>
      <c r="M172" s="77" t="s">
        <v>67</v>
      </c>
      <c r="N172" s="64"/>
      <c r="O172" s="77" t="s">
        <v>60</v>
      </c>
      <c r="P172" s="30" t="s">
        <v>57</v>
      </c>
      <c r="Q172" s="64" t="s">
        <v>58</v>
      </c>
      <c r="R172" s="30"/>
      <c r="S172" s="30"/>
      <c r="T172" s="30"/>
      <c r="U172" s="30" t="s">
        <v>562</v>
      </c>
      <c r="V172" s="30"/>
      <c r="W172" s="51" t="str">
        <f t="shared" si="16"/>
        <v>#NAME?</v>
      </c>
      <c r="X172" s="2"/>
      <c r="Y172" s="2"/>
      <c r="Z172" s="2"/>
      <c r="AA172" s="2"/>
      <c r="AB172" s="2"/>
      <c r="AC172" s="2"/>
      <c r="AD172" s="2"/>
      <c r="AE172" s="2"/>
    </row>
    <row r="173" ht="15.75" customHeight="1">
      <c r="A173" s="45">
        <v>261.0</v>
      </c>
      <c r="B173" s="45" t="str">
        <f t="shared" si="14"/>
        <v>#NAME?</v>
      </c>
      <c r="C173" s="45">
        <f t="shared" si="15"/>
        <v>7</v>
      </c>
      <c r="D173" s="75">
        <v>46206.0</v>
      </c>
      <c r="E173" s="75">
        <v>46206.0</v>
      </c>
      <c r="F173" s="45"/>
      <c r="G173" s="45" t="s">
        <v>392</v>
      </c>
      <c r="H173" s="61" t="s">
        <v>226</v>
      </c>
      <c r="I173" s="48"/>
      <c r="J173" s="48">
        <v>100000.0</v>
      </c>
      <c r="K173" s="48">
        <f t="shared" si="7"/>
        <v>117244</v>
      </c>
      <c r="L173" s="77" t="s">
        <v>45</v>
      </c>
      <c r="M173" s="77" t="s">
        <v>47</v>
      </c>
      <c r="N173" s="64"/>
      <c r="O173" s="77" t="s">
        <v>60</v>
      </c>
      <c r="P173" s="30" t="s">
        <v>49</v>
      </c>
      <c r="Q173" s="64" t="s">
        <v>50</v>
      </c>
      <c r="R173" s="30"/>
      <c r="S173" s="30"/>
      <c r="T173" s="30"/>
      <c r="U173" s="30" t="s">
        <v>75</v>
      </c>
      <c r="V173" s="30"/>
      <c r="W173" s="51" t="str">
        <f t="shared" si="16"/>
        <v>#NAME?</v>
      </c>
      <c r="X173" s="2"/>
      <c r="Y173" s="2"/>
      <c r="Z173" s="2"/>
      <c r="AA173" s="2"/>
      <c r="AB173" s="2"/>
      <c r="AC173" s="2"/>
      <c r="AD173" s="2"/>
      <c r="AE173" s="2"/>
    </row>
    <row r="174" ht="15.75" customHeight="1">
      <c r="A174" s="45">
        <v>260.0</v>
      </c>
      <c r="B174" s="45" t="str">
        <f t="shared" si="14"/>
        <v>#NAME?</v>
      </c>
      <c r="C174" s="45">
        <f t="shared" si="15"/>
        <v>7</v>
      </c>
      <c r="D174" s="75">
        <v>46204.0</v>
      </c>
      <c r="E174" s="75">
        <v>46204.0</v>
      </c>
      <c r="F174" s="45"/>
      <c r="G174" s="45" t="s">
        <v>1232</v>
      </c>
      <c r="H174" s="61" t="s">
        <v>1233</v>
      </c>
      <c r="I174" s="48">
        <v>1600.0</v>
      </c>
      <c r="J174" s="48"/>
      <c r="K174" s="48">
        <f t="shared" si="7"/>
        <v>17244</v>
      </c>
      <c r="L174" s="77" t="s">
        <v>45</v>
      </c>
      <c r="M174" s="77" t="s">
        <v>67</v>
      </c>
      <c r="N174" s="64"/>
      <c r="O174" s="77" t="s">
        <v>60</v>
      </c>
      <c r="P174" s="30" t="s">
        <v>57</v>
      </c>
      <c r="Q174" s="64" t="s">
        <v>58</v>
      </c>
      <c r="R174" s="30"/>
      <c r="S174" s="30"/>
      <c r="T174" s="30"/>
      <c r="U174" s="30" t="s">
        <v>499</v>
      </c>
      <c r="V174" s="30"/>
      <c r="W174" s="51" t="str">
        <f t="shared" si="16"/>
        <v>#NAME?</v>
      </c>
      <c r="X174" s="2"/>
      <c r="Y174" s="2"/>
      <c r="Z174" s="2"/>
      <c r="AA174" s="2"/>
      <c r="AB174" s="2"/>
      <c r="AC174" s="2"/>
      <c r="AD174" s="2"/>
      <c r="AE174" s="2"/>
    </row>
    <row r="175" ht="15.75" customHeight="1">
      <c r="A175" s="45">
        <v>259.0</v>
      </c>
      <c r="B175" s="45" t="str">
        <f t="shared" si="14"/>
        <v>#NAME?</v>
      </c>
      <c r="C175" s="45">
        <f t="shared" si="15"/>
        <v>7</v>
      </c>
      <c r="D175" s="75">
        <v>46204.0</v>
      </c>
      <c r="E175" s="75">
        <v>46204.0</v>
      </c>
      <c r="F175" s="45"/>
      <c r="G175" s="45" t="s">
        <v>1241</v>
      </c>
      <c r="H175" s="61" t="s">
        <v>1242</v>
      </c>
      <c r="I175" s="144">
        <v>6500.0</v>
      </c>
      <c r="J175" s="48"/>
      <c r="K175" s="48">
        <f t="shared" si="7"/>
        <v>18844</v>
      </c>
      <c r="L175" s="77" t="s">
        <v>45</v>
      </c>
      <c r="M175" s="77" t="s">
        <v>67</v>
      </c>
      <c r="N175" s="64"/>
      <c r="O175" s="77" t="s">
        <v>60</v>
      </c>
      <c r="P175" s="30" t="s">
        <v>57</v>
      </c>
      <c r="Q175" s="64" t="s">
        <v>58</v>
      </c>
      <c r="R175" s="30"/>
      <c r="S175" s="30"/>
      <c r="T175" s="30"/>
      <c r="U175" s="30" t="s">
        <v>1246</v>
      </c>
      <c r="V175" s="30"/>
      <c r="W175" s="51" t="str">
        <f t="shared" si="16"/>
        <v>#NAME?</v>
      </c>
      <c r="X175" s="2"/>
      <c r="Y175" s="2"/>
      <c r="Z175" s="2"/>
      <c r="AA175" s="2"/>
      <c r="AB175" s="2"/>
      <c r="AC175" s="2"/>
      <c r="AD175" s="2"/>
      <c r="AE175" s="2"/>
    </row>
    <row r="176" ht="15.75" customHeight="1">
      <c r="A176" s="45">
        <v>258.0</v>
      </c>
      <c r="B176" s="45" t="str">
        <f t="shared" si="14"/>
        <v>#NAME?</v>
      </c>
      <c r="C176" s="45">
        <f t="shared" si="15"/>
        <v>7</v>
      </c>
      <c r="D176" s="75">
        <v>46204.0</v>
      </c>
      <c r="E176" s="75">
        <v>46204.0</v>
      </c>
      <c r="F176" s="45"/>
      <c r="G176" s="45" t="s">
        <v>141</v>
      </c>
      <c r="H176" s="61" t="s">
        <v>486</v>
      </c>
      <c r="I176" s="48"/>
      <c r="J176" s="48">
        <v>10000.0</v>
      </c>
      <c r="K176" s="48">
        <f t="shared" si="7"/>
        <v>25344</v>
      </c>
      <c r="L176" s="77" t="s">
        <v>45</v>
      </c>
      <c r="M176" s="77" t="s">
        <v>47</v>
      </c>
      <c r="N176" s="64"/>
      <c r="O176" s="77" t="s">
        <v>60</v>
      </c>
      <c r="P176" s="30" t="s">
        <v>74</v>
      </c>
      <c r="Q176" s="64" t="s">
        <v>50</v>
      </c>
      <c r="R176" s="30"/>
      <c r="S176" s="30"/>
      <c r="T176" s="30"/>
      <c r="U176" s="30" t="s">
        <v>75</v>
      </c>
      <c r="V176" s="30"/>
      <c r="W176" s="51" t="str">
        <f t="shared" si="16"/>
        <v>#NAME?</v>
      </c>
      <c r="X176" s="2"/>
      <c r="Y176" s="2"/>
      <c r="Z176" s="2"/>
      <c r="AA176" s="2"/>
      <c r="AB176" s="2"/>
      <c r="AC176" s="2"/>
      <c r="AD176" s="2"/>
      <c r="AE176" s="2"/>
    </row>
    <row r="177" ht="15.75" customHeight="1">
      <c r="A177" s="45">
        <v>257.0</v>
      </c>
      <c r="B177" s="45" t="str">
        <f t="shared" si="14"/>
        <v>#NAME?</v>
      </c>
      <c r="C177" s="45">
        <f t="shared" si="15"/>
        <v>7</v>
      </c>
      <c r="D177" s="75">
        <v>46204.0</v>
      </c>
      <c r="E177" s="75">
        <v>46204.0</v>
      </c>
      <c r="F177" s="45"/>
      <c r="G177" s="45" t="s">
        <v>141</v>
      </c>
      <c r="H177" s="61" t="s">
        <v>490</v>
      </c>
      <c r="I177" s="48"/>
      <c r="J177" s="48">
        <v>10000.0</v>
      </c>
      <c r="K177" s="48">
        <f t="shared" si="7"/>
        <v>15344</v>
      </c>
      <c r="L177" s="77" t="s">
        <v>45</v>
      </c>
      <c r="M177" s="77" t="s">
        <v>47</v>
      </c>
      <c r="N177" s="64"/>
      <c r="O177" s="77" t="s">
        <v>60</v>
      </c>
      <c r="P177" s="30" t="s">
        <v>74</v>
      </c>
      <c r="Q177" s="64" t="s">
        <v>50</v>
      </c>
      <c r="R177" s="30"/>
      <c r="S177" s="30"/>
      <c r="T177" s="30"/>
      <c r="U177" s="30" t="s">
        <v>75</v>
      </c>
      <c r="V177" s="30"/>
      <c r="W177" s="51" t="str">
        <f t="shared" si="16"/>
        <v>#NAME?</v>
      </c>
      <c r="X177" s="2"/>
      <c r="Y177" s="2"/>
      <c r="Z177" s="2"/>
      <c r="AA177" s="2"/>
      <c r="AB177" s="2"/>
      <c r="AC177" s="2"/>
      <c r="AD177" s="2"/>
      <c r="AE177" s="2"/>
    </row>
    <row r="178" ht="15.75" customHeight="1">
      <c r="A178" s="45">
        <v>256.0</v>
      </c>
      <c r="B178" s="45" t="str">
        <f t="shared" si="14"/>
        <v>#NAME?</v>
      </c>
      <c r="C178" s="45">
        <f t="shared" si="15"/>
        <v>6</v>
      </c>
      <c r="D178" s="75">
        <v>46202.0</v>
      </c>
      <c r="E178" s="75">
        <v>46202.0</v>
      </c>
      <c r="F178" s="45"/>
      <c r="G178" s="45" t="s">
        <v>1263</v>
      </c>
      <c r="H178" s="61" t="s">
        <v>1264</v>
      </c>
      <c r="I178" s="48">
        <v>4135.0</v>
      </c>
      <c r="J178" s="48"/>
      <c r="K178" s="145">
        <f t="shared" si="7"/>
        <v>5344</v>
      </c>
      <c r="L178" s="77" t="s">
        <v>45</v>
      </c>
      <c r="M178" s="77" t="s">
        <v>67</v>
      </c>
      <c r="N178" s="64"/>
      <c r="O178" s="77" t="s">
        <v>60</v>
      </c>
      <c r="P178" s="30" t="s">
        <v>57</v>
      </c>
      <c r="Q178" s="64" t="s">
        <v>58</v>
      </c>
      <c r="R178" s="30"/>
      <c r="S178" s="30"/>
      <c r="T178" s="30"/>
      <c r="U178" s="30" t="s">
        <v>499</v>
      </c>
      <c r="V178" s="30"/>
      <c r="W178" s="51" t="str">
        <f t="shared" si="16"/>
        <v>#NAME?</v>
      </c>
      <c r="X178" s="2"/>
      <c r="Y178" s="2"/>
      <c r="Z178" s="2"/>
      <c r="AA178" s="2"/>
      <c r="AB178" s="2"/>
      <c r="AC178" s="2"/>
      <c r="AD178" s="2"/>
      <c r="AE178" s="2"/>
    </row>
    <row r="179" ht="15.75" customHeight="1">
      <c r="A179" s="45">
        <v>255.0</v>
      </c>
      <c r="B179" s="45" t="str">
        <f t="shared" si="14"/>
        <v>#NAME?</v>
      </c>
      <c r="C179" s="45">
        <f t="shared" si="15"/>
        <v>6</v>
      </c>
      <c r="D179" s="75">
        <v>46200.0</v>
      </c>
      <c r="E179" s="75">
        <v>46200.0</v>
      </c>
      <c r="F179" s="45"/>
      <c r="G179" s="45" t="s">
        <v>1271</v>
      </c>
      <c r="H179" s="61" t="s">
        <v>1272</v>
      </c>
      <c r="I179" s="48">
        <v>9900.0</v>
      </c>
      <c r="J179" s="48"/>
      <c r="K179" s="48">
        <f t="shared" si="7"/>
        <v>9479</v>
      </c>
      <c r="L179" s="77" t="s">
        <v>45</v>
      </c>
      <c r="M179" s="77" t="s">
        <v>55</v>
      </c>
      <c r="N179" s="64"/>
      <c r="O179" s="77" t="s">
        <v>60</v>
      </c>
      <c r="P179" s="30" t="s">
        <v>57</v>
      </c>
      <c r="Q179" s="64" t="s">
        <v>58</v>
      </c>
      <c r="R179" s="30"/>
      <c r="S179" s="30"/>
      <c r="T179" s="30"/>
      <c r="U179" s="30" t="s">
        <v>156</v>
      </c>
      <c r="V179" s="30"/>
      <c r="W179" s="51" t="str">
        <f t="shared" si="16"/>
        <v>#NAME?</v>
      </c>
      <c r="X179" s="2"/>
      <c r="Y179" s="2"/>
      <c r="Z179" s="2"/>
      <c r="AA179" s="2"/>
      <c r="AB179" s="2"/>
      <c r="AC179" s="2"/>
      <c r="AD179" s="2"/>
      <c r="AE179" s="2"/>
    </row>
    <row r="180" ht="15.75" customHeight="1">
      <c r="A180" s="45">
        <v>254.0</v>
      </c>
      <c r="B180" s="45" t="str">
        <f t="shared" si="14"/>
        <v>#NAME?</v>
      </c>
      <c r="C180" s="45">
        <f t="shared" si="15"/>
        <v>6</v>
      </c>
      <c r="D180" s="75">
        <v>46200.0</v>
      </c>
      <c r="E180" s="75">
        <v>46200.0</v>
      </c>
      <c r="F180" s="45"/>
      <c r="G180" s="45" t="s">
        <v>1280</v>
      </c>
      <c r="H180" s="61" t="s">
        <v>1281</v>
      </c>
      <c r="I180" s="48">
        <v>14850.0</v>
      </c>
      <c r="J180" s="48"/>
      <c r="K180" s="48">
        <f t="shared" si="7"/>
        <v>19379</v>
      </c>
      <c r="L180" s="77" t="s">
        <v>45</v>
      </c>
      <c r="M180" s="77" t="s">
        <v>55</v>
      </c>
      <c r="N180" s="64"/>
      <c r="O180" s="77" t="s">
        <v>60</v>
      </c>
      <c r="P180" s="30" t="s">
        <v>57</v>
      </c>
      <c r="Q180" s="64" t="s">
        <v>58</v>
      </c>
      <c r="R180" s="30"/>
      <c r="S180" s="30"/>
      <c r="T180" s="30"/>
      <c r="U180" s="30" t="s">
        <v>156</v>
      </c>
      <c r="V180" s="30"/>
      <c r="W180" s="51" t="str">
        <f t="shared" si="16"/>
        <v>#NAME?</v>
      </c>
      <c r="X180" s="2"/>
      <c r="Y180" s="2"/>
      <c r="Z180" s="2"/>
      <c r="AA180" s="2"/>
      <c r="AB180" s="2"/>
      <c r="AC180" s="2"/>
      <c r="AD180" s="2"/>
      <c r="AE180" s="2"/>
    </row>
    <row r="181" ht="15.75" customHeight="1">
      <c r="A181" s="45">
        <v>253.0</v>
      </c>
      <c r="B181" s="45" t="str">
        <f t="shared" si="14"/>
        <v>#NAME?</v>
      </c>
      <c r="C181" s="45">
        <f t="shared" si="15"/>
        <v>6</v>
      </c>
      <c r="D181" s="75">
        <v>46200.0</v>
      </c>
      <c r="E181" s="75">
        <v>46200.0</v>
      </c>
      <c r="F181" s="45"/>
      <c r="G181" s="45" t="s">
        <v>1288</v>
      </c>
      <c r="H181" s="61" t="s">
        <v>1289</v>
      </c>
      <c r="I181" s="48">
        <v>9900.0</v>
      </c>
      <c r="J181" s="48"/>
      <c r="K181" s="48">
        <f t="shared" si="7"/>
        <v>34229</v>
      </c>
      <c r="L181" s="77" t="s">
        <v>45</v>
      </c>
      <c r="M181" s="77" t="s">
        <v>55</v>
      </c>
      <c r="N181" s="64"/>
      <c r="O181" s="77" t="s">
        <v>60</v>
      </c>
      <c r="P181" s="30" t="s">
        <v>57</v>
      </c>
      <c r="Q181" s="64" t="s">
        <v>58</v>
      </c>
      <c r="R181" s="30"/>
      <c r="S181" s="30"/>
      <c r="T181" s="30"/>
      <c r="U181" s="30" t="s">
        <v>156</v>
      </c>
      <c r="V181" s="30"/>
      <c r="W181" s="51" t="str">
        <f t="shared" si="16"/>
        <v>#NAME?</v>
      </c>
      <c r="X181" s="2"/>
      <c r="Y181" s="2"/>
      <c r="Z181" s="2"/>
      <c r="AA181" s="2"/>
      <c r="AB181" s="2"/>
      <c r="AC181" s="2"/>
      <c r="AD181" s="2"/>
      <c r="AE181" s="2"/>
    </row>
    <row r="182" ht="15.75" customHeight="1">
      <c r="A182" s="45">
        <v>252.0</v>
      </c>
      <c r="B182" s="45" t="str">
        <f t="shared" si="14"/>
        <v>#NAME?</v>
      </c>
      <c r="C182" s="45">
        <f t="shared" si="15"/>
        <v>6</v>
      </c>
      <c r="D182" s="75">
        <v>46200.0</v>
      </c>
      <c r="E182" s="75">
        <v>46200.0</v>
      </c>
      <c r="F182" s="45"/>
      <c r="G182" s="45" t="s">
        <v>1294</v>
      </c>
      <c r="H182" s="61" t="s">
        <v>1295</v>
      </c>
      <c r="I182" s="48">
        <v>10000.0</v>
      </c>
      <c r="J182" s="48"/>
      <c r="K182" s="48">
        <f t="shared" si="7"/>
        <v>44129</v>
      </c>
      <c r="L182" s="77" t="s">
        <v>45</v>
      </c>
      <c r="M182" s="77" t="s">
        <v>85</v>
      </c>
      <c r="N182" s="64"/>
      <c r="O182" s="77" t="s">
        <v>60</v>
      </c>
      <c r="P182" s="30" t="s">
        <v>57</v>
      </c>
      <c r="Q182" s="64" t="s">
        <v>58</v>
      </c>
      <c r="R182" s="30"/>
      <c r="S182" s="30"/>
      <c r="T182" s="30"/>
      <c r="U182" s="30" t="s">
        <v>430</v>
      </c>
      <c r="V182" s="30"/>
      <c r="W182" s="51" t="str">
        <f t="shared" si="16"/>
        <v>#NAME?</v>
      </c>
      <c r="X182" s="2"/>
      <c r="Y182" s="2"/>
      <c r="Z182" s="2"/>
      <c r="AA182" s="2"/>
      <c r="AB182" s="2"/>
      <c r="AC182" s="2"/>
      <c r="AD182" s="2"/>
      <c r="AE182" s="2"/>
    </row>
    <row r="183" ht="15.75" customHeight="1">
      <c r="A183" s="45">
        <v>251.0</v>
      </c>
      <c r="B183" s="45" t="str">
        <f t="shared" si="14"/>
        <v>#NAME?</v>
      </c>
      <c r="C183" s="45">
        <f t="shared" si="15"/>
        <v>6</v>
      </c>
      <c r="D183" s="75">
        <v>46200.0</v>
      </c>
      <c r="E183" s="75">
        <v>46200.0</v>
      </c>
      <c r="F183" s="45"/>
      <c r="G183" s="45" t="s">
        <v>1302</v>
      </c>
      <c r="H183" s="61" t="s">
        <v>1303</v>
      </c>
      <c r="I183" s="48">
        <v>14850.0</v>
      </c>
      <c r="J183" s="48"/>
      <c r="K183" s="48">
        <f t="shared" si="7"/>
        <v>54129</v>
      </c>
      <c r="L183" s="77" t="s">
        <v>45</v>
      </c>
      <c r="M183" s="77" t="s">
        <v>55</v>
      </c>
      <c r="N183" s="64"/>
      <c r="O183" s="77" t="s">
        <v>60</v>
      </c>
      <c r="P183" s="30" t="s">
        <v>57</v>
      </c>
      <c r="Q183" s="64" t="s">
        <v>58</v>
      </c>
      <c r="R183" s="30"/>
      <c r="S183" s="30"/>
      <c r="T183" s="30"/>
      <c r="U183" s="30" t="s">
        <v>156</v>
      </c>
      <c r="V183" s="30"/>
      <c r="W183" s="51" t="str">
        <f t="shared" si="16"/>
        <v>#NAME?</v>
      </c>
      <c r="X183" s="2"/>
      <c r="Y183" s="2"/>
      <c r="Z183" s="2"/>
      <c r="AA183" s="2"/>
      <c r="AB183" s="2"/>
      <c r="AC183" s="2"/>
      <c r="AD183" s="2"/>
      <c r="AE183" s="2"/>
    </row>
    <row r="184" ht="15.75" customHeight="1">
      <c r="A184" s="45">
        <v>250.0</v>
      </c>
      <c r="B184" s="45" t="str">
        <f t="shared" si="14"/>
        <v>#NAME?</v>
      </c>
      <c r="C184" s="45">
        <f t="shared" si="15"/>
        <v>6</v>
      </c>
      <c r="D184" s="75">
        <v>46200.0</v>
      </c>
      <c r="E184" s="75">
        <v>46200.0</v>
      </c>
      <c r="F184" s="45"/>
      <c r="G184" s="45" t="s">
        <v>1310</v>
      </c>
      <c r="H184" s="61" t="s">
        <v>1311</v>
      </c>
      <c r="I184" s="48">
        <v>2970.0</v>
      </c>
      <c r="J184" s="48"/>
      <c r="K184" s="48">
        <f t="shared" si="7"/>
        <v>68979</v>
      </c>
      <c r="L184" s="77" t="s">
        <v>45</v>
      </c>
      <c r="M184" s="77" t="s">
        <v>55</v>
      </c>
      <c r="N184" s="64"/>
      <c r="O184" s="77" t="s">
        <v>60</v>
      </c>
      <c r="P184" s="30" t="s">
        <v>57</v>
      </c>
      <c r="Q184" s="64" t="s">
        <v>58</v>
      </c>
      <c r="R184" s="30"/>
      <c r="S184" s="30"/>
      <c r="T184" s="30"/>
      <c r="U184" s="30" t="s">
        <v>156</v>
      </c>
      <c r="V184" s="30"/>
      <c r="W184" s="51" t="str">
        <f t="shared" si="16"/>
        <v>#NAME?</v>
      </c>
      <c r="X184" s="2"/>
      <c r="Y184" s="2"/>
      <c r="Z184" s="2"/>
      <c r="AA184" s="2"/>
      <c r="AB184" s="2"/>
      <c r="AC184" s="2"/>
      <c r="AD184" s="2"/>
      <c r="AE184" s="2"/>
    </row>
    <row r="185" ht="15.75" customHeight="1">
      <c r="A185" s="45">
        <v>249.0</v>
      </c>
      <c r="B185" s="45" t="str">
        <f t="shared" si="14"/>
        <v>#NAME?</v>
      </c>
      <c r="C185" s="45">
        <f t="shared" si="15"/>
        <v>6</v>
      </c>
      <c r="D185" s="75">
        <v>46200.0</v>
      </c>
      <c r="E185" s="75">
        <v>46200.0</v>
      </c>
      <c r="F185" s="45"/>
      <c r="G185" s="45" t="s">
        <v>1318</v>
      </c>
      <c r="H185" s="61" t="s">
        <v>1319</v>
      </c>
      <c r="I185" s="48">
        <v>39600.0</v>
      </c>
      <c r="J185" s="48"/>
      <c r="K185" s="48">
        <f t="shared" si="7"/>
        <v>71949</v>
      </c>
      <c r="L185" s="77" t="s">
        <v>45</v>
      </c>
      <c r="M185" s="77" t="s">
        <v>55</v>
      </c>
      <c r="N185" s="64"/>
      <c r="O185" s="77" t="s">
        <v>60</v>
      </c>
      <c r="P185" s="30" t="s">
        <v>57</v>
      </c>
      <c r="Q185" s="64" t="s">
        <v>58</v>
      </c>
      <c r="R185" s="30"/>
      <c r="S185" s="30"/>
      <c r="T185" s="30"/>
      <c r="U185" s="30" t="s">
        <v>156</v>
      </c>
      <c r="V185" s="30"/>
      <c r="W185" s="51" t="str">
        <f t="shared" si="16"/>
        <v>#NAME?</v>
      </c>
      <c r="X185" s="2"/>
      <c r="Y185" s="2"/>
      <c r="Z185" s="2"/>
      <c r="AA185" s="2"/>
      <c r="AB185" s="2"/>
      <c r="AC185" s="2"/>
      <c r="AD185" s="2"/>
      <c r="AE185" s="2"/>
    </row>
    <row r="186" ht="15.75" customHeight="1">
      <c r="A186" s="45">
        <v>248.0</v>
      </c>
      <c r="B186" s="45" t="str">
        <f t="shared" si="14"/>
        <v>#NAME?</v>
      </c>
      <c r="C186" s="45">
        <f t="shared" si="15"/>
        <v>6</v>
      </c>
      <c r="D186" s="75">
        <v>46200.0</v>
      </c>
      <c r="E186" s="75">
        <v>46200.0</v>
      </c>
      <c r="F186" s="45"/>
      <c r="G186" s="45" t="s">
        <v>1322</v>
      </c>
      <c r="H186" s="61" t="s">
        <v>1323</v>
      </c>
      <c r="I186" s="48">
        <v>2970.0</v>
      </c>
      <c r="J186" s="48"/>
      <c r="K186" s="48">
        <f t="shared" si="7"/>
        <v>111549</v>
      </c>
      <c r="L186" s="77" t="s">
        <v>45</v>
      </c>
      <c r="M186" s="77" t="s">
        <v>55</v>
      </c>
      <c r="N186" s="64"/>
      <c r="O186" s="77" t="s">
        <v>60</v>
      </c>
      <c r="P186" s="30" t="s">
        <v>57</v>
      </c>
      <c r="Q186" s="64" t="s">
        <v>58</v>
      </c>
      <c r="R186" s="30"/>
      <c r="S186" s="30"/>
      <c r="T186" s="30"/>
      <c r="U186" s="30" t="s">
        <v>156</v>
      </c>
      <c r="V186" s="30"/>
      <c r="W186" s="51" t="str">
        <f t="shared" si="16"/>
        <v>#NAME?</v>
      </c>
      <c r="X186" s="2"/>
      <c r="Y186" s="2"/>
      <c r="Z186" s="2"/>
      <c r="AA186" s="2"/>
      <c r="AB186" s="2"/>
      <c r="AC186" s="2"/>
      <c r="AD186" s="2"/>
      <c r="AE186" s="2"/>
    </row>
    <row r="187" ht="15.75" customHeight="1">
      <c r="A187" s="45">
        <v>247.0</v>
      </c>
      <c r="B187" s="45" t="str">
        <f t="shared" si="14"/>
        <v>#NAME?</v>
      </c>
      <c r="C187" s="45">
        <f t="shared" si="15"/>
        <v>6</v>
      </c>
      <c r="D187" s="75">
        <v>46200.0</v>
      </c>
      <c r="E187" s="75">
        <v>46200.0</v>
      </c>
      <c r="F187" s="45"/>
      <c r="G187" s="45" t="s">
        <v>141</v>
      </c>
      <c r="H187" s="61" t="s">
        <v>493</v>
      </c>
      <c r="I187" s="48"/>
      <c r="J187" s="48">
        <v>20000.0</v>
      </c>
      <c r="K187" s="48">
        <f t="shared" si="7"/>
        <v>114519</v>
      </c>
      <c r="L187" s="77" t="s">
        <v>45</v>
      </c>
      <c r="M187" s="77" t="s">
        <v>47</v>
      </c>
      <c r="N187" s="64"/>
      <c r="O187" s="77" t="s">
        <v>60</v>
      </c>
      <c r="P187" s="30" t="s">
        <v>74</v>
      </c>
      <c r="Q187" s="64" t="s">
        <v>50</v>
      </c>
      <c r="R187" s="30"/>
      <c r="S187" s="30"/>
      <c r="T187" s="30"/>
      <c r="U187" s="30" t="s">
        <v>75</v>
      </c>
      <c r="V187" s="30"/>
      <c r="W187" s="51" t="str">
        <f t="shared" si="16"/>
        <v>#NAME?</v>
      </c>
      <c r="X187" s="2"/>
      <c r="Y187" s="2"/>
      <c r="Z187" s="2"/>
      <c r="AA187" s="2"/>
      <c r="AB187" s="2"/>
      <c r="AC187" s="2"/>
      <c r="AD187" s="2"/>
      <c r="AE187" s="2"/>
    </row>
    <row r="188" ht="15.75" customHeight="1">
      <c r="A188" s="45">
        <v>246.0</v>
      </c>
      <c r="B188" s="45" t="str">
        <f t="shared" si="14"/>
        <v>#NAME?</v>
      </c>
      <c r="C188" s="45">
        <f t="shared" si="15"/>
        <v>6</v>
      </c>
      <c r="D188" s="75">
        <v>46199.0</v>
      </c>
      <c r="E188" s="75">
        <v>46199.0</v>
      </c>
      <c r="F188" s="45"/>
      <c r="G188" s="45" t="s">
        <v>1336</v>
      </c>
      <c r="H188" s="61" t="s">
        <v>1337</v>
      </c>
      <c r="I188" s="144">
        <v>103415.0</v>
      </c>
      <c r="J188" s="48"/>
      <c r="K188" s="48">
        <f t="shared" si="7"/>
        <v>94519</v>
      </c>
      <c r="L188" s="77" t="s">
        <v>45</v>
      </c>
      <c r="M188" s="77" t="s">
        <v>67</v>
      </c>
      <c r="N188" s="64"/>
      <c r="O188" s="77" t="s">
        <v>60</v>
      </c>
      <c r="P188" s="30" t="s">
        <v>57</v>
      </c>
      <c r="Q188" s="64" t="s">
        <v>58</v>
      </c>
      <c r="R188" s="30"/>
      <c r="S188" s="30"/>
      <c r="T188" s="30"/>
      <c r="U188" s="30" t="s">
        <v>499</v>
      </c>
      <c r="V188" s="30"/>
      <c r="W188" s="51" t="str">
        <f t="shared" si="16"/>
        <v>#NAME?</v>
      </c>
      <c r="X188" s="2"/>
      <c r="Y188" s="2"/>
      <c r="Z188" s="2"/>
      <c r="AA188" s="2"/>
      <c r="AB188" s="2"/>
      <c r="AC188" s="2"/>
      <c r="AD188" s="2"/>
      <c r="AE188" s="2"/>
    </row>
    <row r="189" ht="15.75" customHeight="1">
      <c r="A189" s="45">
        <v>245.0</v>
      </c>
      <c r="B189" s="45" t="str">
        <f t="shared" si="14"/>
        <v>#NAME?</v>
      </c>
      <c r="C189" s="45">
        <f t="shared" si="15"/>
        <v>6</v>
      </c>
      <c r="D189" s="75">
        <v>46196.0</v>
      </c>
      <c r="E189" s="75">
        <v>46196.0</v>
      </c>
      <c r="F189" s="45"/>
      <c r="G189" s="45" t="s">
        <v>1346</v>
      </c>
      <c r="H189" s="61" t="s">
        <v>1348</v>
      </c>
      <c r="I189" s="144">
        <v>2970.0</v>
      </c>
      <c r="J189" s="48"/>
      <c r="K189" s="48">
        <f t="shared" si="7"/>
        <v>197934</v>
      </c>
      <c r="L189" s="77" t="s">
        <v>45</v>
      </c>
      <c r="M189" s="77" t="s">
        <v>55</v>
      </c>
      <c r="N189" s="64"/>
      <c r="O189" s="77" t="s">
        <v>60</v>
      </c>
      <c r="P189" s="30" t="s">
        <v>57</v>
      </c>
      <c r="Q189" s="64" t="s">
        <v>58</v>
      </c>
      <c r="R189" s="30"/>
      <c r="S189" s="30"/>
      <c r="T189" s="30"/>
      <c r="U189" s="30" t="s">
        <v>156</v>
      </c>
      <c r="V189" s="30"/>
      <c r="W189" s="51" t="str">
        <f>IFERROR(__xludf.DUMMYFUNCTION("LET(ref, IF(ISBLANK(H189), ""N/A"", H189), vendor, IF(ISNUMBER(SEARCH(""IMPS/"", G189)), INDEX(SPLIT(G189, ""/""), 7), IF(ISNUMBER(SEARCH(""To: "", G189)), TRIM(MID(G189, SEARCH(""To: "", G189)+4, IFERROR(SEARCH("" | Ref: "", G189), LEN(G189)+1) - SEARCH("&amp;"""To: "", G189) - 4)), ""Vendor"")), apt, IF(ISBLANK(S189), """", "" | Apt: "" &amp; S189), IF(ISBLANK(U189), ""Remarks Compulsory For Narration"", TRIM(IF(M189=""Internal"", IF(LEN(G189)-LEN(SUBSTITUTE(G189,""-"",""""))&gt;=3, IF(N(J189)&gt;0, ""Internal Fund Tran"&amp;"sfer (From x"" &amp; RIGHT(MID(G189, FIND(""-"", SUBSTITUTE(G189, ""-"", ""-"", 3)) + 1, LEN(G189)), 4) &amp; "" to YES IDW 0490)"", ""Internal Fund Transfer (From YES IDW 0490 to x"" &amp; RIGHT(MID(G189, FIND(""-"", SUBSTITUTE(G189, ""-"", ""-"", 3)) + 1, LEN(G189)"&amp;"), 4) &amp; "")"") &amp; "" | Ref: "" &amp; ref &amp; "" | Type: "" &amp; P189 &amp; "" | BU: "" &amp; L189 &amp; "" | Head: "" &amp; M189, ""Internal Transfer | Ref: "" &amp; ref &amp; "" | Type: "" &amp; P189 &amp; "" | BU: "" &amp; L189 &amp; "" | Head: "" &amp; M189), IF(N(J189)&gt;0, IF(P189=""Customer Collection"","&amp;" ""Receipt Credit (Collection) "" &amp; apt &amp; "" | Ref: "" &amp; ref &amp; "" | From: "" &amp; IF(ISNUMBER(SEARCH(""SOHNA ROAD"", G189)), ""Sohna Road"", ""Party"") &amp; "" | BU: "" &amp; L189, ""Receipt Credit from x"" &amp; RIGHT(MID(G189, FIND(""-"", SUBSTITUTE(G189, ""-"", ""-"&amp;""", 3)) + 1, LEN(G189)), 4) &amp; "" (Purpose: "" &amp; IF(OR(ISBLANK(U189), U189=""N/A""), L189, U189) &amp; "") "" &amp; apt &amp; "" | Ref: "" &amp; ref &amp; "" | BU: "" &amp; L189 &amp; "" | Head: "" &amp; M189), ""Payment Disbursement (Purpose: "" &amp; IF(ISNUMBER(SEARCH(""salary"", M189)), "&amp;"""Salary"", U189) &amp; "") | To: "" &amp; vendor &amp; "" | Ref: "" &amp; ref &amp; "" | BU: "" &amp; L189 &amp; "" | Head: "" &amp; M189 &amp; apt)))))"),"Payment Disbursement (Purpose: Construction Expenses) | To: Mukesh Kumar | Ref: YESI66174007214900 | BU: Casa Romana | Head: Contractor")</f>
        <v>Payment Disbursement (Purpose: Construction Expenses) | To: Mukesh Kumar | Ref: YESI66174007214900 | BU: Casa Romana | Head: Contractor</v>
      </c>
      <c r="X189" s="2"/>
      <c r="Y189" s="2"/>
      <c r="Z189" s="2"/>
      <c r="AA189" s="2"/>
      <c r="AB189" s="2"/>
      <c r="AC189" s="2"/>
      <c r="AD189" s="2"/>
      <c r="AE189" s="2"/>
    </row>
    <row r="190" ht="15.75" customHeight="1">
      <c r="A190" s="45">
        <v>244.0</v>
      </c>
      <c r="B190" s="45" t="str">
        <f t="shared" si="14"/>
        <v>#NAME?</v>
      </c>
      <c r="C190" s="45">
        <f t="shared" si="15"/>
        <v>6</v>
      </c>
      <c r="D190" s="75">
        <v>46196.0</v>
      </c>
      <c r="E190" s="75">
        <v>46196.0</v>
      </c>
      <c r="F190" s="45"/>
      <c r="G190" s="45" t="s">
        <v>1358</v>
      </c>
      <c r="H190" s="61" t="s">
        <v>1359</v>
      </c>
      <c r="I190" s="48">
        <v>210893.0</v>
      </c>
      <c r="J190" s="48"/>
      <c r="K190" s="48">
        <f t="shared" si="7"/>
        <v>200904</v>
      </c>
      <c r="L190" s="77" t="s">
        <v>45</v>
      </c>
      <c r="M190" s="77" t="s">
        <v>67</v>
      </c>
      <c r="N190" s="64"/>
      <c r="O190" s="77" t="s">
        <v>60</v>
      </c>
      <c r="P190" s="30" t="s">
        <v>57</v>
      </c>
      <c r="Q190" s="64" t="s">
        <v>58</v>
      </c>
      <c r="R190" s="30"/>
      <c r="S190" s="30"/>
      <c r="T190" s="30"/>
      <c r="U190" s="30" t="s">
        <v>499</v>
      </c>
      <c r="V190" s="30"/>
      <c r="W190" s="51" t="str">
        <f t="shared" ref="W190:W431" si="17">_xludf.LET(ref, IF(ISBLANK(H190), "N/A", H190), vendor, IF(ISNUMBER(SEARCH("/", G190)), TRIM(LEFT(SUBSTITUTE(MID(G190, SEARCH("/", G190)+1, 100), "/", REPT(" ", 100)), 100)), "Vendor"), apt, IF(ISBLANK(S190), "", " | Apt: " &amp; S190), IF(ISBLANK(U190), "Remarks Compulsory For Narration", TRIM(IF(M190="Internal", IF(LEN(G190)-LEN(SUBSTITUTE(G190,"-",""))&gt;=3, IF(N(J190)&gt;0, "Internal Fund Transfer (From x" &amp; RIGHT(MID(G190, FIND("-", SUBSTITUTE(G190, "-", "-", 3)) + 1, LEN(G190)), 4) &amp; " to YES IDW 0490)", "Internal Fund Transfer (From YES IDW 0490 to x" &amp; RIGHT(MID(G190, FIND("-", SUBSTITUTE(G190, "-", "-", 3)) + 1, LEN(G190)), 4) &amp; ")") &amp; " | Ref: " &amp; ref &amp; " | Type: " &amp; P190 &amp; " | BU: " &amp; L190 &amp; " | Head: " &amp; M190, "Internal Transfer | Ref: " &amp; ref &amp; " | Type: " &amp; P190 &amp; " | BU: " &amp; L190 &amp; " | Head: " &amp; M190), IF(N(J190)&gt;0, IF(P190="Customer Collection", "Receipt Credit (Collection) " &amp; apt &amp; " | Ref: " &amp; ref &amp; " | From: " &amp; IF(ISNUMBER(SEARCH("SOHNA ROAD", G190)), "Sohna Road", "Party") &amp; " | BU: " &amp; L190, "Receipt Credit from x" &amp; RIGHT(MID(G190, FIND("-", SUBSTITUTE(G190, "-", "-", 3)) + 1, LEN(G190)), 4) &amp; " (Purpose: " &amp; IF(OR(ISBLANK(U190), U190="N/A"), L190, U190) &amp; ") " &amp; apt &amp; " | Ref: " &amp; ref &amp; " | BU: " &amp; L190 &amp; " | Head: " &amp; M190), "Payment Disbursement (Purpose: " &amp; IF(ISNUMBER(SEARCH("salary", M190)), "Salary", U190) &amp; ") | To: " &amp; IF(ISNUMBER(SEARCH("/",G190)), IF(ISNUMBER(SEARCH("FINO PAYMENTS",G190)), MID(G190, FIND("/",G190, SEARCH("FINO PAYMENTS",G190))+1, FIND("/", G190, FIND("/",G190, SEARCH("FINO PAYMENTS",G190))+1) - FIND("/",G190, SEARCH("FINO PAYMENTS",G190)) - 1), IFERROR(MID(G190, FIND("/", G190, FIND("/", G190, FIND("/", G190, FIND("/", G190)+1)+1)+1)+1, FIND("/", G190, FIND("/", G190, FIND("/", G190, FIND("/", G190, FIND("/", G190)+1)+1)+1)+1) - FIND("/", G190, FIND("/", G190, FIND("/", G190)+1)+1) - 1), TRIM(RIGHT(SUBSTITUTE(G190,"/",REPT(" ",LEN(G190))),LEN(G190))))), IFERROR(MID(G190, FIND("-", G190, FIND("-", G190, FIND("-", G190) + 1) + 1) + 1, FIND("-", G190, FIND("-", G190, FIND("-", G190, FIND("-", G190) + 1) + 1) + 1) - FIND("-", G190, FIND("-", G190, FIND("-", G190) + 1) + 1) - 1), "Vendor")) &amp; " | Ref: " &amp; ref &amp; " | BU: " &amp; L190 &amp; " | Head: " &amp; M190 &amp; apt)))))</f>
        <v>#NAME?</v>
      </c>
      <c r="X190" s="2"/>
      <c r="Y190" s="2"/>
      <c r="Z190" s="2"/>
      <c r="AA190" s="2"/>
      <c r="AB190" s="2"/>
      <c r="AC190" s="2"/>
      <c r="AD190" s="2"/>
      <c r="AE190" s="2"/>
    </row>
    <row r="191" ht="15.75" customHeight="1">
      <c r="A191" s="45">
        <v>243.0</v>
      </c>
      <c r="B191" s="45" t="str">
        <f t="shared" si="14"/>
        <v>#NAME?</v>
      </c>
      <c r="C191" s="45">
        <f t="shared" si="15"/>
        <v>6</v>
      </c>
      <c r="D191" s="75">
        <v>46196.0</v>
      </c>
      <c r="E191" s="75">
        <v>46196.0</v>
      </c>
      <c r="F191" s="45"/>
      <c r="G191" s="45" t="s">
        <v>1385</v>
      </c>
      <c r="H191" s="61" t="s">
        <v>1386</v>
      </c>
      <c r="I191" s="48">
        <v>220750.0</v>
      </c>
      <c r="J191" s="48"/>
      <c r="K191" s="48">
        <f t="shared" si="7"/>
        <v>411797</v>
      </c>
      <c r="L191" s="77" t="s">
        <v>45</v>
      </c>
      <c r="M191" s="77" t="s">
        <v>55</v>
      </c>
      <c r="N191" s="64"/>
      <c r="O191" s="77" t="s">
        <v>60</v>
      </c>
      <c r="P191" s="30" t="s">
        <v>57</v>
      </c>
      <c r="Q191" s="64" t="s">
        <v>58</v>
      </c>
      <c r="R191" s="30"/>
      <c r="S191" s="30"/>
      <c r="T191" s="30"/>
      <c r="U191" s="30" t="s">
        <v>156</v>
      </c>
      <c r="V191" s="30"/>
      <c r="W191" s="51" t="str">
        <f t="shared" si="17"/>
        <v>#NAME?</v>
      </c>
      <c r="X191" s="2"/>
      <c r="Y191" s="2"/>
      <c r="Z191" s="2"/>
      <c r="AA191" s="2"/>
      <c r="AB191" s="2"/>
      <c r="AC191" s="2"/>
      <c r="AD191" s="2"/>
      <c r="AE191" s="2"/>
    </row>
    <row r="192" ht="15.75" customHeight="1">
      <c r="A192" s="45">
        <v>242.0</v>
      </c>
      <c r="B192" s="45" t="str">
        <f t="shared" si="14"/>
        <v>#NAME?</v>
      </c>
      <c r="C192" s="45">
        <f t="shared" si="15"/>
        <v>6</v>
      </c>
      <c r="D192" s="75">
        <v>46196.0</v>
      </c>
      <c r="E192" s="75">
        <v>46196.0</v>
      </c>
      <c r="F192" s="45"/>
      <c r="G192" s="45" t="s">
        <v>141</v>
      </c>
      <c r="H192" s="61" t="s">
        <v>500</v>
      </c>
      <c r="I192" s="48"/>
      <c r="J192" s="48">
        <v>500000.0</v>
      </c>
      <c r="K192" s="48">
        <f t="shared" si="7"/>
        <v>632547</v>
      </c>
      <c r="L192" s="77" t="s">
        <v>45</v>
      </c>
      <c r="M192" s="77" t="s">
        <v>47</v>
      </c>
      <c r="N192" s="64"/>
      <c r="O192" s="77" t="s">
        <v>60</v>
      </c>
      <c r="P192" s="30" t="s">
        <v>74</v>
      </c>
      <c r="Q192" s="64" t="s">
        <v>50</v>
      </c>
      <c r="R192" s="30"/>
      <c r="S192" s="30"/>
      <c r="T192" s="30"/>
      <c r="U192" s="30" t="s">
        <v>75</v>
      </c>
      <c r="V192" s="30"/>
      <c r="W192" s="51" t="str">
        <f t="shared" si="17"/>
        <v>#NAME?</v>
      </c>
      <c r="X192" s="2"/>
      <c r="Y192" s="2"/>
      <c r="Z192" s="2"/>
      <c r="AA192" s="2"/>
      <c r="AB192" s="2"/>
      <c r="AC192" s="2"/>
      <c r="AD192" s="2"/>
      <c r="AE192" s="2"/>
    </row>
    <row r="193" ht="15.75" customHeight="1">
      <c r="A193" s="45">
        <v>241.0</v>
      </c>
      <c r="B193" s="45" t="str">
        <f t="shared" si="14"/>
        <v>#NAME?</v>
      </c>
      <c r="C193" s="45">
        <f t="shared" si="15"/>
        <v>6</v>
      </c>
      <c r="D193" s="75">
        <v>46195.0</v>
      </c>
      <c r="E193" s="75">
        <v>46195.0</v>
      </c>
      <c r="F193" s="45"/>
      <c r="G193" s="45" t="s">
        <v>1395</v>
      </c>
      <c r="H193" s="61" t="s">
        <v>1396</v>
      </c>
      <c r="I193" s="48">
        <v>25167.0</v>
      </c>
      <c r="J193" s="48" t="s">
        <v>37</v>
      </c>
      <c r="K193" s="145">
        <f t="shared" si="7"/>
        <v>132547</v>
      </c>
      <c r="L193" s="77" t="s">
        <v>45</v>
      </c>
      <c r="M193" s="77" t="s">
        <v>67</v>
      </c>
      <c r="N193" s="64"/>
      <c r="O193" s="77" t="s">
        <v>60</v>
      </c>
      <c r="P193" s="30" t="s">
        <v>57</v>
      </c>
      <c r="Q193" s="64" t="s">
        <v>58</v>
      </c>
      <c r="R193" s="30"/>
      <c r="S193" s="30"/>
      <c r="T193" s="30"/>
      <c r="U193" s="30" t="s">
        <v>499</v>
      </c>
      <c r="V193" s="30"/>
      <c r="W193" s="51" t="str">
        <f t="shared" si="17"/>
        <v>#NAME?</v>
      </c>
      <c r="X193" s="2"/>
      <c r="Y193" s="2"/>
      <c r="Z193" s="2"/>
      <c r="AA193" s="2"/>
      <c r="AB193" s="2"/>
      <c r="AC193" s="2"/>
      <c r="AD193" s="2"/>
      <c r="AE193" s="2"/>
    </row>
    <row r="194" ht="15.75" customHeight="1">
      <c r="A194" s="45">
        <v>240.0</v>
      </c>
      <c r="B194" s="45" t="str">
        <f t="shared" si="14"/>
        <v>#NAME?</v>
      </c>
      <c r="C194" s="45">
        <f t="shared" si="15"/>
        <v>6</v>
      </c>
      <c r="D194" s="75">
        <v>46195.0</v>
      </c>
      <c r="E194" s="75">
        <v>46195.0</v>
      </c>
      <c r="F194" s="45"/>
      <c r="G194" s="45" t="s">
        <v>392</v>
      </c>
      <c r="H194" s="61" t="s">
        <v>257</v>
      </c>
      <c r="I194" s="48" t="s">
        <v>37</v>
      </c>
      <c r="J194" s="48">
        <v>150000.0</v>
      </c>
      <c r="K194" s="48">
        <f t="shared" si="7"/>
        <v>157714</v>
      </c>
      <c r="L194" s="77" t="s">
        <v>45</v>
      </c>
      <c r="M194" s="77" t="s">
        <v>47</v>
      </c>
      <c r="N194" s="64"/>
      <c r="O194" s="77" t="s">
        <v>60</v>
      </c>
      <c r="P194" s="30" t="s">
        <v>49</v>
      </c>
      <c r="Q194" s="64" t="s">
        <v>50</v>
      </c>
      <c r="R194" s="30"/>
      <c r="S194" s="30"/>
      <c r="T194" s="30"/>
      <c r="U194" s="30" t="s">
        <v>75</v>
      </c>
      <c r="V194" s="30"/>
      <c r="W194" s="51" t="str">
        <f t="shared" si="17"/>
        <v>#NAME?</v>
      </c>
      <c r="X194" s="2"/>
      <c r="Y194" s="2"/>
      <c r="Z194" s="2"/>
      <c r="AA194" s="2"/>
      <c r="AB194" s="2"/>
      <c r="AC194" s="2"/>
      <c r="AD194" s="2"/>
      <c r="AE194" s="2"/>
    </row>
    <row r="195" ht="15.75" customHeight="1">
      <c r="A195" s="45">
        <v>239.0</v>
      </c>
      <c r="B195" s="45" t="str">
        <f t="shared" si="14"/>
        <v>#NAME?</v>
      </c>
      <c r="C195" s="45">
        <f t="shared" si="15"/>
        <v>6</v>
      </c>
      <c r="D195" s="75">
        <v>46193.0</v>
      </c>
      <c r="E195" s="75">
        <v>46193.0</v>
      </c>
      <c r="F195" s="45"/>
      <c r="G195" s="45" t="s">
        <v>1405</v>
      </c>
      <c r="H195" s="61" t="s">
        <v>1406</v>
      </c>
      <c r="I195" s="48">
        <v>4950.0</v>
      </c>
      <c r="J195" s="48" t="s">
        <v>37</v>
      </c>
      <c r="K195" s="48">
        <f t="shared" si="7"/>
        <v>7714</v>
      </c>
      <c r="L195" s="77" t="s">
        <v>45</v>
      </c>
      <c r="M195" s="77" t="s">
        <v>55</v>
      </c>
      <c r="N195" s="64"/>
      <c r="O195" s="77" t="s">
        <v>60</v>
      </c>
      <c r="P195" s="30" t="s">
        <v>57</v>
      </c>
      <c r="Q195" s="64" t="s">
        <v>58</v>
      </c>
      <c r="R195" s="30"/>
      <c r="S195" s="30"/>
      <c r="T195" s="30"/>
      <c r="U195" s="30" t="s">
        <v>156</v>
      </c>
      <c r="V195" s="30"/>
      <c r="W195" s="51" t="str">
        <f t="shared" si="17"/>
        <v>#NAME?</v>
      </c>
      <c r="X195" s="2"/>
      <c r="Y195" s="2"/>
      <c r="Z195" s="2"/>
      <c r="AA195" s="2"/>
      <c r="AB195" s="2"/>
      <c r="AC195" s="2"/>
      <c r="AD195" s="2"/>
      <c r="AE195" s="2"/>
    </row>
    <row r="196" ht="15.75" customHeight="1">
      <c r="A196" s="45">
        <v>238.0</v>
      </c>
      <c r="B196" s="45" t="str">
        <f t="shared" si="14"/>
        <v>#NAME?</v>
      </c>
      <c r="C196" s="45">
        <f t="shared" si="15"/>
        <v>6</v>
      </c>
      <c r="D196" s="75">
        <v>46193.0</v>
      </c>
      <c r="E196" s="75">
        <v>46193.0</v>
      </c>
      <c r="F196" s="45"/>
      <c r="G196" s="45" t="s">
        <v>1413</v>
      </c>
      <c r="H196" s="61" t="s">
        <v>1414</v>
      </c>
      <c r="I196" s="48">
        <v>2970.0</v>
      </c>
      <c r="J196" s="48" t="s">
        <v>37</v>
      </c>
      <c r="K196" s="48">
        <f t="shared" si="7"/>
        <v>12664</v>
      </c>
      <c r="L196" s="77" t="s">
        <v>45</v>
      </c>
      <c r="M196" s="77" t="s">
        <v>55</v>
      </c>
      <c r="N196" s="64"/>
      <c r="O196" s="77" t="s">
        <v>60</v>
      </c>
      <c r="P196" s="30" t="s">
        <v>57</v>
      </c>
      <c r="Q196" s="64" t="s">
        <v>58</v>
      </c>
      <c r="R196" s="30"/>
      <c r="S196" s="30"/>
      <c r="T196" s="30"/>
      <c r="U196" s="30" t="s">
        <v>156</v>
      </c>
      <c r="V196" s="30"/>
      <c r="W196" s="51" t="str">
        <f t="shared" si="17"/>
        <v>#NAME?</v>
      </c>
      <c r="X196" s="2"/>
      <c r="Y196" s="2"/>
      <c r="Z196" s="2"/>
      <c r="AA196" s="2"/>
      <c r="AB196" s="2"/>
      <c r="AC196" s="2"/>
      <c r="AD196" s="2"/>
      <c r="AE196" s="2"/>
    </row>
    <row r="197" ht="15.75" customHeight="1">
      <c r="A197" s="45">
        <v>237.0</v>
      </c>
      <c r="B197" s="45" t="str">
        <f t="shared" si="14"/>
        <v>#NAME?</v>
      </c>
      <c r="C197" s="45">
        <f t="shared" si="15"/>
        <v>6</v>
      </c>
      <c r="D197" s="75">
        <v>46193.0</v>
      </c>
      <c r="E197" s="75">
        <v>46193.0</v>
      </c>
      <c r="F197" s="45"/>
      <c r="G197" s="45" t="s">
        <v>1418</v>
      </c>
      <c r="H197" s="61" t="s">
        <v>1422</v>
      </c>
      <c r="I197" s="48">
        <v>7920.0</v>
      </c>
      <c r="J197" s="48" t="s">
        <v>37</v>
      </c>
      <c r="K197" s="48">
        <f t="shared" si="7"/>
        <v>15634</v>
      </c>
      <c r="L197" s="77" t="s">
        <v>45</v>
      </c>
      <c r="M197" s="77" t="s">
        <v>55</v>
      </c>
      <c r="N197" s="64"/>
      <c r="O197" s="77" t="s">
        <v>60</v>
      </c>
      <c r="P197" s="30" t="s">
        <v>57</v>
      </c>
      <c r="Q197" s="64" t="s">
        <v>58</v>
      </c>
      <c r="R197" s="30"/>
      <c r="S197" s="30"/>
      <c r="T197" s="30"/>
      <c r="U197" s="30" t="s">
        <v>156</v>
      </c>
      <c r="V197" s="30"/>
      <c r="W197" s="51" t="str">
        <f t="shared" si="17"/>
        <v>#NAME?</v>
      </c>
      <c r="X197" s="2"/>
      <c r="Y197" s="2"/>
      <c r="Z197" s="2"/>
      <c r="AA197" s="2"/>
      <c r="AB197" s="2"/>
      <c r="AC197" s="2"/>
      <c r="AD197" s="2"/>
      <c r="AE197" s="2"/>
    </row>
    <row r="198" ht="15.75" customHeight="1">
      <c r="A198" s="45">
        <v>236.0</v>
      </c>
      <c r="B198" s="45" t="str">
        <f t="shared" si="14"/>
        <v>#NAME?</v>
      </c>
      <c r="C198" s="45">
        <f t="shared" si="15"/>
        <v>6</v>
      </c>
      <c r="D198" s="75">
        <v>46193.0</v>
      </c>
      <c r="E198" s="75">
        <v>46193.0</v>
      </c>
      <c r="F198" s="45"/>
      <c r="G198" s="45" t="s">
        <v>1425</v>
      </c>
      <c r="H198" s="61" t="s">
        <v>1426</v>
      </c>
      <c r="I198" s="48">
        <v>16500.0</v>
      </c>
      <c r="J198" s="48" t="s">
        <v>37</v>
      </c>
      <c r="K198" s="48">
        <f t="shared" si="7"/>
        <v>23554</v>
      </c>
      <c r="L198" s="77" t="s">
        <v>45</v>
      </c>
      <c r="M198" s="77" t="s">
        <v>55</v>
      </c>
      <c r="N198" s="64"/>
      <c r="O198" s="77" t="s">
        <v>60</v>
      </c>
      <c r="P198" s="30" t="s">
        <v>57</v>
      </c>
      <c r="Q198" s="64" t="s">
        <v>58</v>
      </c>
      <c r="R198" s="30"/>
      <c r="S198" s="30"/>
      <c r="T198" s="30"/>
      <c r="U198" s="30" t="s">
        <v>156</v>
      </c>
      <c r="V198" s="30"/>
      <c r="W198" s="51" t="str">
        <f t="shared" si="17"/>
        <v>#NAME?</v>
      </c>
      <c r="X198" s="2"/>
      <c r="Y198" s="2"/>
      <c r="Z198" s="2"/>
      <c r="AA198" s="2"/>
      <c r="AB198" s="2"/>
      <c r="AC198" s="2"/>
      <c r="AD198" s="2"/>
      <c r="AE198" s="2"/>
    </row>
    <row r="199" ht="15.75" customHeight="1">
      <c r="A199" s="45">
        <v>235.0</v>
      </c>
      <c r="B199" s="45" t="str">
        <f t="shared" si="14"/>
        <v>#NAME?</v>
      </c>
      <c r="C199" s="45">
        <f t="shared" si="15"/>
        <v>6</v>
      </c>
      <c r="D199" s="75">
        <v>46193.0</v>
      </c>
      <c r="E199" s="75">
        <v>46193.0</v>
      </c>
      <c r="F199" s="45"/>
      <c r="G199" s="45" t="s">
        <v>1429</v>
      </c>
      <c r="H199" s="61" t="s">
        <v>1430</v>
      </c>
      <c r="I199" s="48">
        <v>14850.0</v>
      </c>
      <c r="J199" s="48" t="s">
        <v>37</v>
      </c>
      <c r="K199" s="48">
        <f t="shared" si="7"/>
        <v>40054</v>
      </c>
      <c r="L199" s="77" t="s">
        <v>45</v>
      </c>
      <c r="M199" s="77" t="s">
        <v>55</v>
      </c>
      <c r="N199" s="64"/>
      <c r="O199" s="77" t="s">
        <v>60</v>
      </c>
      <c r="P199" s="30" t="s">
        <v>57</v>
      </c>
      <c r="Q199" s="64" t="s">
        <v>58</v>
      </c>
      <c r="R199" s="30"/>
      <c r="S199" s="30"/>
      <c r="T199" s="30"/>
      <c r="U199" s="30" t="s">
        <v>156</v>
      </c>
      <c r="V199" s="30"/>
      <c r="W199" s="51" t="str">
        <f t="shared" si="17"/>
        <v>#NAME?</v>
      </c>
      <c r="X199" s="2"/>
      <c r="Y199" s="2"/>
      <c r="Z199" s="2"/>
      <c r="AA199" s="2"/>
      <c r="AB199" s="2"/>
      <c r="AC199" s="2"/>
      <c r="AD199" s="2"/>
      <c r="AE199" s="2"/>
    </row>
    <row r="200" ht="15.75" customHeight="1">
      <c r="A200" s="45">
        <v>234.0</v>
      </c>
      <c r="B200" s="45" t="str">
        <f t="shared" si="14"/>
        <v>#NAME?</v>
      </c>
      <c r="C200" s="45">
        <f t="shared" si="15"/>
        <v>6</v>
      </c>
      <c r="D200" s="75">
        <v>46193.0</v>
      </c>
      <c r="E200" s="75">
        <v>46193.0</v>
      </c>
      <c r="F200" s="45"/>
      <c r="G200" s="45" t="s">
        <v>1434</v>
      </c>
      <c r="H200" s="61" t="s">
        <v>1436</v>
      </c>
      <c r="I200" s="48">
        <v>10000.0</v>
      </c>
      <c r="J200" s="48" t="s">
        <v>37</v>
      </c>
      <c r="K200" s="48">
        <f t="shared" si="7"/>
        <v>54904</v>
      </c>
      <c r="L200" s="77" t="s">
        <v>45</v>
      </c>
      <c r="M200" s="77" t="s">
        <v>85</v>
      </c>
      <c r="N200" s="64"/>
      <c r="O200" s="77" t="s">
        <v>60</v>
      </c>
      <c r="P200" s="30" t="s">
        <v>57</v>
      </c>
      <c r="Q200" s="64" t="s">
        <v>58</v>
      </c>
      <c r="R200" s="30"/>
      <c r="S200" s="30"/>
      <c r="T200" s="30"/>
      <c r="U200" s="30" t="s">
        <v>430</v>
      </c>
      <c r="V200" s="30"/>
      <c r="W200" s="51" t="str">
        <f t="shared" si="17"/>
        <v>#NAME?</v>
      </c>
      <c r="X200" s="2"/>
      <c r="Y200" s="2"/>
      <c r="Z200" s="2"/>
      <c r="AA200" s="2"/>
      <c r="AB200" s="2"/>
      <c r="AC200" s="2"/>
      <c r="AD200" s="2"/>
      <c r="AE200" s="2"/>
    </row>
    <row r="201" ht="15.75" customHeight="1">
      <c r="A201" s="45">
        <v>233.0</v>
      </c>
      <c r="B201" s="45" t="str">
        <f t="shared" si="14"/>
        <v>#NAME?</v>
      </c>
      <c r="C201" s="45">
        <f t="shared" si="15"/>
        <v>6</v>
      </c>
      <c r="D201" s="75">
        <v>46193.0</v>
      </c>
      <c r="E201" s="75">
        <v>46193.0</v>
      </c>
      <c r="F201" s="45"/>
      <c r="G201" s="45" t="s">
        <v>1440</v>
      </c>
      <c r="H201" s="61" t="s">
        <v>1441</v>
      </c>
      <c r="I201" s="48">
        <v>11880.0</v>
      </c>
      <c r="J201" s="48" t="s">
        <v>37</v>
      </c>
      <c r="K201" s="48">
        <f t="shared" si="7"/>
        <v>64904</v>
      </c>
      <c r="L201" s="77" t="s">
        <v>45</v>
      </c>
      <c r="M201" s="77" t="s">
        <v>55</v>
      </c>
      <c r="N201" s="64"/>
      <c r="O201" s="77" t="s">
        <v>60</v>
      </c>
      <c r="P201" s="30" t="s">
        <v>57</v>
      </c>
      <c r="Q201" s="64" t="s">
        <v>58</v>
      </c>
      <c r="R201" s="30"/>
      <c r="S201" s="30"/>
      <c r="T201" s="30"/>
      <c r="U201" s="30" t="s">
        <v>156</v>
      </c>
      <c r="V201" s="30"/>
      <c r="W201" s="51" t="str">
        <f t="shared" si="17"/>
        <v>#NAME?</v>
      </c>
      <c r="X201" s="2"/>
      <c r="Y201" s="2"/>
      <c r="Z201" s="2"/>
      <c r="AA201" s="2"/>
      <c r="AB201" s="2"/>
      <c r="AC201" s="2"/>
      <c r="AD201" s="2"/>
      <c r="AE201" s="2"/>
    </row>
    <row r="202" ht="15.75" customHeight="1">
      <c r="A202" s="45">
        <v>232.0</v>
      </c>
      <c r="B202" s="45" t="str">
        <f t="shared" si="14"/>
        <v>#NAME?</v>
      </c>
      <c r="C202" s="45">
        <f t="shared" si="15"/>
        <v>6</v>
      </c>
      <c r="D202" s="75">
        <v>46193.0</v>
      </c>
      <c r="E202" s="75">
        <v>46193.0</v>
      </c>
      <c r="F202" s="45"/>
      <c r="G202" s="45" t="s">
        <v>1443</v>
      </c>
      <c r="H202" s="61" t="s">
        <v>1444</v>
      </c>
      <c r="I202" s="48">
        <v>11880.0</v>
      </c>
      <c r="J202" s="48" t="s">
        <v>37</v>
      </c>
      <c r="K202" s="48">
        <f t="shared" si="7"/>
        <v>76784</v>
      </c>
      <c r="L202" s="77" t="s">
        <v>45</v>
      </c>
      <c r="M202" s="77" t="s">
        <v>55</v>
      </c>
      <c r="N202" s="64"/>
      <c r="O202" s="77" t="s">
        <v>60</v>
      </c>
      <c r="P202" s="30" t="s">
        <v>57</v>
      </c>
      <c r="Q202" s="64" t="s">
        <v>58</v>
      </c>
      <c r="R202" s="30"/>
      <c r="S202" s="30"/>
      <c r="T202" s="30"/>
      <c r="U202" s="30" t="s">
        <v>156</v>
      </c>
      <c r="V202" s="30"/>
      <c r="W202" s="51" t="str">
        <f t="shared" si="17"/>
        <v>#NAME?</v>
      </c>
      <c r="X202" s="2"/>
      <c r="Y202" s="2"/>
      <c r="Z202" s="2"/>
      <c r="AA202" s="2"/>
      <c r="AB202" s="2"/>
      <c r="AC202" s="2"/>
      <c r="AD202" s="2"/>
      <c r="AE202" s="2"/>
    </row>
    <row r="203" ht="15.75" customHeight="1">
      <c r="A203" s="45">
        <v>231.0</v>
      </c>
      <c r="B203" s="45" t="str">
        <f t="shared" si="14"/>
        <v>#NAME?</v>
      </c>
      <c r="C203" s="45">
        <f t="shared" si="15"/>
        <v>6</v>
      </c>
      <c r="D203" s="75">
        <v>46193.0</v>
      </c>
      <c r="E203" s="75">
        <v>46193.0</v>
      </c>
      <c r="F203" s="45"/>
      <c r="G203" s="45" t="s">
        <v>1445</v>
      </c>
      <c r="H203" s="61" t="s">
        <v>1446</v>
      </c>
      <c r="I203" s="48">
        <v>39600.0</v>
      </c>
      <c r="J203" s="48" t="s">
        <v>37</v>
      </c>
      <c r="K203" s="48">
        <f t="shared" si="7"/>
        <v>88664</v>
      </c>
      <c r="L203" s="77" t="s">
        <v>45</v>
      </c>
      <c r="M203" s="77" t="s">
        <v>55</v>
      </c>
      <c r="N203" s="64"/>
      <c r="O203" s="77" t="s">
        <v>60</v>
      </c>
      <c r="P203" s="30" t="s">
        <v>57</v>
      </c>
      <c r="Q203" s="64" t="s">
        <v>58</v>
      </c>
      <c r="R203" s="30"/>
      <c r="S203" s="30"/>
      <c r="T203" s="30"/>
      <c r="U203" s="30" t="s">
        <v>156</v>
      </c>
      <c r="V203" s="30"/>
      <c r="W203" s="51" t="str">
        <f t="shared" si="17"/>
        <v>#NAME?</v>
      </c>
      <c r="X203" s="2"/>
      <c r="Y203" s="2"/>
      <c r="Z203" s="2"/>
      <c r="AA203" s="2"/>
      <c r="AB203" s="2"/>
      <c r="AC203" s="2"/>
      <c r="AD203" s="2"/>
      <c r="AE203" s="2"/>
    </row>
    <row r="204" ht="15.75" customHeight="1">
      <c r="A204" s="45">
        <v>230.0</v>
      </c>
      <c r="B204" s="45" t="str">
        <f t="shared" si="14"/>
        <v>#NAME?</v>
      </c>
      <c r="C204" s="45">
        <f t="shared" si="15"/>
        <v>6</v>
      </c>
      <c r="D204" s="75">
        <v>46193.0</v>
      </c>
      <c r="E204" s="75">
        <v>46193.0</v>
      </c>
      <c r="F204" s="45"/>
      <c r="G204" s="45" t="s">
        <v>141</v>
      </c>
      <c r="H204" s="61" t="s">
        <v>546</v>
      </c>
      <c r="I204" s="48" t="s">
        <v>37</v>
      </c>
      <c r="J204" s="48">
        <v>30000.0</v>
      </c>
      <c r="K204" s="48">
        <f t="shared" si="7"/>
        <v>128264</v>
      </c>
      <c r="L204" s="77" t="s">
        <v>45</v>
      </c>
      <c r="M204" s="77" t="s">
        <v>47</v>
      </c>
      <c r="N204" s="64"/>
      <c r="O204" s="77" t="s">
        <v>60</v>
      </c>
      <c r="P204" s="30" t="s">
        <v>74</v>
      </c>
      <c r="Q204" s="64" t="s">
        <v>50</v>
      </c>
      <c r="R204" s="30"/>
      <c r="S204" s="30"/>
      <c r="T204" s="30"/>
      <c r="U204" s="30" t="s">
        <v>75</v>
      </c>
      <c r="V204" s="30"/>
      <c r="W204" s="51" t="str">
        <f t="shared" si="17"/>
        <v>#NAME?</v>
      </c>
      <c r="X204" s="2"/>
      <c r="Y204" s="2"/>
      <c r="Z204" s="2"/>
      <c r="AA204" s="2"/>
      <c r="AB204" s="2"/>
      <c r="AC204" s="2"/>
      <c r="AD204" s="2"/>
      <c r="AE204" s="2"/>
    </row>
    <row r="205" ht="15.75" customHeight="1">
      <c r="A205" s="45">
        <v>229.0</v>
      </c>
      <c r="B205" s="45" t="str">
        <f t="shared" si="14"/>
        <v>#NAME?</v>
      </c>
      <c r="C205" s="45">
        <f t="shared" si="15"/>
        <v>6</v>
      </c>
      <c r="D205" s="75">
        <v>46193.0</v>
      </c>
      <c r="E205" s="75">
        <v>46193.0</v>
      </c>
      <c r="F205" s="45"/>
      <c r="G205" s="45" t="s">
        <v>392</v>
      </c>
      <c r="H205" s="61" t="s">
        <v>264</v>
      </c>
      <c r="I205" s="48" t="s">
        <v>37</v>
      </c>
      <c r="J205" s="48">
        <v>90000.0</v>
      </c>
      <c r="K205" s="48">
        <f t="shared" si="7"/>
        <v>98264</v>
      </c>
      <c r="L205" s="77" t="s">
        <v>45</v>
      </c>
      <c r="M205" s="77" t="s">
        <v>47</v>
      </c>
      <c r="N205" s="64"/>
      <c r="O205" s="77" t="s">
        <v>60</v>
      </c>
      <c r="P205" s="30" t="s">
        <v>49</v>
      </c>
      <c r="Q205" s="64" t="s">
        <v>50</v>
      </c>
      <c r="R205" s="30"/>
      <c r="S205" s="30"/>
      <c r="T205" s="30"/>
      <c r="U205" s="30" t="s">
        <v>75</v>
      </c>
      <c r="V205" s="30"/>
      <c r="W205" s="51" t="str">
        <f t="shared" si="17"/>
        <v>#NAME?</v>
      </c>
      <c r="X205" s="2"/>
      <c r="Y205" s="2"/>
      <c r="Z205" s="2"/>
      <c r="AA205" s="2"/>
      <c r="AB205" s="2"/>
      <c r="AC205" s="2"/>
      <c r="AD205" s="2"/>
      <c r="AE205" s="2"/>
    </row>
    <row r="206" ht="15.75" customHeight="1">
      <c r="A206" s="45">
        <v>228.0</v>
      </c>
      <c r="B206" s="45" t="str">
        <f t="shared" si="14"/>
        <v>#NAME?</v>
      </c>
      <c r="C206" s="45">
        <f t="shared" si="15"/>
        <v>6</v>
      </c>
      <c r="D206" s="75">
        <v>46192.0</v>
      </c>
      <c r="E206" s="75">
        <v>46192.0</v>
      </c>
      <c r="F206" s="45"/>
      <c r="G206" s="45" t="s">
        <v>1448</v>
      </c>
      <c r="H206" s="61" t="s">
        <v>1449</v>
      </c>
      <c r="I206" s="48">
        <v>24750.0</v>
      </c>
      <c r="J206" s="48" t="s">
        <v>37</v>
      </c>
      <c r="K206" s="48">
        <f t="shared" si="7"/>
        <v>8264</v>
      </c>
      <c r="L206" s="77" t="s">
        <v>45</v>
      </c>
      <c r="M206" s="77" t="s">
        <v>55</v>
      </c>
      <c r="N206" s="64"/>
      <c r="O206" s="77" t="s">
        <v>60</v>
      </c>
      <c r="P206" s="30" t="s">
        <v>57</v>
      </c>
      <c r="Q206" s="64" t="s">
        <v>58</v>
      </c>
      <c r="R206" s="30"/>
      <c r="S206" s="30"/>
      <c r="T206" s="30"/>
      <c r="U206" s="30" t="s">
        <v>156</v>
      </c>
      <c r="V206" s="30"/>
      <c r="W206" s="51" t="str">
        <f t="shared" si="17"/>
        <v>#NAME?</v>
      </c>
      <c r="X206" s="2"/>
      <c r="Y206" s="2"/>
      <c r="Z206" s="2"/>
      <c r="AA206" s="2"/>
      <c r="AB206" s="2"/>
      <c r="AC206" s="2"/>
      <c r="AD206" s="2"/>
      <c r="AE206" s="2"/>
    </row>
    <row r="207" ht="15.75" customHeight="1">
      <c r="A207" s="45">
        <v>227.0</v>
      </c>
      <c r="B207" s="45" t="str">
        <f t="shared" si="14"/>
        <v>#NAME?</v>
      </c>
      <c r="C207" s="45">
        <f t="shared" si="15"/>
        <v>6</v>
      </c>
      <c r="D207" s="75">
        <v>46191.0</v>
      </c>
      <c r="E207" s="75">
        <v>46191.0</v>
      </c>
      <c r="F207" s="45"/>
      <c r="G207" s="45" t="s">
        <v>1452</v>
      </c>
      <c r="H207" s="61" t="s">
        <v>1453</v>
      </c>
      <c r="I207" s="48">
        <v>226721.0</v>
      </c>
      <c r="J207" s="48"/>
      <c r="K207" s="48">
        <f t="shared" si="7"/>
        <v>33014</v>
      </c>
      <c r="L207" s="77" t="s">
        <v>45</v>
      </c>
      <c r="M207" s="77" t="s">
        <v>47</v>
      </c>
      <c r="N207" s="64"/>
      <c r="O207" s="77" t="s">
        <v>60</v>
      </c>
      <c r="P207" s="30" t="s">
        <v>74</v>
      </c>
      <c r="Q207" s="64" t="s">
        <v>50</v>
      </c>
      <c r="R207" s="30"/>
      <c r="S207" s="30"/>
      <c r="T207" s="30"/>
      <c r="U207" s="30" t="s">
        <v>1455</v>
      </c>
      <c r="V207" s="30"/>
      <c r="W207" s="51" t="str">
        <f t="shared" si="17"/>
        <v>#NAME?</v>
      </c>
      <c r="X207" s="2"/>
      <c r="Y207" s="2"/>
      <c r="Z207" s="2"/>
      <c r="AA207" s="2"/>
      <c r="AB207" s="2"/>
      <c r="AC207" s="2"/>
      <c r="AD207" s="2"/>
      <c r="AE207" s="2"/>
    </row>
    <row r="208" ht="15.75" customHeight="1">
      <c r="A208" s="45">
        <v>226.0</v>
      </c>
      <c r="B208" s="45" t="str">
        <f t="shared" si="14"/>
        <v>#NAME?</v>
      </c>
      <c r="C208" s="45">
        <f t="shared" si="15"/>
        <v>6</v>
      </c>
      <c r="D208" s="75">
        <v>46191.0</v>
      </c>
      <c r="E208" s="75">
        <v>46191.0</v>
      </c>
      <c r="F208" s="45"/>
      <c r="G208" s="45" t="s">
        <v>141</v>
      </c>
      <c r="H208" s="61"/>
      <c r="I208" s="48"/>
      <c r="J208" s="48">
        <v>100000.0</v>
      </c>
      <c r="K208" s="48">
        <f t="shared" si="7"/>
        <v>259735</v>
      </c>
      <c r="L208" s="77" t="s">
        <v>45</v>
      </c>
      <c r="M208" s="77" t="s">
        <v>47</v>
      </c>
      <c r="N208" s="64"/>
      <c r="O208" s="77" t="s">
        <v>60</v>
      </c>
      <c r="P208" s="30" t="s">
        <v>74</v>
      </c>
      <c r="Q208" s="64" t="s">
        <v>50</v>
      </c>
      <c r="R208" s="30"/>
      <c r="S208" s="30"/>
      <c r="T208" s="30"/>
      <c r="U208" s="30" t="s">
        <v>75</v>
      </c>
      <c r="V208" s="30"/>
      <c r="W208" s="51" t="str">
        <f t="shared" si="17"/>
        <v>#NAME?</v>
      </c>
      <c r="X208" s="2"/>
      <c r="Y208" s="2"/>
      <c r="Z208" s="2"/>
      <c r="AA208" s="2"/>
      <c r="AB208" s="2"/>
      <c r="AC208" s="2"/>
      <c r="AD208" s="2"/>
      <c r="AE208" s="2"/>
    </row>
    <row r="209" ht="15.75" customHeight="1">
      <c r="A209" s="45">
        <v>225.0</v>
      </c>
      <c r="B209" s="45" t="str">
        <f t="shared" si="14"/>
        <v>#NAME?</v>
      </c>
      <c r="C209" s="45">
        <f t="shared" si="15"/>
        <v>6</v>
      </c>
      <c r="D209" s="75">
        <v>46190.0</v>
      </c>
      <c r="E209" s="75">
        <v>46190.0</v>
      </c>
      <c r="F209" s="45"/>
      <c r="G209" s="45" t="s">
        <v>1484</v>
      </c>
      <c r="H209" s="61"/>
      <c r="I209" s="48">
        <v>200000.0</v>
      </c>
      <c r="J209" s="48"/>
      <c r="K209" s="48">
        <f t="shared" si="7"/>
        <v>159735</v>
      </c>
      <c r="L209" s="77" t="s">
        <v>45</v>
      </c>
      <c r="M209" s="77" t="s">
        <v>55</v>
      </c>
      <c r="N209" s="64"/>
      <c r="O209" s="77" t="s">
        <v>60</v>
      </c>
      <c r="P209" s="30" t="s">
        <v>57</v>
      </c>
      <c r="Q209" s="64" t="s">
        <v>58</v>
      </c>
      <c r="R209" s="30"/>
      <c r="S209" s="30"/>
      <c r="T209" s="30"/>
      <c r="U209" s="30" t="s">
        <v>1498</v>
      </c>
      <c r="V209" s="30"/>
      <c r="W209" s="51" t="str">
        <f t="shared" si="17"/>
        <v>#NAME?</v>
      </c>
      <c r="X209" s="2"/>
      <c r="Y209" s="2"/>
      <c r="Z209" s="2"/>
      <c r="AA209" s="2"/>
      <c r="AB209" s="2"/>
      <c r="AC209" s="2"/>
      <c r="AD209" s="2"/>
      <c r="AE209" s="2"/>
    </row>
    <row r="210" ht="15.75" customHeight="1">
      <c r="A210" s="45">
        <v>224.0</v>
      </c>
      <c r="B210" s="45" t="str">
        <f t="shared" si="14"/>
        <v>#NAME?</v>
      </c>
      <c r="C210" s="45">
        <f t="shared" si="15"/>
        <v>6</v>
      </c>
      <c r="D210" s="75">
        <v>46190.0</v>
      </c>
      <c r="E210" s="75">
        <v>46190.0</v>
      </c>
      <c r="F210" s="45"/>
      <c r="G210" s="45" t="s">
        <v>141</v>
      </c>
      <c r="H210" s="61"/>
      <c r="I210" s="48"/>
      <c r="J210" s="48">
        <v>300000.0</v>
      </c>
      <c r="K210" s="48">
        <f t="shared" si="7"/>
        <v>359735</v>
      </c>
      <c r="L210" s="77" t="s">
        <v>45</v>
      </c>
      <c r="M210" s="77" t="s">
        <v>47</v>
      </c>
      <c r="N210" s="64"/>
      <c r="O210" s="77" t="s">
        <v>60</v>
      </c>
      <c r="P210" s="30" t="s">
        <v>74</v>
      </c>
      <c r="Q210" s="64" t="s">
        <v>50</v>
      </c>
      <c r="R210" s="30"/>
      <c r="S210" s="30"/>
      <c r="T210" s="30"/>
      <c r="U210" s="30" t="s">
        <v>75</v>
      </c>
      <c r="V210" s="30"/>
      <c r="W210" s="51" t="str">
        <f t="shared" si="17"/>
        <v>#NAME?</v>
      </c>
      <c r="X210" s="2"/>
      <c r="Y210" s="2"/>
      <c r="Z210" s="2"/>
      <c r="AA210" s="2"/>
      <c r="AB210" s="2"/>
      <c r="AC210" s="2"/>
      <c r="AD210" s="2"/>
      <c r="AE210" s="2"/>
    </row>
    <row r="211" ht="15.75" customHeight="1">
      <c r="A211" s="45">
        <v>223.0</v>
      </c>
      <c r="B211" s="45" t="str">
        <f t="shared" si="14"/>
        <v>#NAME?</v>
      </c>
      <c r="C211" s="45">
        <f t="shared" si="15"/>
        <v>6</v>
      </c>
      <c r="D211" s="75">
        <v>46188.0</v>
      </c>
      <c r="E211" s="75">
        <v>46188.0</v>
      </c>
      <c r="F211" s="45"/>
      <c r="G211" s="45" t="s">
        <v>1537</v>
      </c>
      <c r="H211" s="61"/>
      <c r="I211" s="48">
        <v>12043.0</v>
      </c>
      <c r="J211" s="48"/>
      <c r="K211" s="48">
        <f t="shared" si="7"/>
        <v>59735</v>
      </c>
      <c r="L211" s="77" t="s">
        <v>45</v>
      </c>
      <c r="M211" s="77" t="s">
        <v>110</v>
      </c>
      <c r="N211" s="64"/>
      <c r="O211" s="77" t="s">
        <v>60</v>
      </c>
      <c r="P211" s="30" t="s">
        <v>57</v>
      </c>
      <c r="Q211" s="64" t="s">
        <v>58</v>
      </c>
      <c r="R211" s="30"/>
      <c r="S211" s="30"/>
      <c r="T211" s="30"/>
      <c r="U211" s="30" t="s">
        <v>75</v>
      </c>
      <c r="V211" s="30"/>
      <c r="W211" s="51" t="str">
        <f t="shared" si="17"/>
        <v>#NAME?</v>
      </c>
      <c r="X211" s="2"/>
      <c r="Y211" s="2"/>
      <c r="Z211" s="2"/>
      <c r="AA211" s="2"/>
      <c r="AB211" s="2"/>
      <c r="AC211" s="2"/>
      <c r="AD211" s="2"/>
      <c r="AE211" s="2"/>
    </row>
    <row r="212" ht="15.75" customHeight="1">
      <c r="A212" s="45">
        <v>222.0</v>
      </c>
      <c r="B212" s="45" t="str">
        <f t="shared" si="14"/>
        <v>#NAME?</v>
      </c>
      <c r="C212" s="45">
        <f t="shared" si="15"/>
        <v>6</v>
      </c>
      <c r="D212" s="75">
        <v>46188.0</v>
      </c>
      <c r="E212" s="75">
        <v>46188.0</v>
      </c>
      <c r="F212" s="45"/>
      <c r="G212" s="45" t="s">
        <v>1572</v>
      </c>
      <c r="H212" s="61"/>
      <c r="I212" s="48">
        <v>7284.0</v>
      </c>
      <c r="J212" s="48"/>
      <c r="K212" s="48">
        <f t="shared" si="7"/>
        <v>71778</v>
      </c>
      <c r="L212" s="77" t="s">
        <v>45</v>
      </c>
      <c r="M212" s="77" t="s">
        <v>110</v>
      </c>
      <c r="N212" s="64"/>
      <c r="O212" s="77" t="s">
        <v>60</v>
      </c>
      <c r="P212" s="30" t="s">
        <v>57</v>
      </c>
      <c r="Q212" s="64" t="s">
        <v>58</v>
      </c>
      <c r="R212" s="30"/>
      <c r="S212" s="30"/>
      <c r="T212" s="30"/>
      <c r="U212" s="30" t="s">
        <v>75</v>
      </c>
      <c r="V212" s="30"/>
      <c r="W212" s="51" t="str">
        <f t="shared" si="17"/>
        <v>#NAME?</v>
      </c>
      <c r="X212" s="2"/>
      <c r="Y212" s="2"/>
      <c r="Z212" s="2"/>
      <c r="AA212" s="2"/>
      <c r="AB212" s="2"/>
      <c r="AC212" s="2"/>
      <c r="AD212" s="2"/>
      <c r="AE212" s="2"/>
    </row>
    <row r="213" ht="15.75" customHeight="1">
      <c r="A213" s="45">
        <v>221.0</v>
      </c>
      <c r="B213" s="45" t="str">
        <f t="shared" si="14"/>
        <v>#NAME?</v>
      </c>
      <c r="C213" s="45">
        <f t="shared" si="15"/>
        <v>6</v>
      </c>
      <c r="D213" s="75">
        <v>46188.0</v>
      </c>
      <c r="E213" s="75">
        <v>46188.0</v>
      </c>
      <c r="F213" s="45"/>
      <c r="G213" s="45" t="s">
        <v>1626</v>
      </c>
      <c r="H213" s="61"/>
      <c r="I213" s="48">
        <v>26358.0</v>
      </c>
      <c r="J213" s="48"/>
      <c r="K213" s="48">
        <f t="shared" si="7"/>
        <v>79062</v>
      </c>
      <c r="L213" s="77" t="s">
        <v>45</v>
      </c>
      <c r="M213" s="77" t="s">
        <v>110</v>
      </c>
      <c r="N213" s="64"/>
      <c r="O213" s="77" t="s">
        <v>60</v>
      </c>
      <c r="P213" s="30" t="s">
        <v>57</v>
      </c>
      <c r="Q213" s="64" t="s">
        <v>58</v>
      </c>
      <c r="R213" s="30"/>
      <c r="S213" s="30"/>
      <c r="T213" s="30"/>
      <c r="U213" s="30" t="s">
        <v>75</v>
      </c>
      <c r="V213" s="30"/>
      <c r="W213" s="51" t="str">
        <f t="shared" si="17"/>
        <v>#NAME?</v>
      </c>
      <c r="X213" s="2"/>
      <c r="Y213" s="2"/>
      <c r="Z213" s="2"/>
      <c r="AA213" s="2"/>
      <c r="AB213" s="2"/>
      <c r="AC213" s="2"/>
      <c r="AD213" s="2"/>
      <c r="AE213" s="2"/>
    </row>
    <row r="214" ht="15.75" customHeight="1">
      <c r="A214" s="45">
        <v>220.0</v>
      </c>
      <c r="B214" s="45" t="str">
        <f t="shared" si="14"/>
        <v>#NAME?</v>
      </c>
      <c r="C214" s="45">
        <f t="shared" si="15"/>
        <v>6</v>
      </c>
      <c r="D214" s="75">
        <v>46188.0</v>
      </c>
      <c r="E214" s="75">
        <v>46188.0</v>
      </c>
      <c r="F214" s="45"/>
      <c r="G214" s="45" t="s">
        <v>1671</v>
      </c>
      <c r="H214" s="61"/>
      <c r="I214" s="48">
        <v>21780.0</v>
      </c>
      <c r="J214" s="48"/>
      <c r="K214" s="48">
        <f t="shared" si="7"/>
        <v>105420</v>
      </c>
      <c r="L214" s="77" t="s">
        <v>45</v>
      </c>
      <c r="M214" s="77" t="s">
        <v>55</v>
      </c>
      <c r="N214" s="64"/>
      <c r="O214" s="77" t="s">
        <v>60</v>
      </c>
      <c r="P214" s="30" t="s">
        <v>57</v>
      </c>
      <c r="Q214" s="64" t="s">
        <v>58</v>
      </c>
      <c r="R214" s="30"/>
      <c r="S214" s="30"/>
      <c r="T214" s="30"/>
      <c r="U214" s="30" t="s">
        <v>156</v>
      </c>
      <c r="V214" s="30"/>
      <c r="W214" s="51" t="str">
        <f t="shared" si="17"/>
        <v>#NAME?</v>
      </c>
      <c r="X214" s="2"/>
      <c r="Y214" s="2"/>
      <c r="Z214" s="2"/>
      <c r="AA214" s="2"/>
      <c r="AB214" s="2"/>
      <c r="AC214" s="2"/>
      <c r="AD214" s="2"/>
      <c r="AE214" s="2"/>
    </row>
    <row r="215" ht="15.75" customHeight="1">
      <c r="A215" s="45">
        <v>219.0</v>
      </c>
      <c r="B215" s="45" t="str">
        <f t="shared" si="14"/>
        <v>#NAME?</v>
      </c>
      <c r="C215" s="45">
        <f t="shared" si="15"/>
        <v>6</v>
      </c>
      <c r="D215" s="75">
        <v>46188.0</v>
      </c>
      <c r="E215" s="75">
        <v>46188.0</v>
      </c>
      <c r="F215" s="45"/>
      <c r="G215" s="45" t="s">
        <v>1708</v>
      </c>
      <c r="H215" s="61"/>
      <c r="I215" s="48">
        <v>8097.0</v>
      </c>
      <c r="J215" s="48"/>
      <c r="K215" s="48">
        <f t="shared" si="7"/>
        <v>127200</v>
      </c>
      <c r="L215" s="77" t="s">
        <v>45</v>
      </c>
      <c r="M215" s="77" t="s">
        <v>110</v>
      </c>
      <c r="N215" s="64"/>
      <c r="O215" s="77" t="s">
        <v>60</v>
      </c>
      <c r="P215" s="30" t="s">
        <v>57</v>
      </c>
      <c r="Q215" s="64" t="s">
        <v>58</v>
      </c>
      <c r="R215" s="30"/>
      <c r="S215" s="30"/>
      <c r="T215" s="30"/>
      <c r="U215" s="30" t="s">
        <v>75</v>
      </c>
      <c r="V215" s="30"/>
      <c r="W215" s="51" t="str">
        <f t="shared" si="17"/>
        <v>#NAME?</v>
      </c>
      <c r="X215" s="2"/>
      <c r="Y215" s="2"/>
      <c r="Z215" s="2"/>
      <c r="AA215" s="2"/>
      <c r="AB215" s="2"/>
      <c r="AC215" s="2"/>
      <c r="AD215" s="2"/>
      <c r="AE215" s="2"/>
    </row>
    <row r="216" ht="15.75" customHeight="1">
      <c r="A216" s="45">
        <v>218.0</v>
      </c>
      <c r="B216" s="45" t="str">
        <f t="shared" si="14"/>
        <v>#NAME?</v>
      </c>
      <c r="C216" s="45">
        <f t="shared" si="15"/>
        <v>6</v>
      </c>
      <c r="D216" s="75">
        <v>46188.0</v>
      </c>
      <c r="E216" s="75">
        <v>46188.0</v>
      </c>
      <c r="F216" s="45"/>
      <c r="G216" s="45" t="s">
        <v>1741</v>
      </c>
      <c r="H216" s="61"/>
      <c r="I216" s="48">
        <v>4274.0</v>
      </c>
      <c r="J216" s="48"/>
      <c r="K216" s="48">
        <f t="shared" si="7"/>
        <v>135297</v>
      </c>
      <c r="L216" s="77" t="s">
        <v>45</v>
      </c>
      <c r="M216" s="77" t="s">
        <v>110</v>
      </c>
      <c r="N216" s="64"/>
      <c r="O216" s="77" t="s">
        <v>60</v>
      </c>
      <c r="P216" s="30" t="s">
        <v>57</v>
      </c>
      <c r="Q216" s="64" t="s">
        <v>58</v>
      </c>
      <c r="R216" s="30"/>
      <c r="S216" s="30"/>
      <c r="T216" s="30"/>
      <c r="U216" s="30" t="s">
        <v>75</v>
      </c>
      <c r="V216" s="30"/>
      <c r="W216" s="51" t="str">
        <f t="shared" si="17"/>
        <v>#NAME?</v>
      </c>
      <c r="X216" s="2"/>
      <c r="Y216" s="2"/>
      <c r="Z216" s="2"/>
      <c r="AA216" s="2"/>
      <c r="AB216" s="2"/>
      <c r="AC216" s="2"/>
      <c r="AD216" s="2"/>
      <c r="AE216" s="2"/>
    </row>
    <row r="217" ht="15.75" customHeight="1">
      <c r="A217" s="45">
        <v>217.0</v>
      </c>
      <c r="B217" s="45" t="str">
        <f t="shared" si="14"/>
        <v>#NAME?</v>
      </c>
      <c r="C217" s="45">
        <f t="shared" si="15"/>
        <v>6</v>
      </c>
      <c r="D217" s="75">
        <v>46188.0</v>
      </c>
      <c r="E217" s="75">
        <v>46188.0</v>
      </c>
      <c r="F217" s="45"/>
      <c r="G217" s="45" t="s">
        <v>1767</v>
      </c>
      <c r="H217" s="61"/>
      <c r="I217" s="48">
        <v>11654.0</v>
      </c>
      <c r="J217" s="48"/>
      <c r="K217" s="48">
        <f t="shared" si="7"/>
        <v>139571</v>
      </c>
      <c r="L217" s="77" t="s">
        <v>45</v>
      </c>
      <c r="M217" s="77" t="s">
        <v>110</v>
      </c>
      <c r="N217" s="64"/>
      <c r="O217" s="77" t="s">
        <v>60</v>
      </c>
      <c r="P217" s="30" t="s">
        <v>57</v>
      </c>
      <c r="Q217" s="64" t="s">
        <v>58</v>
      </c>
      <c r="R217" s="30"/>
      <c r="S217" s="30"/>
      <c r="T217" s="30"/>
      <c r="U217" s="30" t="s">
        <v>75</v>
      </c>
      <c r="V217" s="30"/>
      <c r="W217" s="51" t="str">
        <f t="shared" si="17"/>
        <v>#NAME?</v>
      </c>
      <c r="X217" s="2"/>
      <c r="Y217" s="2"/>
      <c r="Z217" s="2"/>
      <c r="AA217" s="2"/>
      <c r="AB217" s="2"/>
      <c r="AC217" s="2"/>
      <c r="AD217" s="2"/>
      <c r="AE217" s="2"/>
    </row>
    <row r="218" ht="15.75" customHeight="1">
      <c r="A218" s="45">
        <v>216.0</v>
      </c>
      <c r="B218" s="45" t="str">
        <f t="shared" si="14"/>
        <v>#NAME?</v>
      </c>
      <c r="C218" s="45">
        <f t="shared" si="15"/>
        <v>6</v>
      </c>
      <c r="D218" s="75">
        <v>46188.0</v>
      </c>
      <c r="E218" s="75">
        <v>46188.0</v>
      </c>
      <c r="F218" s="45"/>
      <c r="G218" s="45" t="s">
        <v>1798</v>
      </c>
      <c r="H218" s="61"/>
      <c r="I218" s="48">
        <v>26298.0</v>
      </c>
      <c r="J218" s="48"/>
      <c r="K218" s="48">
        <f t="shared" si="7"/>
        <v>151225</v>
      </c>
      <c r="L218" s="77" t="s">
        <v>45</v>
      </c>
      <c r="M218" s="77" t="s">
        <v>110</v>
      </c>
      <c r="N218" s="64"/>
      <c r="O218" s="77" t="s">
        <v>60</v>
      </c>
      <c r="P218" s="30" t="s">
        <v>57</v>
      </c>
      <c r="Q218" s="64" t="s">
        <v>58</v>
      </c>
      <c r="R218" s="30"/>
      <c r="S218" s="30"/>
      <c r="T218" s="30"/>
      <c r="U218" s="30" t="s">
        <v>75</v>
      </c>
      <c r="V218" s="30"/>
      <c r="W218" s="51" t="str">
        <f t="shared" si="17"/>
        <v>#NAME?</v>
      </c>
      <c r="X218" s="2"/>
      <c r="Y218" s="2"/>
      <c r="Z218" s="2"/>
      <c r="AA218" s="2"/>
      <c r="AB218" s="2"/>
      <c r="AC218" s="2"/>
      <c r="AD218" s="2"/>
      <c r="AE218" s="2"/>
    </row>
    <row r="219" ht="15.75" customHeight="1">
      <c r="A219" s="45">
        <v>215.0</v>
      </c>
      <c r="B219" s="45" t="str">
        <f t="shared" si="14"/>
        <v>#NAME?</v>
      </c>
      <c r="C219" s="45">
        <f t="shared" si="15"/>
        <v>6</v>
      </c>
      <c r="D219" s="75">
        <v>46188.0</v>
      </c>
      <c r="E219" s="75">
        <v>46188.0</v>
      </c>
      <c r="F219" s="45"/>
      <c r="G219" s="45" t="s">
        <v>1836</v>
      </c>
      <c r="H219" s="61"/>
      <c r="I219" s="48">
        <v>16939.0</v>
      </c>
      <c r="J219" s="48"/>
      <c r="K219" s="48">
        <f t="shared" si="7"/>
        <v>177523</v>
      </c>
      <c r="L219" s="77" t="s">
        <v>45</v>
      </c>
      <c r="M219" s="77" t="s">
        <v>67</v>
      </c>
      <c r="N219" s="64"/>
      <c r="O219" s="77" t="s">
        <v>60</v>
      </c>
      <c r="P219" s="30" t="s">
        <v>57</v>
      </c>
      <c r="Q219" s="64" t="s">
        <v>58</v>
      </c>
      <c r="R219" s="30"/>
      <c r="S219" s="30"/>
      <c r="T219" s="30"/>
      <c r="U219" s="30" t="s">
        <v>499</v>
      </c>
      <c r="V219" s="30"/>
      <c r="W219" s="51" t="str">
        <f t="shared" si="17"/>
        <v>#NAME?</v>
      </c>
      <c r="X219" s="2"/>
      <c r="Y219" s="2"/>
      <c r="Z219" s="2"/>
      <c r="AA219" s="2"/>
      <c r="AB219" s="2"/>
      <c r="AC219" s="2"/>
      <c r="AD219" s="2"/>
      <c r="AE219" s="2"/>
    </row>
    <row r="220" ht="15.75" customHeight="1">
      <c r="A220" s="45">
        <v>214.0</v>
      </c>
      <c r="B220" s="45" t="str">
        <f t="shared" si="14"/>
        <v>#NAME?</v>
      </c>
      <c r="C220" s="45">
        <f t="shared" si="15"/>
        <v>6</v>
      </c>
      <c r="D220" s="75">
        <v>46188.0</v>
      </c>
      <c r="E220" s="75">
        <v>46188.0</v>
      </c>
      <c r="F220" s="45"/>
      <c r="G220" s="45" t="s">
        <v>1868</v>
      </c>
      <c r="H220" s="61"/>
      <c r="I220" s="48">
        <v>10562.0</v>
      </c>
      <c r="J220" s="48"/>
      <c r="K220" s="48">
        <f t="shared" si="7"/>
        <v>194462</v>
      </c>
      <c r="L220" s="77" t="s">
        <v>45</v>
      </c>
      <c r="M220" s="77" t="s">
        <v>110</v>
      </c>
      <c r="N220" s="64"/>
      <c r="O220" s="77" t="s">
        <v>60</v>
      </c>
      <c r="P220" s="30" t="s">
        <v>57</v>
      </c>
      <c r="Q220" s="64" t="s">
        <v>58</v>
      </c>
      <c r="R220" s="30"/>
      <c r="S220" s="30"/>
      <c r="T220" s="30"/>
      <c r="U220" s="30" t="s">
        <v>75</v>
      </c>
      <c r="V220" s="30"/>
      <c r="W220" s="51" t="str">
        <f t="shared" si="17"/>
        <v>#NAME?</v>
      </c>
      <c r="X220" s="2"/>
      <c r="Y220" s="2"/>
      <c r="Z220" s="2"/>
      <c r="AA220" s="2"/>
      <c r="AB220" s="2"/>
      <c r="AC220" s="2"/>
      <c r="AD220" s="2"/>
      <c r="AE220" s="2"/>
    </row>
    <row r="221" ht="15.75" customHeight="1">
      <c r="A221" s="45">
        <v>213.0</v>
      </c>
      <c r="B221" s="45" t="str">
        <f t="shared" si="14"/>
        <v>#NAME?</v>
      </c>
      <c r="C221" s="45">
        <f t="shared" si="15"/>
        <v>6</v>
      </c>
      <c r="D221" s="75">
        <v>46188.0</v>
      </c>
      <c r="E221" s="75">
        <v>46188.0</v>
      </c>
      <c r="F221" s="45"/>
      <c r="G221" s="45" t="s">
        <v>1869</v>
      </c>
      <c r="H221" s="61"/>
      <c r="I221" s="48">
        <v>39898.0</v>
      </c>
      <c r="J221" s="48"/>
      <c r="K221" s="48">
        <f t="shared" si="7"/>
        <v>205024</v>
      </c>
      <c r="L221" s="77" t="s">
        <v>45</v>
      </c>
      <c r="M221" s="77" t="s">
        <v>110</v>
      </c>
      <c r="N221" s="64"/>
      <c r="O221" s="77" t="s">
        <v>60</v>
      </c>
      <c r="P221" s="30" t="s">
        <v>57</v>
      </c>
      <c r="Q221" s="64" t="s">
        <v>58</v>
      </c>
      <c r="R221" s="30"/>
      <c r="S221" s="30"/>
      <c r="T221" s="30"/>
      <c r="U221" s="30" t="s">
        <v>75</v>
      </c>
      <c r="V221" s="30"/>
      <c r="W221" s="51" t="str">
        <f t="shared" si="17"/>
        <v>#NAME?</v>
      </c>
      <c r="X221" s="2"/>
      <c r="Y221" s="2"/>
      <c r="Z221" s="2"/>
      <c r="AA221" s="2"/>
      <c r="AB221" s="2"/>
      <c r="AC221" s="2"/>
      <c r="AD221" s="2"/>
      <c r="AE221" s="2"/>
    </row>
    <row r="222" ht="15.75" customHeight="1">
      <c r="A222" s="45">
        <v>212.0</v>
      </c>
      <c r="B222" s="45" t="str">
        <f t="shared" si="14"/>
        <v>#NAME?</v>
      </c>
      <c r="C222" s="45">
        <f t="shared" si="15"/>
        <v>6</v>
      </c>
      <c r="D222" s="75">
        <v>46188.0</v>
      </c>
      <c r="E222" s="75">
        <v>46188.0</v>
      </c>
      <c r="F222" s="45"/>
      <c r="G222" s="45" t="s">
        <v>1870</v>
      </c>
      <c r="H222" s="61"/>
      <c r="I222" s="48">
        <v>16760.0</v>
      </c>
      <c r="J222" s="48"/>
      <c r="K222" s="48">
        <f t="shared" si="7"/>
        <v>244922</v>
      </c>
      <c r="L222" s="77" t="s">
        <v>45</v>
      </c>
      <c r="M222" s="77" t="s">
        <v>110</v>
      </c>
      <c r="N222" s="64"/>
      <c r="O222" s="77" t="s">
        <v>60</v>
      </c>
      <c r="P222" s="30" t="s">
        <v>57</v>
      </c>
      <c r="Q222" s="64" t="s">
        <v>58</v>
      </c>
      <c r="R222" s="30"/>
      <c r="S222" s="30"/>
      <c r="T222" s="30"/>
      <c r="U222" s="30" t="s">
        <v>75</v>
      </c>
      <c r="V222" s="30"/>
      <c r="W222" s="51" t="str">
        <f t="shared" si="17"/>
        <v>#NAME?</v>
      </c>
      <c r="X222" s="2"/>
      <c r="Y222" s="2"/>
      <c r="Z222" s="2"/>
      <c r="AA222" s="2"/>
      <c r="AB222" s="2"/>
      <c r="AC222" s="2"/>
      <c r="AD222" s="2"/>
      <c r="AE222" s="2"/>
    </row>
    <row r="223" ht="15.75" customHeight="1">
      <c r="A223" s="45">
        <v>211.0</v>
      </c>
      <c r="B223" s="45" t="str">
        <f t="shared" si="14"/>
        <v>#NAME?</v>
      </c>
      <c r="C223" s="45">
        <f t="shared" si="15"/>
        <v>6</v>
      </c>
      <c r="D223" s="75">
        <v>46188.0</v>
      </c>
      <c r="E223" s="75">
        <v>46188.0</v>
      </c>
      <c r="F223" s="45"/>
      <c r="G223" s="45" t="s">
        <v>1871</v>
      </c>
      <c r="H223" s="61"/>
      <c r="I223" s="48">
        <v>9383.0</v>
      </c>
      <c r="J223" s="48"/>
      <c r="K223" s="48">
        <f t="shared" si="7"/>
        <v>261682</v>
      </c>
      <c r="L223" s="77" t="s">
        <v>45</v>
      </c>
      <c r="M223" s="77" t="s">
        <v>110</v>
      </c>
      <c r="N223" s="64"/>
      <c r="O223" s="77" t="s">
        <v>60</v>
      </c>
      <c r="P223" s="30" t="s">
        <v>57</v>
      </c>
      <c r="Q223" s="64" t="s">
        <v>58</v>
      </c>
      <c r="R223" s="30"/>
      <c r="S223" s="30"/>
      <c r="T223" s="30"/>
      <c r="U223" s="30" t="s">
        <v>75</v>
      </c>
      <c r="V223" s="30"/>
      <c r="W223" s="51" t="str">
        <f t="shared" si="17"/>
        <v>#NAME?</v>
      </c>
      <c r="X223" s="2"/>
      <c r="Y223" s="2"/>
      <c r="Z223" s="2"/>
      <c r="AA223" s="2"/>
      <c r="AB223" s="2"/>
      <c r="AC223" s="2"/>
      <c r="AD223" s="2"/>
      <c r="AE223" s="2"/>
    </row>
    <row r="224" ht="15.75" customHeight="1">
      <c r="A224" s="45">
        <v>210.0</v>
      </c>
      <c r="B224" s="45" t="str">
        <f t="shared" si="14"/>
        <v>#NAME?</v>
      </c>
      <c r="C224" s="45">
        <f t="shared" si="15"/>
        <v>6</v>
      </c>
      <c r="D224" s="75">
        <v>46188.0</v>
      </c>
      <c r="E224" s="75">
        <v>46188.0</v>
      </c>
      <c r="F224" s="45"/>
      <c r="G224" s="45" t="s">
        <v>1872</v>
      </c>
      <c r="H224" s="61"/>
      <c r="I224" s="48">
        <v>13751.0</v>
      </c>
      <c r="J224" s="48"/>
      <c r="K224" s="48">
        <f t="shared" si="7"/>
        <v>271065</v>
      </c>
      <c r="L224" s="77" t="s">
        <v>45</v>
      </c>
      <c r="M224" s="77" t="s">
        <v>110</v>
      </c>
      <c r="N224" s="64"/>
      <c r="O224" s="77" t="s">
        <v>60</v>
      </c>
      <c r="P224" s="30" t="s">
        <v>57</v>
      </c>
      <c r="Q224" s="64" t="s">
        <v>58</v>
      </c>
      <c r="R224" s="30"/>
      <c r="S224" s="30"/>
      <c r="T224" s="30"/>
      <c r="U224" s="30" t="s">
        <v>75</v>
      </c>
      <c r="V224" s="30"/>
      <c r="W224" s="51" t="str">
        <f t="shared" si="17"/>
        <v>#NAME?</v>
      </c>
      <c r="X224" s="2"/>
      <c r="Y224" s="2"/>
      <c r="Z224" s="2"/>
      <c r="AA224" s="2"/>
      <c r="AB224" s="2"/>
      <c r="AC224" s="2"/>
      <c r="AD224" s="2"/>
      <c r="AE224" s="2"/>
    </row>
    <row r="225" ht="15.75" customHeight="1">
      <c r="A225" s="45">
        <v>209.0</v>
      </c>
      <c r="B225" s="45" t="str">
        <f t="shared" si="14"/>
        <v>#NAME?</v>
      </c>
      <c r="C225" s="45">
        <f t="shared" si="15"/>
        <v>6</v>
      </c>
      <c r="D225" s="75">
        <v>46188.0</v>
      </c>
      <c r="E225" s="75">
        <v>46188.0</v>
      </c>
      <c r="F225" s="45"/>
      <c r="G225" s="45" t="s">
        <v>1873</v>
      </c>
      <c r="H225" s="61"/>
      <c r="I225" s="48">
        <v>29898.0</v>
      </c>
      <c r="J225" s="48"/>
      <c r="K225" s="48">
        <f t="shared" si="7"/>
        <v>284816</v>
      </c>
      <c r="L225" s="77" t="s">
        <v>45</v>
      </c>
      <c r="M225" s="77" t="s">
        <v>110</v>
      </c>
      <c r="N225" s="64"/>
      <c r="O225" s="77" t="s">
        <v>60</v>
      </c>
      <c r="P225" s="30" t="s">
        <v>57</v>
      </c>
      <c r="Q225" s="64" t="s">
        <v>58</v>
      </c>
      <c r="R225" s="30"/>
      <c r="S225" s="30"/>
      <c r="T225" s="30"/>
      <c r="U225" s="30" t="s">
        <v>75</v>
      </c>
      <c r="V225" s="30"/>
      <c r="W225" s="51" t="str">
        <f t="shared" si="17"/>
        <v>#NAME?</v>
      </c>
      <c r="X225" s="2"/>
      <c r="Y225" s="2"/>
      <c r="Z225" s="2"/>
      <c r="AA225" s="2"/>
      <c r="AB225" s="2"/>
      <c r="AC225" s="2"/>
      <c r="AD225" s="2"/>
      <c r="AE225" s="2"/>
    </row>
    <row r="226" ht="15.75" customHeight="1">
      <c r="A226" s="45">
        <v>208.0</v>
      </c>
      <c r="B226" s="45" t="str">
        <f t="shared" si="14"/>
        <v>#NAME?</v>
      </c>
      <c r="C226" s="45">
        <f t="shared" si="15"/>
        <v>6</v>
      </c>
      <c r="D226" s="75">
        <v>46188.0</v>
      </c>
      <c r="E226" s="75">
        <v>46188.0</v>
      </c>
      <c r="F226" s="45"/>
      <c r="G226" s="45" t="s">
        <v>1874</v>
      </c>
      <c r="H226" s="61"/>
      <c r="I226" s="48">
        <v>10211.0</v>
      </c>
      <c r="J226" s="48"/>
      <c r="K226" s="48">
        <f t="shared" si="7"/>
        <v>314714</v>
      </c>
      <c r="L226" s="77" t="s">
        <v>45</v>
      </c>
      <c r="M226" s="77" t="s">
        <v>110</v>
      </c>
      <c r="N226" s="64"/>
      <c r="O226" s="77" t="s">
        <v>60</v>
      </c>
      <c r="P226" s="30" t="s">
        <v>57</v>
      </c>
      <c r="Q226" s="64" t="s">
        <v>58</v>
      </c>
      <c r="R226" s="30"/>
      <c r="S226" s="30"/>
      <c r="T226" s="30"/>
      <c r="U226" s="30" t="s">
        <v>75</v>
      </c>
      <c r="V226" s="30"/>
      <c r="W226" s="51" t="str">
        <f t="shared" si="17"/>
        <v>#NAME?</v>
      </c>
      <c r="X226" s="2"/>
      <c r="Y226" s="2"/>
      <c r="Z226" s="2"/>
      <c r="AA226" s="2"/>
      <c r="AB226" s="2"/>
      <c r="AC226" s="2"/>
      <c r="AD226" s="2"/>
      <c r="AE226" s="2"/>
    </row>
    <row r="227" ht="15.75" customHeight="1">
      <c r="A227" s="45">
        <v>207.0</v>
      </c>
      <c r="B227" s="45" t="str">
        <f t="shared" si="14"/>
        <v>#NAME?</v>
      </c>
      <c r="C227" s="45">
        <f t="shared" si="15"/>
        <v>6</v>
      </c>
      <c r="D227" s="75">
        <v>46188.0</v>
      </c>
      <c r="E227" s="75">
        <v>46188.0</v>
      </c>
      <c r="F227" s="45"/>
      <c r="G227" s="45" t="s">
        <v>1875</v>
      </c>
      <c r="H227" s="61"/>
      <c r="I227" s="48">
        <v>33325.0</v>
      </c>
      <c r="J227" s="48"/>
      <c r="K227" s="48">
        <f t="shared" si="7"/>
        <v>324925</v>
      </c>
      <c r="L227" s="77" t="s">
        <v>45</v>
      </c>
      <c r="M227" s="77" t="s">
        <v>110</v>
      </c>
      <c r="N227" s="64"/>
      <c r="O227" s="77" t="s">
        <v>60</v>
      </c>
      <c r="P227" s="30" t="s">
        <v>57</v>
      </c>
      <c r="Q227" s="64" t="s">
        <v>58</v>
      </c>
      <c r="R227" s="30"/>
      <c r="S227" s="30"/>
      <c r="T227" s="30"/>
      <c r="U227" s="30" t="s">
        <v>75</v>
      </c>
      <c r="V227" s="30"/>
      <c r="W227" s="51" t="str">
        <f t="shared" si="17"/>
        <v>#NAME?</v>
      </c>
      <c r="X227" s="2"/>
      <c r="Y227" s="2"/>
      <c r="Z227" s="2"/>
      <c r="AA227" s="2"/>
      <c r="AB227" s="2"/>
      <c r="AC227" s="2"/>
      <c r="AD227" s="2"/>
      <c r="AE227" s="2"/>
    </row>
    <row r="228" ht="15.75" customHeight="1">
      <c r="A228" s="45">
        <v>206.0</v>
      </c>
      <c r="B228" s="45" t="str">
        <f t="shared" si="14"/>
        <v>#NAME?</v>
      </c>
      <c r="C228" s="45">
        <f t="shared" si="15"/>
        <v>6</v>
      </c>
      <c r="D228" s="75">
        <v>46188.0</v>
      </c>
      <c r="E228" s="75">
        <v>46188.0</v>
      </c>
      <c r="F228" s="45"/>
      <c r="G228" s="45" t="s">
        <v>1876</v>
      </c>
      <c r="H228" s="61"/>
      <c r="I228" s="48">
        <v>12043.0</v>
      </c>
      <c r="J228" s="48"/>
      <c r="K228" s="48">
        <f t="shared" si="7"/>
        <v>358250</v>
      </c>
      <c r="L228" s="77" t="s">
        <v>45</v>
      </c>
      <c r="M228" s="77" t="s">
        <v>110</v>
      </c>
      <c r="N228" s="64"/>
      <c r="O228" s="77" t="s">
        <v>60</v>
      </c>
      <c r="P228" s="30" t="s">
        <v>57</v>
      </c>
      <c r="Q228" s="64" t="s">
        <v>58</v>
      </c>
      <c r="R228" s="30"/>
      <c r="S228" s="30"/>
      <c r="T228" s="30"/>
      <c r="U228" s="30" t="s">
        <v>75</v>
      </c>
      <c r="V228" s="30"/>
      <c r="W228" s="51" t="str">
        <f t="shared" si="17"/>
        <v>#NAME?</v>
      </c>
      <c r="X228" s="2"/>
      <c r="Y228" s="2"/>
      <c r="Z228" s="2"/>
      <c r="AA228" s="2"/>
      <c r="AB228" s="2"/>
      <c r="AC228" s="2"/>
      <c r="AD228" s="2"/>
      <c r="AE228" s="2"/>
    </row>
    <row r="229" ht="15.75" customHeight="1">
      <c r="A229" s="45">
        <v>205.0</v>
      </c>
      <c r="B229" s="45" t="str">
        <f t="shared" si="14"/>
        <v>#NAME?</v>
      </c>
      <c r="C229" s="45">
        <f t="shared" si="15"/>
        <v>6</v>
      </c>
      <c r="D229" s="75">
        <v>46188.0</v>
      </c>
      <c r="E229" s="75">
        <v>46188.0</v>
      </c>
      <c r="F229" s="45"/>
      <c r="G229" s="45" t="s">
        <v>1877</v>
      </c>
      <c r="H229" s="61"/>
      <c r="I229" s="144">
        <v>27905.0</v>
      </c>
      <c r="J229" s="48"/>
      <c r="K229" s="48">
        <f t="shared" si="7"/>
        <v>370293</v>
      </c>
      <c r="L229" s="77" t="s">
        <v>45</v>
      </c>
      <c r="M229" s="77" t="s">
        <v>110</v>
      </c>
      <c r="N229" s="64"/>
      <c r="O229" s="77" t="s">
        <v>60</v>
      </c>
      <c r="P229" s="30" t="s">
        <v>57</v>
      </c>
      <c r="Q229" s="64" t="s">
        <v>58</v>
      </c>
      <c r="R229" s="30"/>
      <c r="S229" s="30"/>
      <c r="T229" s="30"/>
      <c r="U229" s="30" t="s">
        <v>75</v>
      </c>
      <c r="V229" s="30"/>
      <c r="W229" s="51" t="str">
        <f t="shared" si="17"/>
        <v>#NAME?</v>
      </c>
      <c r="X229" s="2"/>
      <c r="Y229" s="2"/>
      <c r="Z229" s="2"/>
      <c r="AA229" s="2"/>
      <c r="AB229" s="2"/>
      <c r="AC229" s="2"/>
      <c r="AD229" s="2"/>
      <c r="AE229" s="2"/>
    </row>
    <row r="230" ht="15.75" customHeight="1">
      <c r="A230" s="45">
        <v>204.0</v>
      </c>
      <c r="B230" s="45" t="str">
        <f t="shared" si="14"/>
        <v>#NAME?</v>
      </c>
      <c r="C230" s="45">
        <f t="shared" si="15"/>
        <v>6</v>
      </c>
      <c r="D230" s="75">
        <v>46188.0</v>
      </c>
      <c r="E230" s="75">
        <v>46188.0</v>
      </c>
      <c r="F230" s="45"/>
      <c r="G230" s="45" t="s">
        <v>1878</v>
      </c>
      <c r="H230" s="61"/>
      <c r="I230" s="48">
        <v>7902.0</v>
      </c>
      <c r="J230" s="48"/>
      <c r="K230" s="48">
        <f t="shared" si="7"/>
        <v>398198</v>
      </c>
      <c r="L230" s="77" t="s">
        <v>45</v>
      </c>
      <c r="M230" s="77" t="s">
        <v>110</v>
      </c>
      <c r="N230" s="64"/>
      <c r="O230" s="77" t="s">
        <v>60</v>
      </c>
      <c r="P230" s="30" t="s">
        <v>57</v>
      </c>
      <c r="Q230" s="64" t="s">
        <v>58</v>
      </c>
      <c r="R230" s="30"/>
      <c r="S230" s="30"/>
      <c r="T230" s="30"/>
      <c r="U230" s="30" t="s">
        <v>75</v>
      </c>
      <c r="V230" s="30"/>
      <c r="W230" s="51" t="str">
        <f t="shared" si="17"/>
        <v>#NAME?</v>
      </c>
      <c r="X230" s="2"/>
      <c r="Y230" s="2"/>
      <c r="Z230" s="2"/>
      <c r="AA230" s="2"/>
      <c r="AB230" s="2"/>
      <c r="AC230" s="2"/>
      <c r="AD230" s="2"/>
      <c r="AE230" s="2"/>
    </row>
    <row r="231" ht="15.75" customHeight="1">
      <c r="A231" s="45">
        <v>203.0</v>
      </c>
      <c r="B231" s="45" t="str">
        <f t="shared" si="14"/>
        <v>#NAME?</v>
      </c>
      <c r="C231" s="45">
        <f t="shared" si="15"/>
        <v>6</v>
      </c>
      <c r="D231" s="75">
        <v>46188.0</v>
      </c>
      <c r="E231" s="75">
        <v>46188.0</v>
      </c>
      <c r="F231" s="45"/>
      <c r="G231" s="45" t="s">
        <v>1879</v>
      </c>
      <c r="H231" s="61"/>
      <c r="I231" s="48">
        <v>10562.0</v>
      </c>
      <c r="J231" s="48"/>
      <c r="K231" s="48">
        <f t="shared" si="7"/>
        <v>406100</v>
      </c>
      <c r="L231" s="77" t="s">
        <v>45</v>
      </c>
      <c r="M231" s="77" t="s">
        <v>110</v>
      </c>
      <c r="N231" s="64"/>
      <c r="O231" s="77" t="s">
        <v>60</v>
      </c>
      <c r="P231" s="30" t="s">
        <v>57</v>
      </c>
      <c r="Q231" s="64" t="s">
        <v>58</v>
      </c>
      <c r="R231" s="30"/>
      <c r="S231" s="30"/>
      <c r="T231" s="30"/>
      <c r="U231" s="30" t="s">
        <v>75</v>
      </c>
      <c r="V231" s="30"/>
      <c r="W231" s="51" t="str">
        <f t="shared" si="17"/>
        <v>#NAME?</v>
      </c>
      <c r="X231" s="2"/>
      <c r="Y231" s="2"/>
      <c r="Z231" s="2"/>
      <c r="AA231" s="2"/>
      <c r="AB231" s="2"/>
      <c r="AC231" s="2"/>
      <c r="AD231" s="2"/>
      <c r="AE231" s="2"/>
    </row>
    <row r="232" ht="15.75" customHeight="1">
      <c r="A232" s="45">
        <v>202.0</v>
      </c>
      <c r="B232" s="45" t="str">
        <f t="shared" si="14"/>
        <v>#NAME?</v>
      </c>
      <c r="C232" s="45">
        <f t="shared" si="15"/>
        <v>6</v>
      </c>
      <c r="D232" s="75">
        <v>46188.0</v>
      </c>
      <c r="E232" s="75">
        <v>46188.0</v>
      </c>
      <c r="F232" s="45"/>
      <c r="G232" s="45" t="s">
        <v>1880</v>
      </c>
      <c r="H232" s="61"/>
      <c r="I232" s="144">
        <v>9857.0</v>
      </c>
      <c r="J232" s="48"/>
      <c r="K232" s="48">
        <f t="shared" si="7"/>
        <v>416662</v>
      </c>
      <c r="L232" s="77" t="s">
        <v>45</v>
      </c>
      <c r="M232" s="77" t="s">
        <v>110</v>
      </c>
      <c r="N232" s="64"/>
      <c r="O232" s="77" t="s">
        <v>60</v>
      </c>
      <c r="P232" s="30" t="s">
        <v>57</v>
      </c>
      <c r="Q232" s="64" t="s">
        <v>58</v>
      </c>
      <c r="R232" s="30"/>
      <c r="S232" s="30"/>
      <c r="T232" s="30"/>
      <c r="U232" s="30" t="s">
        <v>75</v>
      </c>
      <c r="V232" s="30"/>
      <c r="W232" s="51" t="str">
        <f t="shared" si="17"/>
        <v>#NAME?</v>
      </c>
      <c r="X232" s="2"/>
      <c r="Y232" s="2"/>
      <c r="Z232" s="2"/>
      <c r="AA232" s="2"/>
      <c r="AB232" s="2"/>
      <c r="AC232" s="2"/>
      <c r="AD232" s="2"/>
      <c r="AE232" s="2"/>
    </row>
    <row r="233" ht="15.75" customHeight="1">
      <c r="A233" s="45">
        <v>201.0</v>
      </c>
      <c r="B233" s="45" t="str">
        <f t="shared" si="14"/>
        <v>#NAME?</v>
      </c>
      <c r="C233" s="45">
        <f t="shared" si="15"/>
        <v>6</v>
      </c>
      <c r="D233" s="75">
        <v>46188.0</v>
      </c>
      <c r="E233" s="75">
        <v>46188.0</v>
      </c>
      <c r="F233" s="45"/>
      <c r="G233" s="45" t="s">
        <v>1881</v>
      </c>
      <c r="H233" s="61"/>
      <c r="I233" s="144">
        <v>10616.0</v>
      </c>
      <c r="J233" s="48"/>
      <c r="K233" s="48">
        <f t="shared" si="7"/>
        <v>426519</v>
      </c>
      <c r="L233" s="77" t="s">
        <v>45</v>
      </c>
      <c r="M233" s="77" t="s">
        <v>110</v>
      </c>
      <c r="N233" s="64"/>
      <c r="O233" s="77" t="s">
        <v>60</v>
      </c>
      <c r="P233" s="30" t="s">
        <v>57</v>
      </c>
      <c r="Q233" s="64" t="s">
        <v>58</v>
      </c>
      <c r="R233" s="30"/>
      <c r="S233" s="30"/>
      <c r="T233" s="30"/>
      <c r="U233" s="30" t="s">
        <v>75</v>
      </c>
      <c r="V233" s="30"/>
      <c r="W233" s="51" t="str">
        <f t="shared" si="17"/>
        <v>#NAME?</v>
      </c>
      <c r="X233" s="2"/>
      <c r="Y233" s="2"/>
      <c r="Z233" s="2"/>
      <c r="AA233" s="2"/>
      <c r="AB233" s="2"/>
      <c r="AC233" s="2"/>
      <c r="AD233" s="2"/>
      <c r="AE233" s="2"/>
    </row>
    <row r="234" ht="15.75" customHeight="1">
      <c r="A234" s="45">
        <v>200.0</v>
      </c>
      <c r="B234" s="45" t="str">
        <f t="shared" si="14"/>
        <v>#NAME?</v>
      </c>
      <c r="C234" s="45">
        <f t="shared" si="15"/>
        <v>6</v>
      </c>
      <c r="D234" s="75">
        <v>46188.0</v>
      </c>
      <c r="E234" s="75">
        <v>46188.0</v>
      </c>
      <c r="F234" s="45"/>
      <c r="G234" s="45" t="s">
        <v>1882</v>
      </c>
      <c r="H234" s="61"/>
      <c r="I234" s="48">
        <v>10877.0</v>
      </c>
      <c r="J234" s="48"/>
      <c r="K234" s="48">
        <f t="shared" si="7"/>
        <v>437135</v>
      </c>
      <c r="L234" s="77" t="s">
        <v>45</v>
      </c>
      <c r="M234" s="77" t="s">
        <v>110</v>
      </c>
      <c r="N234" s="64"/>
      <c r="O234" s="77" t="s">
        <v>60</v>
      </c>
      <c r="P234" s="30" t="s">
        <v>57</v>
      </c>
      <c r="Q234" s="64" t="s">
        <v>58</v>
      </c>
      <c r="R234" s="30"/>
      <c r="S234" s="30"/>
      <c r="T234" s="30"/>
      <c r="U234" s="30" t="s">
        <v>75</v>
      </c>
      <c r="V234" s="30"/>
      <c r="W234" s="51" t="str">
        <f t="shared" si="17"/>
        <v>#NAME?</v>
      </c>
      <c r="X234" s="2"/>
      <c r="Y234" s="2"/>
      <c r="Z234" s="2"/>
      <c r="AA234" s="2"/>
      <c r="AB234" s="2"/>
      <c r="AC234" s="2"/>
      <c r="AD234" s="2"/>
      <c r="AE234" s="2"/>
    </row>
    <row r="235" ht="15.75" customHeight="1">
      <c r="A235" s="45">
        <v>199.0</v>
      </c>
      <c r="B235" s="45" t="str">
        <f t="shared" si="14"/>
        <v>#NAME?</v>
      </c>
      <c r="C235" s="45">
        <f t="shared" si="15"/>
        <v>6</v>
      </c>
      <c r="D235" s="75">
        <v>46188.0</v>
      </c>
      <c r="E235" s="75">
        <v>46188.0</v>
      </c>
      <c r="F235" s="45"/>
      <c r="G235" s="45" t="s">
        <v>1883</v>
      </c>
      <c r="H235" s="61"/>
      <c r="I235" s="48">
        <v>27966.0</v>
      </c>
      <c r="J235" s="48"/>
      <c r="K235" s="48">
        <f t="shared" si="7"/>
        <v>448012</v>
      </c>
      <c r="L235" s="77" t="s">
        <v>45</v>
      </c>
      <c r="M235" s="77" t="s">
        <v>110</v>
      </c>
      <c r="N235" s="64"/>
      <c r="O235" s="77" t="s">
        <v>60</v>
      </c>
      <c r="P235" s="30" t="s">
        <v>57</v>
      </c>
      <c r="Q235" s="64" t="s">
        <v>58</v>
      </c>
      <c r="R235" s="30"/>
      <c r="S235" s="30"/>
      <c r="T235" s="30"/>
      <c r="U235" s="30" t="s">
        <v>75</v>
      </c>
      <c r="V235" s="30"/>
      <c r="W235" s="51" t="str">
        <f t="shared" si="17"/>
        <v>#NAME?</v>
      </c>
      <c r="X235" s="2"/>
      <c r="Y235" s="2"/>
      <c r="Z235" s="2"/>
      <c r="AA235" s="2"/>
      <c r="AB235" s="2"/>
      <c r="AC235" s="2"/>
      <c r="AD235" s="2"/>
      <c r="AE235" s="2"/>
    </row>
    <row r="236" ht="15.75" customHeight="1">
      <c r="A236" s="45">
        <v>198.0</v>
      </c>
      <c r="B236" s="45" t="str">
        <f t="shared" si="14"/>
        <v>#NAME?</v>
      </c>
      <c r="C236" s="45">
        <f t="shared" si="15"/>
        <v>6</v>
      </c>
      <c r="D236" s="75">
        <v>46188.0</v>
      </c>
      <c r="E236" s="75">
        <v>46188.0</v>
      </c>
      <c r="F236" s="45"/>
      <c r="G236" s="45" t="s">
        <v>1884</v>
      </c>
      <c r="H236" s="61"/>
      <c r="I236" s="48">
        <v>17740.0</v>
      </c>
      <c r="J236" s="48"/>
      <c r="K236" s="48">
        <f t="shared" si="7"/>
        <v>475978</v>
      </c>
      <c r="L236" s="77" t="s">
        <v>45</v>
      </c>
      <c r="M236" s="77" t="s">
        <v>55</v>
      </c>
      <c r="N236" s="64"/>
      <c r="O236" s="77" t="s">
        <v>60</v>
      </c>
      <c r="P236" s="30" t="s">
        <v>57</v>
      </c>
      <c r="Q236" s="64" t="s">
        <v>58</v>
      </c>
      <c r="R236" s="30"/>
      <c r="S236" s="30"/>
      <c r="T236" s="30"/>
      <c r="U236" s="30" t="s">
        <v>156</v>
      </c>
      <c r="V236" s="30"/>
      <c r="W236" s="51" t="str">
        <f t="shared" si="17"/>
        <v>#NAME?</v>
      </c>
      <c r="X236" s="2"/>
      <c r="Y236" s="2"/>
      <c r="Z236" s="2"/>
      <c r="AA236" s="2"/>
      <c r="AB236" s="2"/>
      <c r="AC236" s="2"/>
      <c r="AD236" s="2"/>
      <c r="AE236" s="2"/>
    </row>
    <row r="237" ht="15.75" customHeight="1">
      <c r="A237" s="45">
        <v>197.0</v>
      </c>
      <c r="B237" s="45" t="str">
        <f t="shared" si="14"/>
        <v>#NAME?</v>
      </c>
      <c r="C237" s="45">
        <f t="shared" si="15"/>
        <v>6</v>
      </c>
      <c r="D237" s="75">
        <v>46188.0</v>
      </c>
      <c r="E237" s="75">
        <v>46188.0</v>
      </c>
      <c r="F237" s="45"/>
      <c r="G237" s="45" t="s">
        <v>1885</v>
      </c>
      <c r="H237" s="61"/>
      <c r="I237" s="48">
        <v>11290.0</v>
      </c>
      <c r="J237" s="48"/>
      <c r="K237" s="48">
        <f t="shared" si="7"/>
        <v>493718</v>
      </c>
      <c r="L237" s="77" t="s">
        <v>45</v>
      </c>
      <c r="M237" s="77" t="s">
        <v>110</v>
      </c>
      <c r="N237" s="64"/>
      <c r="O237" s="77" t="s">
        <v>60</v>
      </c>
      <c r="P237" s="30" t="s">
        <v>57</v>
      </c>
      <c r="Q237" s="64" t="s">
        <v>58</v>
      </c>
      <c r="R237" s="30"/>
      <c r="S237" s="30"/>
      <c r="T237" s="30"/>
      <c r="U237" s="30" t="s">
        <v>75</v>
      </c>
      <c r="V237" s="30"/>
      <c r="W237" s="51" t="str">
        <f t="shared" si="17"/>
        <v>#NAME?</v>
      </c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45">
        <v>196.0</v>
      </c>
      <c r="B238" s="45" t="str">
        <f t="shared" si="14"/>
        <v>#NAME?</v>
      </c>
      <c r="C238" s="45">
        <f t="shared" si="15"/>
        <v>6</v>
      </c>
      <c r="D238" s="75">
        <v>46188.0</v>
      </c>
      <c r="E238" s="75">
        <v>46188.0</v>
      </c>
      <c r="F238" s="45"/>
      <c r="G238" s="45" t="s">
        <v>1886</v>
      </c>
      <c r="H238" s="61"/>
      <c r="I238" s="144">
        <v>4224.0</v>
      </c>
      <c r="J238" s="48"/>
      <c r="K238" s="48">
        <f t="shared" si="7"/>
        <v>505008</v>
      </c>
      <c r="L238" s="77" t="s">
        <v>45</v>
      </c>
      <c r="M238" s="77" t="s">
        <v>110</v>
      </c>
      <c r="N238" s="64"/>
      <c r="O238" s="77" t="s">
        <v>60</v>
      </c>
      <c r="P238" s="30" t="s">
        <v>57</v>
      </c>
      <c r="Q238" s="64" t="s">
        <v>58</v>
      </c>
      <c r="R238" s="30"/>
      <c r="S238" s="30"/>
      <c r="T238" s="30"/>
      <c r="U238" s="30" t="s">
        <v>75</v>
      </c>
      <c r="V238" s="30"/>
      <c r="W238" s="51" t="str">
        <f t="shared" si="17"/>
        <v>#NAME?</v>
      </c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45">
        <v>195.0</v>
      </c>
      <c r="B239" s="45" t="str">
        <f t="shared" si="14"/>
        <v>#NAME?</v>
      </c>
      <c r="C239" s="45">
        <f t="shared" si="15"/>
        <v>6</v>
      </c>
      <c r="D239" s="75">
        <v>46188.0</v>
      </c>
      <c r="E239" s="75">
        <v>46188.0</v>
      </c>
      <c r="F239" s="45"/>
      <c r="G239" s="45" t="s">
        <v>141</v>
      </c>
      <c r="H239" s="61"/>
      <c r="I239" s="48"/>
      <c r="J239" s="48">
        <v>500000.0</v>
      </c>
      <c r="K239" s="48">
        <f t="shared" si="7"/>
        <v>509232</v>
      </c>
      <c r="L239" s="77" t="s">
        <v>45</v>
      </c>
      <c r="M239" s="77" t="s">
        <v>47</v>
      </c>
      <c r="N239" s="64"/>
      <c r="O239" s="77" t="s">
        <v>60</v>
      </c>
      <c r="P239" s="30" t="s">
        <v>74</v>
      </c>
      <c r="Q239" s="64" t="s">
        <v>50</v>
      </c>
      <c r="R239" s="30"/>
      <c r="S239" s="30"/>
      <c r="T239" s="30"/>
      <c r="U239" s="30" t="s">
        <v>75</v>
      </c>
      <c r="V239" s="30"/>
      <c r="W239" s="51" t="str">
        <f t="shared" si="17"/>
        <v>#NAME?</v>
      </c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45">
        <v>194.0</v>
      </c>
      <c r="B240" s="45" t="str">
        <f t="shared" si="14"/>
        <v>#NAME?</v>
      </c>
      <c r="C240" s="45">
        <f t="shared" si="15"/>
        <v>6</v>
      </c>
      <c r="D240" s="75">
        <v>46186.0</v>
      </c>
      <c r="E240" s="75">
        <v>46186.0</v>
      </c>
      <c r="F240" s="45"/>
      <c r="G240" s="45" t="s">
        <v>1887</v>
      </c>
      <c r="H240" s="61" t="s">
        <v>1888</v>
      </c>
      <c r="I240" s="48">
        <v>13860.0</v>
      </c>
      <c r="J240" s="48" t="s">
        <v>37</v>
      </c>
      <c r="K240" s="48">
        <f t="shared" si="7"/>
        <v>9232</v>
      </c>
      <c r="L240" s="77" t="s">
        <v>45</v>
      </c>
      <c r="M240" s="77" t="s">
        <v>55</v>
      </c>
      <c r="N240" s="64"/>
      <c r="O240" s="77" t="s">
        <v>60</v>
      </c>
      <c r="P240" s="30" t="s">
        <v>57</v>
      </c>
      <c r="Q240" s="64" t="s">
        <v>58</v>
      </c>
      <c r="R240" s="30"/>
      <c r="S240" s="30"/>
      <c r="T240" s="30"/>
      <c r="U240" s="30" t="s">
        <v>156</v>
      </c>
      <c r="V240" s="30"/>
      <c r="W240" s="51" t="str">
        <f t="shared" si="17"/>
        <v>#NAME?</v>
      </c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45">
        <v>193.0</v>
      </c>
      <c r="B241" s="45" t="str">
        <f t="shared" si="14"/>
        <v>#NAME?</v>
      </c>
      <c r="C241" s="45">
        <f t="shared" si="15"/>
        <v>6</v>
      </c>
      <c r="D241" s="75">
        <v>46186.0</v>
      </c>
      <c r="E241" s="75">
        <v>46186.0</v>
      </c>
      <c r="F241" s="45"/>
      <c r="G241" s="45" t="s">
        <v>1889</v>
      </c>
      <c r="H241" s="61" t="s">
        <v>1890</v>
      </c>
      <c r="I241" s="48">
        <v>14850.0</v>
      </c>
      <c r="J241" s="48" t="s">
        <v>37</v>
      </c>
      <c r="K241" s="48">
        <f t="shared" si="7"/>
        <v>23092</v>
      </c>
      <c r="L241" s="77" t="s">
        <v>45</v>
      </c>
      <c r="M241" s="77" t="s">
        <v>55</v>
      </c>
      <c r="N241" s="64"/>
      <c r="O241" s="77" t="s">
        <v>60</v>
      </c>
      <c r="P241" s="30" t="s">
        <v>57</v>
      </c>
      <c r="Q241" s="64" t="s">
        <v>58</v>
      </c>
      <c r="R241" s="30"/>
      <c r="S241" s="30"/>
      <c r="T241" s="30"/>
      <c r="U241" s="30" t="s">
        <v>156</v>
      </c>
      <c r="V241" s="30"/>
      <c r="W241" s="51" t="str">
        <f t="shared" si="17"/>
        <v>#NAME?</v>
      </c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45">
        <v>192.0</v>
      </c>
      <c r="B242" s="45" t="str">
        <f t="shared" si="14"/>
        <v>#NAME?</v>
      </c>
      <c r="C242" s="45">
        <f t="shared" si="15"/>
        <v>6</v>
      </c>
      <c r="D242" s="75">
        <v>46186.0</v>
      </c>
      <c r="E242" s="75">
        <v>46186.0</v>
      </c>
      <c r="F242" s="45"/>
      <c r="G242" s="45" t="s">
        <v>1891</v>
      </c>
      <c r="H242" s="61" t="s">
        <v>1892</v>
      </c>
      <c r="I242" s="48">
        <v>39600.0</v>
      </c>
      <c r="J242" s="48" t="s">
        <v>37</v>
      </c>
      <c r="K242" s="48">
        <f t="shared" si="7"/>
        <v>37942</v>
      </c>
      <c r="L242" s="77" t="s">
        <v>45</v>
      </c>
      <c r="M242" s="77" t="s">
        <v>55</v>
      </c>
      <c r="N242" s="64"/>
      <c r="O242" s="77" t="s">
        <v>60</v>
      </c>
      <c r="P242" s="30" t="s">
        <v>57</v>
      </c>
      <c r="Q242" s="64" t="s">
        <v>58</v>
      </c>
      <c r="R242" s="30"/>
      <c r="S242" s="30"/>
      <c r="T242" s="30"/>
      <c r="U242" s="30" t="s">
        <v>156</v>
      </c>
      <c r="V242" s="30"/>
      <c r="W242" s="51" t="str">
        <f t="shared" si="17"/>
        <v>#NAME?</v>
      </c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45">
        <v>191.0</v>
      </c>
      <c r="B243" s="45" t="str">
        <f t="shared" si="14"/>
        <v>#NAME?</v>
      </c>
      <c r="C243" s="45">
        <f t="shared" si="15"/>
        <v>6</v>
      </c>
      <c r="D243" s="75">
        <v>46186.0</v>
      </c>
      <c r="E243" s="75">
        <v>46186.0</v>
      </c>
      <c r="F243" s="45"/>
      <c r="G243" s="45" t="s">
        <v>1893</v>
      </c>
      <c r="H243" s="61" t="s">
        <v>1894</v>
      </c>
      <c r="I243" s="48">
        <v>6435.0</v>
      </c>
      <c r="J243" s="48" t="s">
        <v>37</v>
      </c>
      <c r="K243" s="48">
        <f t="shared" si="7"/>
        <v>77542</v>
      </c>
      <c r="L243" s="77" t="s">
        <v>45</v>
      </c>
      <c r="M243" s="77" t="s">
        <v>55</v>
      </c>
      <c r="N243" s="64"/>
      <c r="O243" s="77" t="s">
        <v>60</v>
      </c>
      <c r="P243" s="30" t="s">
        <v>57</v>
      </c>
      <c r="Q243" s="64" t="s">
        <v>58</v>
      </c>
      <c r="R243" s="30"/>
      <c r="S243" s="30"/>
      <c r="T243" s="30"/>
      <c r="U243" s="30" t="s">
        <v>156</v>
      </c>
      <c r="V243" s="30"/>
      <c r="W243" s="51" t="str">
        <f t="shared" si="17"/>
        <v>#NAME?</v>
      </c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45">
        <v>190.0</v>
      </c>
      <c r="B244" s="45" t="str">
        <f t="shared" si="14"/>
        <v>#NAME?</v>
      </c>
      <c r="C244" s="45">
        <f t="shared" si="15"/>
        <v>6</v>
      </c>
      <c r="D244" s="75">
        <v>46186.0</v>
      </c>
      <c r="E244" s="75">
        <v>46186.0</v>
      </c>
      <c r="F244" s="45"/>
      <c r="G244" s="45" t="s">
        <v>1895</v>
      </c>
      <c r="H244" s="61" t="s">
        <v>1896</v>
      </c>
      <c r="I244" s="48">
        <v>5940.0</v>
      </c>
      <c r="J244" s="48" t="s">
        <v>37</v>
      </c>
      <c r="K244" s="48">
        <f t="shared" si="7"/>
        <v>83977</v>
      </c>
      <c r="L244" s="77" t="s">
        <v>45</v>
      </c>
      <c r="M244" s="77" t="s">
        <v>55</v>
      </c>
      <c r="N244" s="64"/>
      <c r="O244" s="77" t="s">
        <v>60</v>
      </c>
      <c r="P244" s="30" t="s">
        <v>57</v>
      </c>
      <c r="Q244" s="64" t="s">
        <v>58</v>
      </c>
      <c r="R244" s="30"/>
      <c r="S244" s="30"/>
      <c r="T244" s="30"/>
      <c r="U244" s="30" t="s">
        <v>156</v>
      </c>
      <c r="V244" s="30"/>
      <c r="W244" s="51" t="str">
        <f t="shared" si="17"/>
        <v>#NAME?</v>
      </c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45">
        <v>189.0</v>
      </c>
      <c r="B245" s="45" t="str">
        <f t="shared" si="14"/>
        <v>#NAME?</v>
      </c>
      <c r="C245" s="45">
        <f t="shared" si="15"/>
        <v>6</v>
      </c>
      <c r="D245" s="75">
        <v>46186.0</v>
      </c>
      <c r="E245" s="75">
        <v>46186.0</v>
      </c>
      <c r="F245" s="45"/>
      <c r="G245" s="45" t="s">
        <v>1897</v>
      </c>
      <c r="H245" s="61" t="s">
        <v>1898</v>
      </c>
      <c r="I245" s="48">
        <v>5940.0</v>
      </c>
      <c r="J245" s="48" t="s">
        <v>37</v>
      </c>
      <c r="K245" s="48">
        <f t="shared" si="7"/>
        <v>89917</v>
      </c>
      <c r="L245" s="77" t="s">
        <v>45</v>
      </c>
      <c r="M245" s="77" t="s">
        <v>55</v>
      </c>
      <c r="N245" s="64"/>
      <c r="O245" s="77" t="s">
        <v>60</v>
      </c>
      <c r="P245" s="30" t="s">
        <v>57</v>
      </c>
      <c r="Q245" s="64" t="s">
        <v>58</v>
      </c>
      <c r="R245" s="30"/>
      <c r="S245" s="30"/>
      <c r="T245" s="30"/>
      <c r="U245" s="30" t="s">
        <v>156</v>
      </c>
      <c r="V245" s="30"/>
      <c r="W245" s="51" t="str">
        <f t="shared" si="17"/>
        <v>#NAME?</v>
      </c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45">
        <v>188.0</v>
      </c>
      <c r="B246" s="45" t="str">
        <f t="shared" si="14"/>
        <v>#NAME?</v>
      </c>
      <c r="C246" s="45">
        <f t="shared" si="15"/>
        <v>6</v>
      </c>
      <c r="D246" s="75">
        <v>46186.0</v>
      </c>
      <c r="E246" s="75">
        <v>46186.0</v>
      </c>
      <c r="F246" s="45"/>
      <c r="G246" s="45" t="s">
        <v>1899</v>
      </c>
      <c r="H246" s="61" t="s">
        <v>1900</v>
      </c>
      <c r="I246" s="48">
        <v>18929.0</v>
      </c>
      <c r="J246" s="48" t="s">
        <v>37</v>
      </c>
      <c r="K246" s="48">
        <f t="shared" si="7"/>
        <v>95857</v>
      </c>
      <c r="L246" s="77" t="s">
        <v>45</v>
      </c>
      <c r="M246" s="77" t="s">
        <v>67</v>
      </c>
      <c r="N246" s="64"/>
      <c r="O246" s="77" t="s">
        <v>60</v>
      </c>
      <c r="P246" s="30" t="s">
        <v>57</v>
      </c>
      <c r="Q246" s="64" t="s">
        <v>58</v>
      </c>
      <c r="R246" s="30"/>
      <c r="S246" s="30"/>
      <c r="T246" s="30"/>
      <c r="U246" s="30" t="s">
        <v>499</v>
      </c>
      <c r="V246" s="30"/>
      <c r="W246" s="51" t="str">
        <f t="shared" si="17"/>
        <v>#NAME?</v>
      </c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45">
        <v>187.0</v>
      </c>
      <c r="B247" s="45" t="str">
        <f t="shared" si="14"/>
        <v>#NAME?</v>
      </c>
      <c r="C247" s="45">
        <f t="shared" si="15"/>
        <v>6</v>
      </c>
      <c r="D247" s="75">
        <v>46186.0</v>
      </c>
      <c r="E247" s="75">
        <v>46186.0</v>
      </c>
      <c r="F247" s="45"/>
      <c r="G247" s="45" t="s">
        <v>1901</v>
      </c>
      <c r="H247" s="61" t="s">
        <v>1902</v>
      </c>
      <c r="I247" s="48">
        <v>18538.0</v>
      </c>
      <c r="J247" s="48" t="s">
        <v>37</v>
      </c>
      <c r="K247" s="48">
        <f t="shared" si="7"/>
        <v>114786</v>
      </c>
      <c r="L247" s="77" t="s">
        <v>45</v>
      </c>
      <c r="M247" s="77" t="s">
        <v>67</v>
      </c>
      <c r="N247" s="64"/>
      <c r="O247" s="77" t="s">
        <v>60</v>
      </c>
      <c r="P247" s="30" t="s">
        <v>57</v>
      </c>
      <c r="Q247" s="64" t="s">
        <v>58</v>
      </c>
      <c r="R247" s="30"/>
      <c r="S247" s="30"/>
      <c r="T247" s="30"/>
      <c r="U247" s="30" t="s">
        <v>499</v>
      </c>
      <c r="V247" s="30"/>
      <c r="W247" s="51" t="str">
        <f t="shared" si="17"/>
        <v>#NAME?</v>
      </c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45">
        <v>186.0</v>
      </c>
      <c r="B248" s="45" t="str">
        <f t="shared" si="14"/>
        <v>#NAME?</v>
      </c>
      <c r="C248" s="45">
        <f t="shared" si="15"/>
        <v>6</v>
      </c>
      <c r="D248" s="75">
        <v>46185.0</v>
      </c>
      <c r="E248" s="75">
        <v>46185.0</v>
      </c>
      <c r="F248" s="45"/>
      <c r="G248" s="45" t="s">
        <v>1903</v>
      </c>
      <c r="H248" s="61" t="s">
        <v>1904</v>
      </c>
      <c r="I248" s="48">
        <v>17204.0</v>
      </c>
      <c r="J248" s="48"/>
      <c r="K248" s="48">
        <f t="shared" si="7"/>
        <v>133324</v>
      </c>
      <c r="L248" s="77" t="s">
        <v>45</v>
      </c>
      <c r="M248" s="77" t="s">
        <v>67</v>
      </c>
      <c r="N248" s="64"/>
      <c r="O248" s="77" t="s">
        <v>60</v>
      </c>
      <c r="P248" s="30" t="s">
        <v>57</v>
      </c>
      <c r="Q248" s="64" t="s">
        <v>58</v>
      </c>
      <c r="R248" s="30"/>
      <c r="S248" s="30"/>
      <c r="T248" s="30"/>
      <c r="U248" s="30" t="s">
        <v>499</v>
      </c>
      <c r="V248" s="30"/>
      <c r="W248" s="51" t="str">
        <f t="shared" si="17"/>
        <v>#NAME?</v>
      </c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45">
        <v>185.0</v>
      </c>
      <c r="B249" s="45" t="str">
        <f t="shared" si="14"/>
        <v>#NAME?</v>
      </c>
      <c r="C249" s="45">
        <f t="shared" si="15"/>
        <v>6</v>
      </c>
      <c r="D249" s="75">
        <v>46185.0</v>
      </c>
      <c r="E249" s="75">
        <v>46185.0</v>
      </c>
      <c r="F249" s="45"/>
      <c r="G249" s="45" t="s">
        <v>1905</v>
      </c>
      <c r="H249" s="61" t="s">
        <v>1906</v>
      </c>
      <c r="I249" s="48">
        <v>45836.0</v>
      </c>
      <c r="J249" s="48"/>
      <c r="K249" s="48">
        <f t="shared" si="7"/>
        <v>150528</v>
      </c>
      <c r="L249" s="77" t="s">
        <v>45</v>
      </c>
      <c r="M249" s="77" t="s">
        <v>67</v>
      </c>
      <c r="N249" s="64"/>
      <c r="O249" s="77" t="s">
        <v>60</v>
      </c>
      <c r="P249" s="30" t="s">
        <v>57</v>
      </c>
      <c r="Q249" s="64" t="s">
        <v>58</v>
      </c>
      <c r="R249" s="30"/>
      <c r="S249" s="30"/>
      <c r="T249" s="30"/>
      <c r="U249" s="30" t="s">
        <v>499</v>
      </c>
      <c r="V249" s="30"/>
      <c r="W249" s="51" t="str">
        <f t="shared" si="17"/>
        <v>#NAME?</v>
      </c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45">
        <v>184.0</v>
      </c>
      <c r="B250" s="45" t="str">
        <f t="shared" si="14"/>
        <v>#NAME?</v>
      </c>
      <c r="C250" s="45">
        <f t="shared" si="15"/>
        <v>6</v>
      </c>
      <c r="D250" s="75">
        <v>46185.0</v>
      </c>
      <c r="E250" s="75">
        <v>46185.0</v>
      </c>
      <c r="F250" s="45"/>
      <c r="G250" s="45" t="s">
        <v>1907</v>
      </c>
      <c r="H250" s="61" t="s">
        <v>1908</v>
      </c>
      <c r="I250" s="48">
        <v>64309.0</v>
      </c>
      <c r="J250" s="48"/>
      <c r="K250" s="48">
        <f t="shared" si="7"/>
        <v>196364</v>
      </c>
      <c r="L250" s="77" t="s">
        <v>45</v>
      </c>
      <c r="M250" s="77" t="s">
        <v>47</v>
      </c>
      <c r="N250" s="64"/>
      <c r="O250" s="77" t="s">
        <v>60</v>
      </c>
      <c r="P250" s="77" t="s">
        <v>47</v>
      </c>
      <c r="Q250" s="64" t="s">
        <v>58</v>
      </c>
      <c r="R250" s="30"/>
      <c r="S250" s="30"/>
      <c r="T250" s="30"/>
      <c r="U250" s="30" t="s">
        <v>75</v>
      </c>
      <c r="V250" s="30"/>
      <c r="W250" s="51" t="str">
        <f t="shared" si="17"/>
        <v>#NAME?</v>
      </c>
      <c r="X250" s="2"/>
      <c r="Y250" s="2"/>
      <c r="Z250" s="2"/>
      <c r="AA250" s="2"/>
      <c r="AB250" s="2"/>
      <c r="AC250" s="2"/>
      <c r="AD250" s="2"/>
      <c r="AE250" s="2"/>
    </row>
    <row r="251" ht="15.75" customHeight="1">
      <c r="A251" s="45">
        <v>183.0</v>
      </c>
      <c r="B251" s="45" t="str">
        <f t="shared" si="14"/>
        <v>#NAME?</v>
      </c>
      <c r="C251" s="45">
        <f t="shared" si="15"/>
        <v>6</v>
      </c>
      <c r="D251" s="75">
        <v>46185.0</v>
      </c>
      <c r="E251" s="75">
        <v>46185.0</v>
      </c>
      <c r="F251" s="45"/>
      <c r="G251" s="45" t="s">
        <v>1909</v>
      </c>
      <c r="H251" s="61" t="s">
        <v>1910</v>
      </c>
      <c r="I251" s="48">
        <v>346436.0</v>
      </c>
      <c r="J251" s="48"/>
      <c r="K251" s="48">
        <f t="shared" si="7"/>
        <v>260673</v>
      </c>
      <c r="L251" s="77" t="s">
        <v>45</v>
      </c>
      <c r="M251" s="77" t="s">
        <v>67</v>
      </c>
      <c r="N251" s="64"/>
      <c r="O251" s="77" t="s">
        <v>60</v>
      </c>
      <c r="P251" s="30" t="s">
        <v>57</v>
      </c>
      <c r="Q251" s="64" t="s">
        <v>58</v>
      </c>
      <c r="R251" s="30"/>
      <c r="S251" s="30"/>
      <c r="T251" s="30"/>
      <c r="U251" s="30" t="s">
        <v>499</v>
      </c>
      <c r="V251" s="30"/>
      <c r="W251" s="51" t="str">
        <f t="shared" si="17"/>
        <v>#NAME?</v>
      </c>
      <c r="X251" s="2"/>
      <c r="Y251" s="2"/>
      <c r="Z251" s="2"/>
      <c r="AA251" s="2"/>
      <c r="AB251" s="2"/>
      <c r="AC251" s="2"/>
      <c r="AD251" s="2"/>
      <c r="AE251" s="2"/>
    </row>
    <row r="252" ht="15.75" customHeight="1">
      <c r="A252" s="45">
        <v>182.0</v>
      </c>
      <c r="B252" s="45" t="str">
        <f t="shared" si="14"/>
        <v>#NAME?</v>
      </c>
      <c r="C252" s="45">
        <f t="shared" si="15"/>
        <v>6</v>
      </c>
      <c r="D252" s="75">
        <v>46185.0</v>
      </c>
      <c r="E252" s="75">
        <v>46185.0</v>
      </c>
      <c r="F252" s="45"/>
      <c r="G252" s="45" t="s">
        <v>1911</v>
      </c>
      <c r="H252" s="61" t="s">
        <v>1912</v>
      </c>
      <c r="I252" s="48">
        <v>98113.0</v>
      </c>
      <c r="J252" s="48"/>
      <c r="K252" s="48">
        <f t="shared" si="7"/>
        <v>607109</v>
      </c>
      <c r="L252" s="77" t="s">
        <v>45</v>
      </c>
      <c r="M252" s="77" t="s">
        <v>67</v>
      </c>
      <c r="N252" s="64"/>
      <c r="O252" s="77" t="s">
        <v>60</v>
      </c>
      <c r="P252" s="30" t="s">
        <v>57</v>
      </c>
      <c r="Q252" s="64" t="s">
        <v>58</v>
      </c>
      <c r="R252" s="30"/>
      <c r="S252" s="30"/>
      <c r="T252" s="30"/>
      <c r="U252" s="30" t="s">
        <v>499</v>
      </c>
      <c r="V252" s="30"/>
      <c r="W252" s="51" t="str">
        <f t="shared" si="17"/>
        <v>#NAME?</v>
      </c>
      <c r="X252" s="2"/>
      <c r="Y252" s="2"/>
      <c r="Z252" s="2"/>
      <c r="AA252" s="2"/>
      <c r="AB252" s="2"/>
      <c r="AC252" s="2"/>
      <c r="AD252" s="2"/>
      <c r="AE252" s="2"/>
    </row>
    <row r="253" ht="15.75" customHeight="1">
      <c r="A253" s="45">
        <v>181.0</v>
      </c>
      <c r="B253" s="45" t="str">
        <f t="shared" si="14"/>
        <v>#NAME?</v>
      </c>
      <c r="C253" s="45">
        <f t="shared" si="15"/>
        <v>6</v>
      </c>
      <c r="D253" s="75">
        <v>46185.0</v>
      </c>
      <c r="E253" s="75">
        <v>46185.0</v>
      </c>
      <c r="F253" s="45"/>
      <c r="G253" s="45" t="s">
        <v>392</v>
      </c>
      <c r="H253" s="61" t="s">
        <v>275</v>
      </c>
      <c r="I253" s="48"/>
      <c r="J253" s="48">
        <v>500000.0</v>
      </c>
      <c r="K253" s="48">
        <f t="shared" si="7"/>
        <v>705222</v>
      </c>
      <c r="L253" s="77" t="s">
        <v>45</v>
      </c>
      <c r="M253" s="77" t="s">
        <v>47</v>
      </c>
      <c r="N253" s="64"/>
      <c r="O253" s="77" t="s">
        <v>60</v>
      </c>
      <c r="P253" s="30" t="s">
        <v>49</v>
      </c>
      <c r="Q253" s="64" t="s">
        <v>50</v>
      </c>
      <c r="R253" s="30"/>
      <c r="S253" s="30"/>
      <c r="T253" s="30"/>
      <c r="U253" s="30" t="s">
        <v>75</v>
      </c>
      <c r="V253" s="30"/>
      <c r="W253" s="51" t="str">
        <f t="shared" si="17"/>
        <v>#NAME?</v>
      </c>
      <c r="X253" s="2"/>
      <c r="Y253" s="2"/>
      <c r="Z253" s="2"/>
      <c r="AA253" s="2"/>
      <c r="AB253" s="2"/>
      <c r="AC253" s="2"/>
      <c r="AD253" s="2"/>
      <c r="AE253" s="2"/>
    </row>
    <row r="254" ht="15.75" customHeight="1">
      <c r="A254" s="45">
        <v>180.0</v>
      </c>
      <c r="B254" s="45" t="str">
        <f t="shared" si="14"/>
        <v>#NAME?</v>
      </c>
      <c r="C254" s="45">
        <f t="shared" si="15"/>
        <v>6</v>
      </c>
      <c r="D254" s="75">
        <v>46184.0</v>
      </c>
      <c r="E254" s="75">
        <v>46184.0</v>
      </c>
      <c r="F254" s="45"/>
      <c r="G254" s="45" t="s">
        <v>1913</v>
      </c>
      <c r="H254" s="61" t="s">
        <v>1914</v>
      </c>
      <c r="I254" s="48">
        <v>233700.0</v>
      </c>
      <c r="J254" s="48"/>
      <c r="K254" s="48">
        <f t="shared" si="7"/>
        <v>205222</v>
      </c>
      <c r="L254" s="77" t="s">
        <v>45</v>
      </c>
      <c r="M254" s="77" t="s">
        <v>67</v>
      </c>
      <c r="N254" s="64"/>
      <c r="O254" s="77" t="s">
        <v>60</v>
      </c>
      <c r="P254" s="30" t="s">
        <v>57</v>
      </c>
      <c r="Q254" s="64" t="s">
        <v>58</v>
      </c>
      <c r="R254" s="30"/>
      <c r="S254" s="30"/>
      <c r="T254" s="30"/>
      <c r="U254" s="30" t="s">
        <v>499</v>
      </c>
      <c r="V254" s="30"/>
      <c r="W254" s="51" t="str">
        <f t="shared" si="17"/>
        <v>#NAME?</v>
      </c>
      <c r="X254" s="2"/>
      <c r="Y254" s="2"/>
      <c r="Z254" s="2"/>
      <c r="AA254" s="2"/>
      <c r="AB254" s="2"/>
      <c r="AC254" s="2"/>
      <c r="AD254" s="2"/>
      <c r="AE254" s="2"/>
    </row>
    <row r="255" ht="15.75" customHeight="1">
      <c r="A255" s="45">
        <v>179.0</v>
      </c>
      <c r="B255" s="45" t="str">
        <f t="shared" si="14"/>
        <v>#NAME?</v>
      </c>
      <c r="C255" s="45">
        <f t="shared" si="15"/>
        <v>6</v>
      </c>
      <c r="D255" s="75">
        <v>46184.0</v>
      </c>
      <c r="E255" s="75">
        <v>46184.0</v>
      </c>
      <c r="F255" s="45"/>
      <c r="G255" s="45" t="s">
        <v>392</v>
      </c>
      <c r="H255" s="61" t="s">
        <v>285</v>
      </c>
      <c r="I255" s="48"/>
      <c r="J255" s="48">
        <v>400000.0</v>
      </c>
      <c r="K255" s="48">
        <f t="shared" si="7"/>
        <v>438922</v>
      </c>
      <c r="L255" s="77" t="s">
        <v>45</v>
      </c>
      <c r="M255" s="77" t="s">
        <v>47</v>
      </c>
      <c r="N255" s="64"/>
      <c r="O255" s="77" t="s">
        <v>60</v>
      </c>
      <c r="P255" s="30" t="s">
        <v>49</v>
      </c>
      <c r="Q255" s="64" t="s">
        <v>50</v>
      </c>
      <c r="R255" s="30"/>
      <c r="S255" s="30"/>
      <c r="T255" s="30"/>
      <c r="U255" s="30" t="s">
        <v>75</v>
      </c>
      <c r="V255" s="30"/>
      <c r="W255" s="51" t="str">
        <f t="shared" si="17"/>
        <v>#NAME?</v>
      </c>
      <c r="X255" s="2"/>
      <c r="Y255" s="2"/>
      <c r="Z255" s="2"/>
      <c r="AA255" s="2"/>
      <c r="AB255" s="2"/>
      <c r="AC255" s="2"/>
      <c r="AD255" s="2"/>
      <c r="AE255" s="2"/>
    </row>
    <row r="256" ht="15.75" customHeight="1">
      <c r="A256" s="45">
        <v>178.0</v>
      </c>
      <c r="B256" s="45" t="str">
        <f t="shared" si="14"/>
        <v>#NAME?</v>
      </c>
      <c r="C256" s="45">
        <f t="shared" si="15"/>
        <v>6</v>
      </c>
      <c r="D256" s="75">
        <v>46184.0</v>
      </c>
      <c r="E256" s="75">
        <v>46184.0</v>
      </c>
      <c r="F256" s="45"/>
      <c r="G256" s="45" t="s">
        <v>1915</v>
      </c>
      <c r="H256" s="61" t="s">
        <v>1916</v>
      </c>
      <c r="I256" s="48">
        <v>15000.0</v>
      </c>
      <c r="J256" s="48"/>
      <c r="K256" s="48">
        <f t="shared" si="7"/>
        <v>38922</v>
      </c>
      <c r="L256" s="77" t="s">
        <v>45</v>
      </c>
      <c r="M256" s="77" t="s">
        <v>85</v>
      </c>
      <c r="N256" s="64"/>
      <c r="O256" s="77" t="s">
        <v>60</v>
      </c>
      <c r="P256" s="30" t="s">
        <v>57</v>
      </c>
      <c r="Q256" s="64" t="s">
        <v>58</v>
      </c>
      <c r="R256" s="30"/>
      <c r="S256" s="30"/>
      <c r="T256" s="30"/>
      <c r="U256" s="30" t="s">
        <v>75</v>
      </c>
      <c r="V256" s="30"/>
      <c r="W256" s="51" t="str">
        <f t="shared" si="17"/>
        <v>#NAME?</v>
      </c>
      <c r="X256" s="2"/>
      <c r="Y256" s="2"/>
      <c r="Z256" s="2"/>
      <c r="AA256" s="2"/>
      <c r="AB256" s="2"/>
      <c r="AC256" s="2"/>
      <c r="AD256" s="2"/>
      <c r="AE256" s="2"/>
    </row>
    <row r="257" ht="15.75" customHeight="1">
      <c r="A257" s="45">
        <v>177.0</v>
      </c>
      <c r="B257" s="45" t="str">
        <f t="shared" si="14"/>
        <v>#NAME?</v>
      </c>
      <c r="C257" s="45">
        <f t="shared" si="15"/>
        <v>6</v>
      </c>
      <c r="D257" s="75">
        <v>46182.0</v>
      </c>
      <c r="E257" s="75">
        <v>46182.0</v>
      </c>
      <c r="F257" s="45"/>
      <c r="G257" s="45" t="s">
        <v>1917</v>
      </c>
      <c r="H257" s="61" t="s">
        <v>1918</v>
      </c>
      <c r="I257" s="48">
        <v>44840.0</v>
      </c>
      <c r="J257" s="48"/>
      <c r="K257" s="48">
        <f t="shared" si="7"/>
        <v>53922</v>
      </c>
      <c r="L257" s="77" t="s">
        <v>45</v>
      </c>
      <c r="M257" s="77" t="s">
        <v>67</v>
      </c>
      <c r="N257" s="64"/>
      <c r="O257" s="77" t="s">
        <v>60</v>
      </c>
      <c r="P257" s="30" t="s">
        <v>57</v>
      </c>
      <c r="Q257" s="64" t="s">
        <v>58</v>
      </c>
      <c r="R257" s="30"/>
      <c r="S257" s="30"/>
      <c r="T257" s="30"/>
      <c r="U257" s="30" t="s">
        <v>499</v>
      </c>
      <c r="V257" s="30"/>
      <c r="W257" s="51" t="str">
        <f t="shared" si="17"/>
        <v>#NAME?</v>
      </c>
      <c r="X257" s="2"/>
      <c r="Y257" s="2"/>
      <c r="Z257" s="2"/>
      <c r="AA257" s="2"/>
      <c r="AB257" s="2"/>
      <c r="AC257" s="2"/>
      <c r="AD257" s="2"/>
      <c r="AE257" s="2"/>
    </row>
    <row r="258" ht="15.75" customHeight="1">
      <c r="A258" s="45">
        <v>176.0</v>
      </c>
      <c r="B258" s="45" t="str">
        <f t="shared" si="14"/>
        <v>#NAME?</v>
      </c>
      <c r="C258" s="45">
        <f t="shared" si="15"/>
        <v>6</v>
      </c>
      <c r="D258" s="75">
        <v>46182.0</v>
      </c>
      <c r="E258" s="75">
        <v>46182.0</v>
      </c>
      <c r="F258" s="45"/>
      <c r="G258" s="45" t="s">
        <v>1919</v>
      </c>
      <c r="H258" s="61" t="s">
        <v>1920</v>
      </c>
      <c r="I258" s="48">
        <v>102378.0</v>
      </c>
      <c r="J258" s="48"/>
      <c r="K258" s="48">
        <f t="shared" si="7"/>
        <v>98762</v>
      </c>
      <c r="L258" s="77" t="s">
        <v>45</v>
      </c>
      <c r="M258" s="77" t="s">
        <v>67</v>
      </c>
      <c r="N258" s="64"/>
      <c r="O258" s="77" t="s">
        <v>60</v>
      </c>
      <c r="P258" s="30" t="s">
        <v>57</v>
      </c>
      <c r="Q258" s="64" t="s">
        <v>58</v>
      </c>
      <c r="R258" s="30"/>
      <c r="S258" s="30"/>
      <c r="T258" s="30"/>
      <c r="U258" s="30" t="s">
        <v>499</v>
      </c>
      <c r="V258" s="30"/>
      <c r="W258" s="51" t="str">
        <f t="shared" si="17"/>
        <v>#NAME?</v>
      </c>
      <c r="X258" s="2"/>
      <c r="Y258" s="2"/>
      <c r="Z258" s="2"/>
      <c r="AA258" s="2"/>
      <c r="AB258" s="2"/>
      <c r="AC258" s="2"/>
      <c r="AD258" s="2"/>
      <c r="AE258" s="2"/>
    </row>
    <row r="259" ht="15.75" customHeight="1">
      <c r="A259" s="45">
        <v>175.0</v>
      </c>
      <c r="B259" s="45" t="str">
        <f t="shared" si="14"/>
        <v>#NAME?</v>
      </c>
      <c r="C259" s="45">
        <f t="shared" si="15"/>
        <v>6</v>
      </c>
      <c r="D259" s="75">
        <v>46179.0</v>
      </c>
      <c r="E259" s="75">
        <v>46179.0</v>
      </c>
      <c r="F259" s="45"/>
      <c r="G259" s="45" t="s">
        <v>1921</v>
      </c>
      <c r="H259" s="61" t="s">
        <v>1922</v>
      </c>
      <c r="I259" s="48">
        <v>10000.0</v>
      </c>
      <c r="J259" s="48"/>
      <c r="K259" s="48">
        <f t="shared" si="7"/>
        <v>201140</v>
      </c>
      <c r="L259" s="77" t="s">
        <v>45</v>
      </c>
      <c r="M259" s="77" t="s">
        <v>85</v>
      </c>
      <c r="N259" s="64"/>
      <c r="O259" s="77" t="s">
        <v>60</v>
      </c>
      <c r="P259" s="30" t="s">
        <v>57</v>
      </c>
      <c r="Q259" s="64" t="s">
        <v>58</v>
      </c>
      <c r="R259" s="30"/>
      <c r="S259" s="30"/>
      <c r="T259" s="30"/>
      <c r="U259" s="30" t="s">
        <v>75</v>
      </c>
      <c r="V259" s="30"/>
      <c r="W259" s="51" t="str">
        <f t="shared" si="17"/>
        <v>#NAME?</v>
      </c>
      <c r="X259" s="2"/>
      <c r="Y259" s="2"/>
      <c r="Z259" s="2"/>
      <c r="AA259" s="2"/>
      <c r="AB259" s="2"/>
      <c r="AC259" s="2"/>
      <c r="AD259" s="2"/>
      <c r="AE259" s="2"/>
    </row>
    <row r="260" ht="15.75" customHeight="1">
      <c r="A260" s="45">
        <v>174.0</v>
      </c>
      <c r="B260" s="45" t="str">
        <f t="shared" si="14"/>
        <v>#NAME?</v>
      </c>
      <c r="C260" s="45">
        <f t="shared" si="15"/>
        <v>6</v>
      </c>
      <c r="D260" s="75">
        <v>46179.0</v>
      </c>
      <c r="E260" s="75">
        <v>46179.0</v>
      </c>
      <c r="F260" s="45"/>
      <c r="G260" s="45" t="s">
        <v>1923</v>
      </c>
      <c r="H260" s="61" t="s">
        <v>1924</v>
      </c>
      <c r="I260" s="48">
        <v>7425.0</v>
      </c>
      <c r="J260" s="48"/>
      <c r="K260" s="48">
        <f t="shared" si="7"/>
        <v>211140</v>
      </c>
      <c r="L260" s="77" t="s">
        <v>45</v>
      </c>
      <c r="M260" s="77" t="s">
        <v>55</v>
      </c>
      <c r="N260" s="64"/>
      <c r="O260" s="77" t="s">
        <v>60</v>
      </c>
      <c r="P260" s="30" t="s">
        <v>57</v>
      </c>
      <c r="Q260" s="64" t="s">
        <v>58</v>
      </c>
      <c r="R260" s="30"/>
      <c r="S260" s="30"/>
      <c r="T260" s="30"/>
      <c r="U260" s="30" t="s">
        <v>156</v>
      </c>
      <c r="V260" s="30"/>
      <c r="W260" s="51" t="str">
        <f t="shared" si="17"/>
        <v>#NAME?</v>
      </c>
      <c r="X260" s="2"/>
      <c r="Y260" s="2"/>
      <c r="Z260" s="2"/>
      <c r="AA260" s="2"/>
      <c r="AB260" s="2"/>
      <c r="AC260" s="2"/>
      <c r="AD260" s="2"/>
      <c r="AE260" s="2"/>
    </row>
    <row r="261" ht="15.75" customHeight="1">
      <c r="A261" s="45">
        <v>173.0</v>
      </c>
      <c r="B261" s="45" t="str">
        <f t="shared" si="14"/>
        <v>#NAME?</v>
      </c>
      <c r="C261" s="45">
        <f t="shared" si="15"/>
        <v>6</v>
      </c>
      <c r="D261" s="75">
        <v>46179.0</v>
      </c>
      <c r="E261" s="75">
        <v>46179.0</v>
      </c>
      <c r="F261" s="45"/>
      <c r="G261" s="45" t="s">
        <v>1925</v>
      </c>
      <c r="H261" s="61" t="s">
        <v>1926</v>
      </c>
      <c r="I261" s="48">
        <v>3762.0</v>
      </c>
      <c r="J261" s="48"/>
      <c r="K261" s="48">
        <f t="shared" si="7"/>
        <v>218565</v>
      </c>
      <c r="L261" s="77" t="s">
        <v>45</v>
      </c>
      <c r="M261" s="77" t="s">
        <v>67</v>
      </c>
      <c r="N261" s="64"/>
      <c r="O261" s="77" t="s">
        <v>60</v>
      </c>
      <c r="P261" s="30" t="s">
        <v>57</v>
      </c>
      <c r="Q261" s="64" t="s">
        <v>58</v>
      </c>
      <c r="R261" s="30"/>
      <c r="S261" s="30"/>
      <c r="T261" s="30"/>
      <c r="U261" s="30" t="s">
        <v>499</v>
      </c>
      <c r="V261" s="30"/>
      <c r="W261" s="51" t="str">
        <f t="shared" si="17"/>
        <v>#NAME?</v>
      </c>
      <c r="X261" s="2"/>
      <c r="Y261" s="2"/>
      <c r="Z261" s="2"/>
      <c r="AA261" s="2"/>
      <c r="AB261" s="2"/>
      <c r="AC261" s="2"/>
      <c r="AD261" s="2"/>
      <c r="AE261" s="2"/>
    </row>
    <row r="262" ht="15.75" customHeight="1">
      <c r="A262" s="45">
        <v>172.0</v>
      </c>
      <c r="B262" s="45" t="str">
        <f t="shared" si="14"/>
        <v>#NAME?</v>
      </c>
      <c r="C262" s="45">
        <f t="shared" si="15"/>
        <v>6</v>
      </c>
      <c r="D262" s="75">
        <v>46179.0</v>
      </c>
      <c r="E262" s="75">
        <v>46179.0</v>
      </c>
      <c r="F262" s="45"/>
      <c r="G262" s="45" t="s">
        <v>1927</v>
      </c>
      <c r="H262" s="61" t="s">
        <v>1928</v>
      </c>
      <c r="I262" s="48">
        <v>14850.0</v>
      </c>
      <c r="J262" s="48"/>
      <c r="K262" s="48">
        <f t="shared" si="7"/>
        <v>222327</v>
      </c>
      <c r="L262" s="77" t="s">
        <v>45</v>
      </c>
      <c r="M262" s="77" t="s">
        <v>55</v>
      </c>
      <c r="N262" s="64"/>
      <c r="O262" s="77" t="s">
        <v>60</v>
      </c>
      <c r="P262" s="30" t="s">
        <v>57</v>
      </c>
      <c r="Q262" s="64" t="s">
        <v>58</v>
      </c>
      <c r="R262" s="30"/>
      <c r="S262" s="30"/>
      <c r="T262" s="30"/>
      <c r="U262" s="30" t="s">
        <v>156</v>
      </c>
      <c r="V262" s="30"/>
      <c r="W262" s="51" t="str">
        <f t="shared" si="17"/>
        <v>#NAME?</v>
      </c>
      <c r="X262" s="2"/>
      <c r="Y262" s="2"/>
      <c r="Z262" s="2"/>
      <c r="AA262" s="2"/>
      <c r="AB262" s="2"/>
      <c r="AC262" s="2"/>
      <c r="AD262" s="2"/>
      <c r="AE262" s="2"/>
    </row>
    <row r="263" ht="15.75" customHeight="1">
      <c r="A263" s="45">
        <v>171.0</v>
      </c>
      <c r="B263" s="45" t="str">
        <f t="shared" si="14"/>
        <v>#NAME?</v>
      </c>
      <c r="C263" s="45">
        <f t="shared" si="15"/>
        <v>6</v>
      </c>
      <c r="D263" s="75">
        <v>46179.0</v>
      </c>
      <c r="E263" s="75">
        <v>46179.0</v>
      </c>
      <c r="F263" s="45"/>
      <c r="G263" s="45" t="s">
        <v>1929</v>
      </c>
      <c r="H263" s="61" t="s">
        <v>1930</v>
      </c>
      <c r="I263" s="48">
        <v>7425.0</v>
      </c>
      <c r="J263" s="48"/>
      <c r="K263" s="48">
        <f t="shared" si="7"/>
        <v>237177</v>
      </c>
      <c r="L263" s="77" t="s">
        <v>45</v>
      </c>
      <c r="M263" s="77" t="s">
        <v>55</v>
      </c>
      <c r="N263" s="64"/>
      <c r="O263" s="77" t="s">
        <v>60</v>
      </c>
      <c r="P263" s="30" t="s">
        <v>57</v>
      </c>
      <c r="Q263" s="64" t="s">
        <v>58</v>
      </c>
      <c r="R263" s="30"/>
      <c r="S263" s="30"/>
      <c r="T263" s="30"/>
      <c r="U263" s="30" t="s">
        <v>156</v>
      </c>
      <c r="V263" s="30"/>
      <c r="W263" s="51" t="str">
        <f t="shared" si="17"/>
        <v>#NAME?</v>
      </c>
      <c r="X263" s="2"/>
      <c r="Y263" s="2"/>
      <c r="Z263" s="2"/>
      <c r="AA263" s="2"/>
      <c r="AB263" s="2"/>
      <c r="AC263" s="2"/>
      <c r="AD263" s="2"/>
      <c r="AE263" s="2"/>
    </row>
    <row r="264" ht="15.75" customHeight="1">
      <c r="A264" s="45">
        <v>170.0</v>
      </c>
      <c r="B264" s="45" t="str">
        <f t="shared" si="14"/>
        <v>#NAME?</v>
      </c>
      <c r="C264" s="45">
        <f t="shared" si="15"/>
        <v>6</v>
      </c>
      <c r="D264" s="75">
        <v>46179.0</v>
      </c>
      <c r="E264" s="75">
        <v>46179.0</v>
      </c>
      <c r="F264" s="45"/>
      <c r="G264" s="45" t="s">
        <v>1931</v>
      </c>
      <c r="H264" s="61" t="s">
        <v>1932</v>
      </c>
      <c r="I264" s="48">
        <v>31504.0</v>
      </c>
      <c r="J264" s="48"/>
      <c r="K264" s="48">
        <f t="shared" si="7"/>
        <v>244602</v>
      </c>
      <c r="L264" s="77" t="s">
        <v>45</v>
      </c>
      <c r="M264" s="77" t="s">
        <v>47</v>
      </c>
      <c r="N264" s="64"/>
      <c r="O264" s="77" t="s">
        <v>60</v>
      </c>
      <c r="P264" s="30" t="s">
        <v>47</v>
      </c>
      <c r="Q264" s="64" t="s">
        <v>58</v>
      </c>
      <c r="R264" s="30"/>
      <c r="S264" s="30"/>
      <c r="T264" s="30"/>
      <c r="U264" s="30" t="s">
        <v>75</v>
      </c>
      <c r="V264" s="30"/>
      <c r="W264" s="51" t="str">
        <f t="shared" si="17"/>
        <v>#NAME?</v>
      </c>
      <c r="X264" s="2"/>
      <c r="Y264" s="2"/>
      <c r="Z264" s="2"/>
      <c r="AA264" s="2"/>
      <c r="AB264" s="2"/>
      <c r="AC264" s="2"/>
      <c r="AD264" s="2"/>
      <c r="AE264" s="2"/>
    </row>
    <row r="265" ht="15.75" customHeight="1">
      <c r="A265" s="45">
        <v>169.0</v>
      </c>
      <c r="B265" s="45" t="str">
        <f t="shared" si="14"/>
        <v>#NAME?</v>
      </c>
      <c r="C265" s="45">
        <f t="shared" si="15"/>
        <v>6</v>
      </c>
      <c r="D265" s="75">
        <v>46179.0</v>
      </c>
      <c r="E265" s="75">
        <v>46179.0</v>
      </c>
      <c r="F265" s="45"/>
      <c r="G265" s="45" t="s">
        <v>1933</v>
      </c>
      <c r="H265" s="61" t="s">
        <v>1934</v>
      </c>
      <c r="I265" s="48">
        <v>25000.0</v>
      </c>
      <c r="J265" s="48"/>
      <c r="K265" s="48">
        <f t="shared" si="7"/>
        <v>276106</v>
      </c>
      <c r="L265" s="77" t="s">
        <v>45</v>
      </c>
      <c r="M265" s="77" t="s">
        <v>67</v>
      </c>
      <c r="N265" s="64"/>
      <c r="O265" s="77" t="s">
        <v>60</v>
      </c>
      <c r="P265" s="30" t="s">
        <v>57</v>
      </c>
      <c r="Q265" s="64" t="s">
        <v>58</v>
      </c>
      <c r="R265" s="30"/>
      <c r="S265" s="30"/>
      <c r="T265" s="30"/>
      <c r="U265" s="30" t="s">
        <v>499</v>
      </c>
      <c r="V265" s="30"/>
      <c r="W265" s="51" t="str">
        <f t="shared" si="17"/>
        <v>#NAME?</v>
      </c>
      <c r="X265" s="2"/>
      <c r="Y265" s="2"/>
      <c r="Z265" s="2"/>
      <c r="AA265" s="2"/>
      <c r="AB265" s="2"/>
      <c r="AC265" s="2"/>
      <c r="AD265" s="2"/>
      <c r="AE265" s="2"/>
    </row>
    <row r="266" ht="15.75" customHeight="1">
      <c r="A266" s="45">
        <v>168.0</v>
      </c>
      <c r="B266" s="45" t="str">
        <f t="shared" si="14"/>
        <v>#NAME?</v>
      </c>
      <c r="C266" s="45">
        <f t="shared" si="15"/>
        <v>6</v>
      </c>
      <c r="D266" s="75">
        <v>46179.0</v>
      </c>
      <c r="E266" s="75">
        <v>46179.0</v>
      </c>
      <c r="F266" s="45"/>
      <c r="G266" s="45" t="s">
        <v>1935</v>
      </c>
      <c r="H266" s="61" t="s">
        <v>1936</v>
      </c>
      <c r="I266" s="48">
        <v>150000.0</v>
      </c>
      <c r="J266" s="48"/>
      <c r="K266" s="48">
        <f t="shared" si="7"/>
        <v>301106</v>
      </c>
      <c r="L266" s="77" t="s">
        <v>45</v>
      </c>
      <c r="M266" s="77" t="s">
        <v>67</v>
      </c>
      <c r="N266" s="64"/>
      <c r="O266" s="77" t="s">
        <v>60</v>
      </c>
      <c r="P266" s="30" t="s">
        <v>57</v>
      </c>
      <c r="Q266" s="64" t="s">
        <v>58</v>
      </c>
      <c r="R266" s="30"/>
      <c r="S266" s="30"/>
      <c r="T266" s="30"/>
      <c r="U266" s="30" t="s">
        <v>499</v>
      </c>
      <c r="V266" s="30"/>
      <c r="W266" s="51" t="str">
        <f t="shared" si="17"/>
        <v>#NAME?</v>
      </c>
      <c r="X266" s="2"/>
      <c r="Y266" s="2"/>
      <c r="Z266" s="2"/>
      <c r="AA266" s="2"/>
      <c r="AB266" s="2"/>
      <c r="AC266" s="2"/>
      <c r="AD266" s="2"/>
      <c r="AE266" s="2"/>
    </row>
    <row r="267" ht="15.75" customHeight="1">
      <c r="A267" s="45">
        <v>167.0</v>
      </c>
      <c r="B267" s="45" t="str">
        <f t="shared" si="14"/>
        <v>#NAME?</v>
      </c>
      <c r="C267" s="45">
        <f t="shared" si="15"/>
        <v>6</v>
      </c>
      <c r="D267" s="75">
        <v>46179.0</v>
      </c>
      <c r="E267" s="75">
        <v>46179.0</v>
      </c>
      <c r="F267" s="45"/>
      <c r="G267" s="45" t="s">
        <v>1937</v>
      </c>
      <c r="H267" s="61" t="s">
        <v>1938</v>
      </c>
      <c r="I267" s="48">
        <v>287100.0</v>
      </c>
      <c r="J267" s="48"/>
      <c r="K267" s="48">
        <f t="shared" si="7"/>
        <v>451106</v>
      </c>
      <c r="L267" s="77" t="s">
        <v>45</v>
      </c>
      <c r="M267" s="77" t="s">
        <v>55</v>
      </c>
      <c r="N267" s="64"/>
      <c r="O267" s="77" t="s">
        <v>60</v>
      </c>
      <c r="P267" s="30" t="s">
        <v>57</v>
      </c>
      <c r="Q267" s="64" t="s">
        <v>58</v>
      </c>
      <c r="R267" s="30"/>
      <c r="S267" s="30"/>
      <c r="T267" s="30"/>
      <c r="U267" s="30" t="s">
        <v>156</v>
      </c>
      <c r="V267" s="30"/>
      <c r="W267" s="51" t="str">
        <f t="shared" si="17"/>
        <v>#NAME?</v>
      </c>
      <c r="X267" s="2"/>
      <c r="Y267" s="2"/>
      <c r="Z267" s="2"/>
      <c r="AA267" s="2"/>
      <c r="AB267" s="2"/>
      <c r="AC267" s="2"/>
      <c r="AD267" s="2"/>
      <c r="AE267" s="2"/>
    </row>
    <row r="268" ht="15.75" customHeight="1">
      <c r="A268" s="45">
        <v>166.0</v>
      </c>
      <c r="B268" s="45" t="str">
        <f t="shared" si="14"/>
        <v>#NAME?</v>
      </c>
      <c r="C268" s="45">
        <f t="shared" si="15"/>
        <v>6</v>
      </c>
      <c r="D268" s="75">
        <v>46179.0</v>
      </c>
      <c r="E268" s="75">
        <v>46179.0</v>
      </c>
      <c r="F268" s="45"/>
      <c r="G268" s="45" t="s">
        <v>1939</v>
      </c>
      <c r="H268" s="61" t="s">
        <v>1940</v>
      </c>
      <c r="I268" s="48">
        <v>970.0</v>
      </c>
      <c r="J268" s="48"/>
      <c r="K268" s="48">
        <f t="shared" si="7"/>
        <v>738206</v>
      </c>
      <c r="L268" s="77" t="s">
        <v>45</v>
      </c>
      <c r="M268" s="77" t="s">
        <v>67</v>
      </c>
      <c r="N268" s="64"/>
      <c r="O268" s="77" t="s">
        <v>60</v>
      </c>
      <c r="P268" s="30" t="s">
        <v>57</v>
      </c>
      <c r="Q268" s="64" t="s">
        <v>58</v>
      </c>
      <c r="R268" s="30"/>
      <c r="S268" s="30"/>
      <c r="T268" s="30"/>
      <c r="U268" s="30" t="s">
        <v>499</v>
      </c>
      <c r="V268" s="30"/>
      <c r="W268" s="51" t="str">
        <f t="shared" si="17"/>
        <v>#NAME?</v>
      </c>
      <c r="X268" s="2"/>
      <c r="Y268" s="2"/>
      <c r="Z268" s="2"/>
      <c r="AA268" s="2"/>
      <c r="AB268" s="2"/>
      <c r="AC268" s="2"/>
      <c r="AD268" s="2"/>
      <c r="AE268" s="2"/>
    </row>
    <row r="269" ht="15.75" customHeight="1">
      <c r="A269" s="45">
        <v>165.0</v>
      </c>
      <c r="B269" s="45" t="str">
        <f t="shared" si="14"/>
        <v>#NAME?</v>
      </c>
      <c r="C269" s="45">
        <f t="shared" si="15"/>
        <v>6</v>
      </c>
      <c r="D269" s="75">
        <v>46179.0</v>
      </c>
      <c r="E269" s="75">
        <v>46179.0</v>
      </c>
      <c r="F269" s="45"/>
      <c r="G269" s="45" t="s">
        <v>1941</v>
      </c>
      <c r="H269" s="61" t="s">
        <v>1942</v>
      </c>
      <c r="I269" s="48">
        <v>2970.0</v>
      </c>
      <c r="J269" s="48"/>
      <c r="K269" s="48">
        <f t="shared" si="7"/>
        <v>739176</v>
      </c>
      <c r="L269" s="77" t="s">
        <v>45</v>
      </c>
      <c r="M269" s="77" t="s">
        <v>55</v>
      </c>
      <c r="N269" s="64"/>
      <c r="O269" s="77" t="s">
        <v>60</v>
      </c>
      <c r="P269" s="30" t="s">
        <v>57</v>
      </c>
      <c r="Q269" s="64" t="s">
        <v>58</v>
      </c>
      <c r="R269" s="30"/>
      <c r="S269" s="30"/>
      <c r="T269" s="30"/>
      <c r="U269" s="30" t="s">
        <v>156</v>
      </c>
      <c r="V269" s="30"/>
      <c r="W269" s="51" t="str">
        <f t="shared" si="17"/>
        <v>#NAME?</v>
      </c>
      <c r="X269" s="2"/>
      <c r="Y269" s="2"/>
      <c r="Z269" s="2"/>
      <c r="AA269" s="2"/>
      <c r="AB269" s="2"/>
      <c r="AC269" s="2"/>
      <c r="AD269" s="2"/>
      <c r="AE269" s="2"/>
    </row>
    <row r="270" ht="15.75" customHeight="1">
      <c r="A270" s="45">
        <v>164.0</v>
      </c>
      <c r="B270" s="45" t="str">
        <f t="shared" si="14"/>
        <v>#NAME?</v>
      </c>
      <c r="C270" s="45">
        <f t="shared" si="15"/>
        <v>6</v>
      </c>
      <c r="D270" s="75">
        <v>46179.0</v>
      </c>
      <c r="E270" s="75">
        <v>46179.0</v>
      </c>
      <c r="F270" s="45"/>
      <c r="G270" s="45" t="s">
        <v>392</v>
      </c>
      <c r="H270" s="61" t="s">
        <v>301</v>
      </c>
      <c r="I270" s="48"/>
      <c r="J270" s="48">
        <v>700000.0</v>
      </c>
      <c r="K270" s="48">
        <f t="shared" si="7"/>
        <v>742146</v>
      </c>
      <c r="L270" s="77" t="s">
        <v>45</v>
      </c>
      <c r="M270" s="77" t="s">
        <v>47</v>
      </c>
      <c r="N270" s="64"/>
      <c r="O270" s="77" t="s">
        <v>60</v>
      </c>
      <c r="P270" s="30" t="s">
        <v>49</v>
      </c>
      <c r="Q270" s="64" t="s">
        <v>50</v>
      </c>
      <c r="R270" s="30"/>
      <c r="S270" s="30"/>
      <c r="T270" s="30"/>
      <c r="U270" s="30" t="s">
        <v>75</v>
      </c>
      <c r="V270" s="30"/>
      <c r="W270" s="51" t="str">
        <f t="shared" si="17"/>
        <v>#NAME?</v>
      </c>
      <c r="X270" s="2"/>
      <c r="Y270" s="2"/>
      <c r="Z270" s="2"/>
      <c r="AA270" s="2"/>
      <c r="AB270" s="2"/>
      <c r="AC270" s="2"/>
      <c r="AD270" s="2"/>
      <c r="AE270" s="2"/>
    </row>
    <row r="271" ht="15.75" customHeight="1">
      <c r="A271" s="45">
        <v>163.0</v>
      </c>
      <c r="B271" s="45" t="str">
        <f t="shared" si="14"/>
        <v>#NAME?</v>
      </c>
      <c r="C271" s="45">
        <f t="shared" si="15"/>
        <v>6</v>
      </c>
      <c r="D271" s="75">
        <v>46174.0</v>
      </c>
      <c r="E271" s="75">
        <v>46174.0</v>
      </c>
      <c r="F271" s="45"/>
      <c r="G271" s="45" t="s">
        <v>1943</v>
      </c>
      <c r="H271" s="61" t="s">
        <v>1944</v>
      </c>
      <c r="I271" s="48"/>
      <c r="J271" s="48">
        <v>1.0</v>
      </c>
      <c r="K271" s="48">
        <f t="shared" si="7"/>
        <v>42146</v>
      </c>
      <c r="L271" s="77" t="s">
        <v>45</v>
      </c>
      <c r="M271" s="77" t="s">
        <v>47</v>
      </c>
      <c r="N271" s="64"/>
      <c r="O271" s="77" t="s">
        <v>60</v>
      </c>
      <c r="P271" s="30" t="s">
        <v>47</v>
      </c>
      <c r="Q271" s="64" t="s">
        <v>50</v>
      </c>
      <c r="R271" s="30"/>
      <c r="S271" s="30"/>
      <c r="T271" s="30"/>
      <c r="U271" s="30" t="s">
        <v>75</v>
      </c>
      <c r="V271" s="30"/>
      <c r="W271" s="51" t="str">
        <f t="shared" si="17"/>
        <v>#NAME?</v>
      </c>
      <c r="X271" s="2"/>
      <c r="Y271" s="2"/>
      <c r="Z271" s="2"/>
      <c r="AA271" s="2"/>
      <c r="AB271" s="2"/>
      <c r="AC271" s="2"/>
      <c r="AD271" s="2"/>
      <c r="AE271" s="2"/>
    </row>
    <row r="272" ht="15.75" customHeight="1">
      <c r="A272" s="45">
        <v>162.0</v>
      </c>
      <c r="B272" s="45" t="str">
        <f t="shared" si="14"/>
        <v>#NAME?</v>
      </c>
      <c r="C272" s="45">
        <f t="shared" si="15"/>
        <v>5</v>
      </c>
      <c r="D272" s="75">
        <v>46172.0</v>
      </c>
      <c r="E272" s="75">
        <v>46172.0</v>
      </c>
      <c r="F272" s="45"/>
      <c r="G272" s="45" t="s">
        <v>1945</v>
      </c>
      <c r="H272" s="61" t="s">
        <v>1946</v>
      </c>
      <c r="I272" s="48">
        <v>7425.0</v>
      </c>
      <c r="J272" s="48"/>
      <c r="K272" s="48">
        <f t="shared" si="7"/>
        <v>42145</v>
      </c>
      <c r="L272" s="77" t="s">
        <v>45</v>
      </c>
      <c r="M272" s="77" t="s">
        <v>55</v>
      </c>
      <c r="N272" s="64"/>
      <c r="O272" s="77" t="s">
        <v>60</v>
      </c>
      <c r="P272" s="30" t="s">
        <v>57</v>
      </c>
      <c r="Q272" s="64" t="s">
        <v>58</v>
      </c>
      <c r="R272" s="30"/>
      <c r="S272" s="30"/>
      <c r="T272" s="30"/>
      <c r="U272" s="30" t="s">
        <v>156</v>
      </c>
      <c r="V272" s="30"/>
      <c r="W272" s="51" t="str">
        <f t="shared" si="17"/>
        <v>#NAME?</v>
      </c>
      <c r="X272" s="2"/>
      <c r="Y272" s="2"/>
      <c r="Z272" s="2"/>
      <c r="AA272" s="2"/>
      <c r="AB272" s="2"/>
      <c r="AC272" s="2"/>
      <c r="AD272" s="2"/>
      <c r="AE272" s="2"/>
    </row>
    <row r="273" ht="15.75" customHeight="1">
      <c r="A273" s="45">
        <v>161.0</v>
      </c>
      <c r="B273" s="45" t="str">
        <f t="shared" si="14"/>
        <v>#NAME?</v>
      </c>
      <c r="C273" s="45">
        <f t="shared" si="15"/>
        <v>5</v>
      </c>
      <c r="D273" s="75">
        <v>46172.0</v>
      </c>
      <c r="E273" s="75">
        <v>46172.0</v>
      </c>
      <c r="F273" s="45"/>
      <c r="G273" s="45" t="s">
        <v>1947</v>
      </c>
      <c r="H273" s="61" t="s">
        <v>1948</v>
      </c>
      <c r="I273" s="48">
        <v>7425.0</v>
      </c>
      <c r="J273" s="48"/>
      <c r="K273" s="48">
        <f t="shared" si="7"/>
        <v>49570</v>
      </c>
      <c r="L273" s="77" t="s">
        <v>45</v>
      </c>
      <c r="M273" s="77" t="s">
        <v>55</v>
      </c>
      <c r="N273" s="64"/>
      <c r="O273" s="77" t="s">
        <v>60</v>
      </c>
      <c r="P273" s="30" t="s">
        <v>57</v>
      </c>
      <c r="Q273" s="64" t="s">
        <v>58</v>
      </c>
      <c r="R273" s="30"/>
      <c r="S273" s="30"/>
      <c r="T273" s="30"/>
      <c r="U273" s="30" t="s">
        <v>156</v>
      </c>
      <c r="V273" s="30"/>
      <c r="W273" s="51" t="str">
        <f t="shared" si="17"/>
        <v>#NAME?</v>
      </c>
      <c r="X273" s="2"/>
      <c r="Y273" s="2"/>
      <c r="Z273" s="2"/>
      <c r="AA273" s="2"/>
      <c r="AB273" s="2"/>
      <c r="AC273" s="2"/>
      <c r="AD273" s="2"/>
      <c r="AE273" s="2"/>
    </row>
    <row r="274" ht="15.75" customHeight="1">
      <c r="A274" s="45">
        <v>160.0</v>
      </c>
      <c r="B274" s="45" t="str">
        <f t="shared" si="14"/>
        <v>#NAME?</v>
      </c>
      <c r="C274" s="45">
        <f t="shared" si="15"/>
        <v>5</v>
      </c>
      <c r="D274" s="75">
        <v>46172.0</v>
      </c>
      <c r="E274" s="75">
        <v>46172.0</v>
      </c>
      <c r="F274" s="45"/>
      <c r="G274" s="45" t="s">
        <v>1949</v>
      </c>
      <c r="H274" s="61" t="s">
        <v>1950</v>
      </c>
      <c r="I274" s="48">
        <v>2970.0</v>
      </c>
      <c r="J274" s="48"/>
      <c r="K274" s="48">
        <f t="shared" si="7"/>
        <v>56995</v>
      </c>
      <c r="L274" s="77" t="s">
        <v>45</v>
      </c>
      <c r="M274" s="77" t="s">
        <v>55</v>
      </c>
      <c r="N274" s="64"/>
      <c r="O274" s="77" t="s">
        <v>60</v>
      </c>
      <c r="P274" s="30" t="s">
        <v>57</v>
      </c>
      <c r="Q274" s="64" t="s">
        <v>58</v>
      </c>
      <c r="R274" s="30"/>
      <c r="S274" s="30"/>
      <c r="T274" s="30"/>
      <c r="U274" s="30" t="s">
        <v>156</v>
      </c>
      <c r="V274" s="30"/>
      <c r="W274" s="51" t="str">
        <f t="shared" si="17"/>
        <v>#NAME?</v>
      </c>
      <c r="X274" s="2"/>
      <c r="Y274" s="2"/>
      <c r="Z274" s="2"/>
      <c r="AA274" s="2"/>
      <c r="AB274" s="2"/>
      <c r="AC274" s="2"/>
      <c r="AD274" s="2"/>
      <c r="AE274" s="2"/>
    </row>
    <row r="275" ht="15.75" customHeight="1">
      <c r="A275" s="45">
        <v>159.0</v>
      </c>
      <c r="B275" s="45" t="str">
        <f t="shared" si="14"/>
        <v>#NAME?</v>
      </c>
      <c r="C275" s="45">
        <f t="shared" si="15"/>
        <v>5</v>
      </c>
      <c r="D275" s="75">
        <v>46172.0</v>
      </c>
      <c r="E275" s="75">
        <v>46172.0</v>
      </c>
      <c r="F275" s="45"/>
      <c r="G275" s="45" t="s">
        <v>1951</v>
      </c>
      <c r="H275" s="61" t="s">
        <v>1952</v>
      </c>
      <c r="I275" s="48">
        <v>44550.0</v>
      </c>
      <c r="J275" s="48"/>
      <c r="K275" s="48">
        <f t="shared" si="7"/>
        <v>59965</v>
      </c>
      <c r="L275" s="77" t="s">
        <v>45</v>
      </c>
      <c r="M275" s="77" t="s">
        <v>55</v>
      </c>
      <c r="N275" s="64"/>
      <c r="O275" s="77" t="s">
        <v>60</v>
      </c>
      <c r="P275" s="30" t="s">
        <v>57</v>
      </c>
      <c r="Q275" s="64" t="s">
        <v>58</v>
      </c>
      <c r="R275" s="30"/>
      <c r="S275" s="30"/>
      <c r="T275" s="30"/>
      <c r="U275" s="30" t="s">
        <v>156</v>
      </c>
      <c r="V275" s="30"/>
      <c r="W275" s="51" t="str">
        <f t="shared" si="17"/>
        <v>#NAME?</v>
      </c>
      <c r="X275" s="2"/>
      <c r="Y275" s="2"/>
      <c r="Z275" s="2"/>
      <c r="AA275" s="2"/>
      <c r="AB275" s="2"/>
      <c r="AC275" s="2"/>
      <c r="AD275" s="2"/>
      <c r="AE275" s="2"/>
    </row>
    <row r="276" ht="15.75" customHeight="1">
      <c r="A276" s="45">
        <v>158.0</v>
      </c>
      <c r="B276" s="45" t="str">
        <f t="shared" si="14"/>
        <v>#NAME?</v>
      </c>
      <c r="C276" s="45">
        <f t="shared" si="15"/>
        <v>5</v>
      </c>
      <c r="D276" s="75">
        <v>46172.0</v>
      </c>
      <c r="E276" s="75">
        <v>46172.0</v>
      </c>
      <c r="F276" s="45"/>
      <c r="G276" s="45" t="s">
        <v>1953</v>
      </c>
      <c r="H276" s="61" t="s">
        <v>1954</v>
      </c>
      <c r="I276" s="48">
        <v>14850.0</v>
      </c>
      <c r="J276" s="48"/>
      <c r="K276" s="48">
        <f t="shared" si="7"/>
        <v>104515</v>
      </c>
      <c r="L276" s="77" t="s">
        <v>45</v>
      </c>
      <c r="M276" s="77" t="s">
        <v>55</v>
      </c>
      <c r="N276" s="64"/>
      <c r="O276" s="77" t="s">
        <v>60</v>
      </c>
      <c r="P276" s="30" t="s">
        <v>57</v>
      </c>
      <c r="Q276" s="64" t="s">
        <v>58</v>
      </c>
      <c r="R276" s="30"/>
      <c r="S276" s="30"/>
      <c r="T276" s="30"/>
      <c r="U276" s="30" t="s">
        <v>156</v>
      </c>
      <c r="V276" s="30"/>
      <c r="W276" s="51" t="str">
        <f t="shared" si="17"/>
        <v>#NAME?</v>
      </c>
      <c r="X276" s="2"/>
      <c r="Y276" s="2"/>
      <c r="Z276" s="2"/>
      <c r="AA276" s="2"/>
      <c r="AB276" s="2"/>
      <c r="AC276" s="2"/>
      <c r="AD276" s="2"/>
      <c r="AE276" s="2"/>
    </row>
    <row r="277" ht="15.75" customHeight="1">
      <c r="A277" s="45">
        <v>157.0</v>
      </c>
      <c r="B277" s="45" t="str">
        <f t="shared" si="14"/>
        <v>#NAME?</v>
      </c>
      <c r="C277" s="45">
        <f t="shared" si="15"/>
        <v>5</v>
      </c>
      <c r="D277" s="75">
        <v>46172.0</v>
      </c>
      <c r="E277" s="75">
        <v>46172.0</v>
      </c>
      <c r="F277" s="45"/>
      <c r="G277" s="45" t="s">
        <v>392</v>
      </c>
      <c r="H277" s="61" t="s">
        <v>333</v>
      </c>
      <c r="I277" s="48"/>
      <c r="J277" s="48">
        <v>100000.0</v>
      </c>
      <c r="K277" s="145">
        <f t="shared" si="7"/>
        <v>119365</v>
      </c>
      <c r="L277" s="77" t="s">
        <v>45</v>
      </c>
      <c r="M277" s="77" t="s">
        <v>47</v>
      </c>
      <c r="N277" s="64"/>
      <c r="O277" s="77" t="s">
        <v>60</v>
      </c>
      <c r="P277" s="30" t="s">
        <v>49</v>
      </c>
      <c r="Q277" s="64" t="s">
        <v>50</v>
      </c>
      <c r="R277" s="30"/>
      <c r="S277" s="30"/>
      <c r="T277" s="30"/>
      <c r="U277" s="30" t="s">
        <v>75</v>
      </c>
      <c r="V277" s="30"/>
      <c r="W277" s="51" t="str">
        <f t="shared" si="17"/>
        <v>#NAME?</v>
      </c>
      <c r="X277" s="2"/>
      <c r="Y277" s="2"/>
      <c r="Z277" s="2"/>
      <c r="AA277" s="2"/>
      <c r="AB277" s="2"/>
      <c r="AC277" s="2"/>
      <c r="AD277" s="2"/>
      <c r="AE277" s="2"/>
    </row>
    <row r="278" ht="15.75" customHeight="1">
      <c r="A278" s="45">
        <v>156.0</v>
      </c>
      <c r="B278" s="45" t="str">
        <f t="shared" si="14"/>
        <v>#NAME?</v>
      </c>
      <c r="C278" s="45">
        <f t="shared" si="15"/>
        <v>5</v>
      </c>
      <c r="D278" s="75">
        <v>46170.0</v>
      </c>
      <c r="E278" s="75">
        <v>46170.0</v>
      </c>
      <c r="F278" s="45"/>
      <c r="G278" s="45" t="s">
        <v>1955</v>
      </c>
      <c r="H278" s="61" t="s">
        <v>1956</v>
      </c>
      <c r="I278" s="48">
        <v>17500.0</v>
      </c>
      <c r="J278" s="48"/>
      <c r="K278" s="48">
        <f t="shared" si="7"/>
        <v>19365</v>
      </c>
      <c r="L278" s="77" t="s">
        <v>45</v>
      </c>
      <c r="M278" s="77" t="s">
        <v>67</v>
      </c>
      <c r="N278" s="64"/>
      <c r="O278" s="77" t="s">
        <v>60</v>
      </c>
      <c r="P278" s="30" t="s">
        <v>57</v>
      </c>
      <c r="Q278" s="64" t="s">
        <v>58</v>
      </c>
      <c r="R278" s="30"/>
      <c r="S278" s="30"/>
      <c r="T278" s="30"/>
      <c r="U278" s="30" t="s">
        <v>499</v>
      </c>
      <c r="V278" s="30"/>
      <c r="W278" s="51" t="str">
        <f t="shared" si="17"/>
        <v>#NAME?</v>
      </c>
      <c r="X278" s="2"/>
      <c r="Y278" s="2"/>
      <c r="Z278" s="2"/>
      <c r="AA278" s="2"/>
      <c r="AB278" s="2"/>
      <c r="AC278" s="2"/>
      <c r="AD278" s="2"/>
      <c r="AE278" s="2"/>
    </row>
    <row r="279" ht="15.75" customHeight="1">
      <c r="A279" s="45">
        <v>155.0</v>
      </c>
      <c r="B279" s="45" t="str">
        <f t="shared" si="14"/>
        <v>#NAME?</v>
      </c>
      <c r="C279" s="45">
        <f t="shared" si="15"/>
        <v>5</v>
      </c>
      <c r="D279" s="75">
        <v>46168.0</v>
      </c>
      <c r="E279" s="75">
        <v>46168.0</v>
      </c>
      <c r="F279" s="45"/>
      <c r="G279" s="45" t="s">
        <v>1957</v>
      </c>
      <c r="H279" s="61" t="s">
        <v>1958</v>
      </c>
      <c r="I279" s="48">
        <v>18000.0</v>
      </c>
      <c r="J279" s="48"/>
      <c r="K279" s="48">
        <f t="shared" si="7"/>
        <v>36865</v>
      </c>
      <c r="L279" s="77" t="s">
        <v>45</v>
      </c>
      <c r="M279" s="77" t="s">
        <v>67</v>
      </c>
      <c r="N279" s="64"/>
      <c r="O279" s="77" t="s">
        <v>60</v>
      </c>
      <c r="P279" s="30" t="s">
        <v>57</v>
      </c>
      <c r="Q279" s="64" t="s">
        <v>58</v>
      </c>
      <c r="R279" s="30"/>
      <c r="S279" s="30"/>
      <c r="T279" s="30"/>
      <c r="U279" s="30" t="s">
        <v>499</v>
      </c>
      <c r="V279" s="30"/>
      <c r="W279" s="51" t="str">
        <f t="shared" si="17"/>
        <v>#NAME?</v>
      </c>
      <c r="X279" s="2"/>
      <c r="Y279" s="2"/>
      <c r="Z279" s="2"/>
      <c r="AA279" s="2"/>
      <c r="AB279" s="2"/>
      <c r="AC279" s="2"/>
      <c r="AD279" s="2"/>
      <c r="AE279" s="2"/>
    </row>
    <row r="280" ht="15.75" customHeight="1">
      <c r="A280" s="45">
        <v>154.0</v>
      </c>
      <c r="B280" s="45" t="str">
        <f t="shared" si="14"/>
        <v>#NAME?</v>
      </c>
      <c r="C280" s="45">
        <f t="shared" si="15"/>
        <v>5</v>
      </c>
      <c r="D280" s="75">
        <v>46165.0</v>
      </c>
      <c r="E280" s="75">
        <v>46165.0</v>
      </c>
      <c r="F280" s="45"/>
      <c r="G280" s="45" t="s">
        <v>1959</v>
      </c>
      <c r="H280" s="61" t="s">
        <v>1960</v>
      </c>
      <c r="I280" s="48">
        <v>54950.0</v>
      </c>
      <c r="J280" s="48"/>
      <c r="K280" s="48">
        <f t="shared" si="7"/>
        <v>54865</v>
      </c>
      <c r="L280" s="77" t="s">
        <v>45</v>
      </c>
      <c r="M280" s="77" t="s">
        <v>55</v>
      </c>
      <c r="N280" s="64"/>
      <c r="O280" s="77" t="s">
        <v>60</v>
      </c>
      <c r="P280" s="30" t="s">
        <v>57</v>
      </c>
      <c r="Q280" s="64" t="s">
        <v>58</v>
      </c>
      <c r="R280" s="30"/>
      <c r="S280" s="30"/>
      <c r="T280" s="30"/>
      <c r="U280" s="30" t="s">
        <v>156</v>
      </c>
      <c r="V280" s="30"/>
      <c r="W280" s="51" t="str">
        <f t="shared" si="17"/>
        <v>#NAME?</v>
      </c>
      <c r="X280" s="2"/>
      <c r="Y280" s="2"/>
      <c r="Z280" s="2"/>
      <c r="AA280" s="2"/>
      <c r="AB280" s="2"/>
      <c r="AC280" s="2"/>
      <c r="AD280" s="2"/>
      <c r="AE280" s="2"/>
    </row>
    <row r="281" ht="15.75" customHeight="1">
      <c r="A281" s="45">
        <v>153.0</v>
      </c>
      <c r="B281" s="45" t="str">
        <f t="shared" si="14"/>
        <v>#NAME?</v>
      </c>
      <c r="C281" s="45">
        <f t="shared" si="15"/>
        <v>5</v>
      </c>
      <c r="D281" s="75">
        <v>46165.0</v>
      </c>
      <c r="E281" s="75">
        <v>46165.0</v>
      </c>
      <c r="F281" s="45"/>
      <c r="G281" s="45" t="s">
        <v>1961</v>
      </c>
      <c r="H281" s="61" t="s">
        <v>1962</v>
      </c>
      <c r="I281" s="48">
        <v>42520.0</v>
      </c>
      <c r="J281" s="48"/>
      <c r="K281" s="48">
        <f t="shared" si="7"/>
        <v>109815</v>
      </c>
      <c r="L281" s="77" t="s">
        <v>45</v>
      </c>
      <c r="M281" s="77" t="s">
        <v>55</v>
      </c>
      <c r="N281" s="64"/>
      <c r="O281" s="77" t="s">
        <v>60</v>
      </c>
      <c r="P281" s="30" t="s">
        <v>57</v>
      </c>
      <c r="Q281" s="64" t="s">
        <v>58</v>
      </c>
      <c r="R281" s="30"/>
      <c r="S281" s="30"/>
      <c r="T281" s="30"/>
      <c r="U281" s="30" t="s">
        <v>156</v>
      </c>
      <c r="V281" s="30"/>
      <c r="W281" s="51" t="str">
        <f t="shared" si="17"/>
        <v>#NAME?</v>
      </c>
      <c r="X281" s="2"/>
      <c r="Y281" s="2"/>
      <c r="Z281" s="2"/>
      <c r="AA281" s="2"/>
      <c r="AB281" s="2"/>
      <c r="AC281" s="2"/>
      <c r="AD281" s="2"/>
      <c r="AE281" s="2"/>
    </row>
    <row r="282" ht="15.75" customHeight="1">
      <c r="A282" s="45">
        <v>152.0</v>
      </c>
      <c r="B282" s="45" t="str">
        <f t="shared" si="14"/>
        <v>#NAME?</v>
      </c>
      <c r="C282" s="45">
        <f t="shared" si="15"/>
        <v>5</v>
      </c>
      <c r="D282" s="75">
        <v>46165.0</v>
      </c>
      <c r="E282" s="75">
        <v>46165.0</v>
      </c>
      <c r="F282" s="45"/>
      <c r="G282" s="45" t="s">
        <v>1963</v>
      </c>
      <c r="H282" s="61" t="s">
        <v>1964</v>
      </c>
      <c r="I282" s="48">
        <v>40000.0</v>
      </c>
      <c r="J282" s="48"/>
      <c r="K282" s="48">
        <f t="shared" si="7"/>
        <v>152335</v>
      </c>
      <c r="L282" s="77" t="s">
        <v>45</v>
      </c>
      <c r="M282" s="77" t="s">
        <v>55</v>
      </c>
      <c r="N282" s="64"/>
      <c r="O282" s="77" t="s">
        <v>60</v>
      </c>
      <c r="P282" s="30" t="s">
        <v>57</v>
      </c>
      <c r="Q282" s="64" t="s">
        <v>58</v>
      </c>
      <c r="R282" s="30"/>
      <c r="S282" s="30"/>
      <c r="T282" s="30"/>
      <c r="U282" s="30" t="s">
        <v>156</v>
      </c>
      <c r="V282" s="30"/>
      <c r="W282" s="51" t="str">
        <f t="shared" si="17"/>
        <v>#NAME?</v>
      </c>
      <c r="X282" s="2"/>
      <c r="Y282" s="2"/>
      <c r="Z282" s="2"/>
      <c r="AA282" s="2"/>
      <c r="AB282" s="2"/>
      <c r="AC282" s="2"/>
      <c r="AD282" s="2"/>
      <c r="AE282" s="2"/>
    </row>
    <row r="283" ht="15.75" customHeight="1">
      <c r="A283" s="45">
        <v>151.0</v>
      </c>
      <c r="B283" s="45" t="str">
        <f t="shared" si="14"/>
        <v>#NAME?</v>
      </c>
      <c r="C283" s="45">
        <f t="shared" si="15"/>
        <v>5</v>
      </c>
      <c r="D283" s="75">
        <v>46165.0</v>
      </c>
      <c r="E283" s="75">
        <v>46165.0</v>
      </c>
      <c r="F283" s="45"/>
      <c r="G283" s="45" t="s">
        <v>1965</v>
      </c>
      <c r="H283" s="61" t="s">
        <v>1966</v>
      </c>
      <c r="I283" s="48">
        <v>150000.0</v>
      </c>
      <c r="J283" s="48"/>
      <c r="K283" s="48">
        <f t="shared" si="7"/>
        <v>192335</v>
      </c>
      <c r="L283" s="77" t="s">
        <v>45</v>
      </c>
      <c r="M283" s="77" t="s">
        <v>67</v>
      </c>
      <c r="N283" s="64"/>
      <c r="O283" s="77" t="s">
        <v>60</v>
      </c>
      <c r="P283" s="30" t="s">
        <v>57</v>
      </c>
      <c r="Q283" s="64" t="s">
        <v>58</v>
      </c>
      <c r="R283" s="30"/>
      <c r="S283" s="30"/>
      <c r="T283" s="30"/>
      <c r="U283" s="30" t="s">
        <v>499</v>
      </c>
      <c r="V283" s="30"/>
      <c r="W283" s="51" t="str">
        <f t="shared" si="17"/>
        <v>#NAME?</v>
      </c>
      <c r="X283" s="2"/>
      <c r="Y283" s="2"/>
      <c r="Z283" s="2"/>
      <c r="AA283" s="2"/>
      <c r="AB283" s="2"/>
      <c r="AC283" s="2"/>
      <c r="AD283" s="2"/>
      <c r="AE283" s="2"/>
    </row>
    <row r="284" ht="15.75" customHeight="1">
      <c r="A284" s="45">
        <v>150.0</v>
      </c>
      <c r="B284" s="45" t="str">
        <f t="shared" si="14"/>
        <v>#NAME?</v>
      </c>
      <c r="C284" s="45">
        <f t="shared" si="15"/>
        <v>5</v>
      </c>
      <c r="D284" s="75">
        <v>46165.0</v>
      </c>
      <c r="E284" s="75">
        <v>46165.0</v>
      </c>
      <c r="F284" s="45"/>
      <c r="G284" s="45" t="s">
        <v>1967</v>
      </c>
      <c r="H284" s="61" t="s">
        <v>1968</v>
      </c>
      <c r="I284" s="48">
        <v>6125.0</v>
      </c>
      <c r="J284" s="48"/>
      <c r="K284" s="48">
        <f t="shared" si="7"/>
        <v>342335</v>
      </c>
      <c r="L284" s="77" t="s">
        <v>45</v>
      </c>
      <c r="M284" s="77" t="s">
        <v>55</v>
      </c>
      <c r="N284" s="64"/>
      <c r="O284" s="77" t="s">
        <v>60</v>
      </c>
      <c r="P284" s="30" t="s">
        <v>57</v>
      </c>
      <c r="Q284" s="64" t="s">
        <v>58</v>
      </c>
      <c r="R284" s="30"/>
      <c r="S284" s="30"/>
      <c r="T284" s="30"/>
      <c r="U284" s="30" t="s">
        <v>156</v>
      </c>
      <c r="V284" s="30"/>
      <c r="W284" s="51" t="str">
        <f t="shared" si="17"/>
        <v>#NAME?</v>
      </c>
      <c r="X284" s="2"/>
      <c r="Y284" s="2"/>
      <c r="Z284" s="2"/>
      <c r="AA284" s="2"/>
      <c r="AB284" s="2"/>
      <c r="AC284" s="2"/>
      <c r="AD284" s="2"/>
      <c r="AE284" s="2"/>
    </row>
    <row r="285" ht="15.75" customHeight="1">
      <c r="A285" s="45">
        <v>149.0</v>
      </c>
      <c r="B285" s="45" t="str">
        <f t="shared" si="14"/>
        <v>#NAME?</v>
      </c>
      <c r="C285" s="45">
        <f t="shared" si="15"/>
        <v>5</v>
      </c>
      <c r="D285" s="75">
        <v>46165.0</v>
      </c>
      <c r="E285" s="75">
        <v>46165.0</v>
      </c>
      <c r="F285" s="45"/>
      <c r="G285" s="45" t="s">
        <v>1969</v>
      </c>
      <c r="H285" s="61" t="s">
        <v>1970</v>
      </c>
      <c r="I285" s="48">
        <v>2924.0</v>
      </c>
      <c r="J285" s="48"/>
      <c r="K285" s="48">
        <f t="shared" si="7"/>
        <v>348460</v>
      </c>
      <c r="L285" s="77" t="s">
        <v>45</v>
      </c>
      <c r="M285" s="77" t="s">
        <v>55</v>
      </c>
      <c r="N285" s="64"/>
      <c r="O285" s="77" t="s">
        <v>60</v>
      </c>
      <c r="P285" s="30" t="s">
        <v>57</v>
      </c>
      <c r="Q285" s="64" t="s">
        <v>58</v>
      </c>
      <c r="R285" s="30"/>
      <c r="S285" s="30"/>
      <c r="T285" s="30"/>
      <c r="U285" s="30" t="s">
        <v>156</v>
      </c>
      <c r="V285" s="30"/>
      <c r="W285" s="51" t="str">
        <f t="shared" si="17"/>
        <v>#NAME?</v>
      </c>
      <c r="X285" s="2"/>
      <c r="Y285" s="2"/>
      <c r="Z285" s="2"/>
      <c r="AA285" s="2"/>
      <c r="AB285" s="2"/>
      <c r="AC285" s="2"/>
      <c r="AD285" s="2"/>
      <c r="AE285" s="2"/>
    </row>
    <row r="286" ht="15.75" customHeight="1">
      <c r="A286" s="45">
        <v>148.0</v>
      </c>
      <c r="B286" s="45" t="str">
        <f t="shared" si="14"/>
        <v>#NAME?</v>
      </c>
      <c r="C286" s="45">
        <f t="shared" si="15"/>
        <v>5</v>
      </c>
      <c r="D286" s="75">
        <v>46165.0</v>
      </c>
      <c r="E286" s="75">
        <v>46165.0</v>
      </c>
      <c r="F286" s="45"/>
      <c r="G286" s="45" t="s">
        <v>1971</v>
      </c>
      <c r="H286" s="61" t="s">
        <v>1972</v>
      </c>
      <c r="I286" s="48">
        <v>26976.0</v>
      </c>
      <c r="J286" s="48"/>
      <c r="K286" s="48">
        <f t="shared" si="7"/>
        <v>351384</v>
      </c>
      <c r="L286" s="77" t="s">
        <v>45</v>
      </c>
      <c r="M286" s="77" t="s">
        <v>55</v>
      </c>
      <c r="N286" s="64"/>
      <c r="O286" s="77" t="s">
        <v>60</v>
      </c>
      <c r="P286" s="30" t="s">
        <v>57</v>
      </c>
      <c r="Q286" s="64" t="s">
        <v>58</v>
      </c>
      <c r="R286" s="30"/>
      <c r="S286" s="30"/>
      <c r="T286" s="30"/>
      <c r="U286" s="30" t="s">
        <v>156</v>
      </c>
      <c r="V286" s="30"/>
      <c r="W286" s="51" t="str">
        <f t="shared" si="17"/>
        <v>#NAME?</v>
      </c>
      <c r="X286" s="2"/>
      <c r="Y286" s="2"/>
      <c r="Z286" s="2"/>
      <c r="AA286" s="2"/>
      <c r="AB286" s="2"/>
      <c r="AC286" s="2"/>
      <c r="AD286" s="2"/>
      <c r="AE286" s="2"/>
    </row>
    <row r="287" ht="15.75" customHeight="1">
      <c r="A287" s="45">
        <v>147.0</v>
      </c>
      <c r="B287" s="45" t="str">
        <f t="shared" si="14"/>
        <v>#NAME?</v>
      </c>
      <c r="C287" s="45">
        <f t="shared" si="15"/>
        <v>5</v>
      </c>
      <c r="D287" s="75">
        <v>46165.0</v>
      </c>
      <c r="E287" s="75">
        <v>46165.0</v>
      </c>
      <c r="F287" s="45"/>
      <c r="G287" s="45" t="s">
        <v>1973</v>
      </c>
      <c r="H287" s="61" t="s">
        <v>1974</v>
      </c>
      <c r="I287" s="48">
        <v>294550.0</v>
      </c>
      <c r="J287" s="48"/>
      <c r="K287" s="48">
        <f t="shared" si="7"/>
        <v>378360</v>
      </c>
      <c r="L287" s="77" t="s">
        <v>45</v>
      </c>
      <c r="M287" s="77" t="s">
        <v>55</v>
      </c>
      <c r="N287" s="64"/>
      <c r="O287" s="77" t="s">
        <v>60</v>
      </c>
      <c r="P287" s="30" t="s">
        <v>57</v>
      </c>
      <c r="Q287" s="64" t="s">
        <v>58</v>
      </c>
      <c r="R287" s="30"/>
      <c r="S287" s="30"/>
      <c r="T287" s="30"/>
      <c r="U287" s="30" t="s">
        <v>156</v>
      </c>
      <c r="V287" s="30"/>
      <c r="W287" s="51" t="str">
        <f t="shared" si="17"/>
        <v>#NAME?</v>
      </c>
      <c r="X287" s="2"/>
      <c r="Y287" s="2"/>
      <c r="Z287" s="2"/>
      <c r="AA287" s="2"/>
      <c r="AB287" s="2"/>
      <c r="AC287" s="2"/>
      <c r="AD287" s="2"/>
      <c r="AE287" s="2"/>
    </row>
    <row r="288" ht="15.75" customHeight="1">
      <c r="A288" s="45">
        <v>146.0</v>
      </c>
      <c r="B288" s="45" t="str">
        <f t="shared" si="14"/>
        <v>#NAME?</v>
      </c>
      <c r="C288" s="45">
        <f t="shared" si="15"/>
        <v>5</v>
      </c>
      <c r="D288" s="75">
        <v>46165.0</v>
      </c>
      <c r="E288" s="75">
        <v>46165.0</v>
      </c>
      <c r="F288" s="45"/>
      <c r="G288" s="45" t="s">
        <v>1975</v>
      </c>
      <c r="H288" s="61" t="s">
        <v>1976</v>
      </c>
      <c r="I288" s="48"/>
      <c r="J288" s="48">
        <v>150000.0</v>
      </c>
      <c r="K288" s="48">
        <f t="shared" si="7"/>
        <v>672910</v>
      </c>
      <c r="L288" s="77" t="s">
        <v>45</v>
      </c>
      <c r="M288" s="77" t="s">
        <v>47</v>
      </c>
      <c r="N288" s="64"/>
      <c r="O288" s="77" t="s">
        <v>60</v>
      </c>
      <c r="P288" s="30" t="s">
        <v>74</v>
      </c>
      <c r="Q288" s="64" t="s">
        <v>50</v>
      </c>
      <c r="R288" s="30"/>
      <c r="S288" s="30"/>
      <c r="T288" s="30"/>
      <c r="U288" s="30" t="s">
        <v>75</v>
      </c>
      <c r="V288" s="30"/>
      <c r="W288" s="51" t="str">
        <f t="shared" si="17"/>
        <v>#NAME?</v>
      </c>
      <c r="X288" s="2"/>
      <c r="Y288" s="2"/>
      <c r="Z288" s="2"/>
      <c r="AA288" s="2"/>
      <c r="AB288" s="2"/>
      <c r="AC288" s="2"/>
      <c r="AD288" s="2"/>
      <c r="AE288" s="2"/>
    </row>
    <row r="289" ht="15.75" customHeight="1">
      <c r="A289" s="45">
        <v>145.0</v>
      </c>
      <c r="B289" s="45" t="str">
        <f t="shared" si="14"/>
        <v>#NAME?</v>
      </c>
      <c r="C289" s="45">
        <f t="shared" si="15"/>
        <v>5</v>
      </c>
      <c r="D289" s="75">
        <v>46165.0</v>
      </c>
      <c r="E289" s="75">
        <v>46165.0</v>
      </c>
      <c r="F289" s="45"/>
      <c r="G289" s="45" t="s">
        <v>392</v>
      </c>
      <c r="H289" s="61" t="s">
        <v>361</v>
      </c>
      <c r="I289" s="48"/>
      <c r="J289" s="48">
        <v>420000.0</v>
      </c>
      <c r="K289" s="48">
        <f t="shared" si="7"/>
        <v>522910</v>
      </c>
      <c r="L289" s="77" t="s">
        <v>45</v>
      </c>
      <c r="M289" s="77" t="s">
        <v>47</v>
      </c>
      <c r="N289" s="64"/>
      <c r="O289" s="77" t="s">
        <v>60</v>
      </c>
      <c r="P289" s="30" t="s">
        <v>49</v>
      </c>
      <c r="Q289" s="64" t="s">
        <v>50</v>
      </c>
      <c r="R289" s="30"/>
      <c r="S289" s="30"/>
      <c r="T289" s="30"/>
      <c r="U289" s="30" t="s">
        <v>75</v>
      </c>
      <c r="V289" s="30"/>
      <c r="W289" s="51" t="str">
        <f t="shared" si="17"/>
        <v>#NAME?</v>
      </c>
      <c r="X289" s="2"/>
      <c r="Y289" s="2"/>
      <c r="Z289" s="2"/>
      <c r="AA289" s="2"/>
      <c r="AB289" s="2"/>
      <c r="AC289" s="2"/>
      <c r="AD289" s="2"/>
      <c r="AE289" s="2"/>
    </row>
    <row r="290" ht="15.75" customHeight="1">
      <c r="A290" s="45">
        <v>144.0</v>
      </c>
      <c r="B290" s="45" t="str">
        <f t="shared" si="14"/>
        <v>#NAME?</v>
      </c>
      <c r="C290" s="45">
        <f t="shared" si="15"/>
        <v>5</v>
      </c>
      <c r="D290" s="75">
        <v>46163.0</v>
      </c>
      <c r="E290" s="75">
        <v>46163.0</v>
      </c>
      <c r="F290" s="45"/>
      <c r="G290" s="45" t="s">
        <v>1977</v>
      </c>
      <c r="H290" s="61" t="s">
        <v>1944</v>
      </c>
      <c r="I290" s="48"/>
      <c r="J290" s="48">
        <v>1.0</v>
      </c>
      <c r="K290" s="48">
        <f t="shared" si="7"/>
        <v>102910</v>
      </c>
      <c r="L290" s="77" t="s">
        <v>45</v>
      </c>
      <c r="M290" s="77" t="s">
        <v>47</v>
      </c>
      <c r="N290" s="64"/>
      <c r="O290" s="77" t="s">
        <v>60</v>
      </c>
      <c r="P290" s="30" t="s">
        <v>47</v>
      </c>
      <c r="Q290" s="64" t="s">
        <v>50</v>
      </c>
      <c r="R290" s="30"/>
      <c r="S290" s="30"/>
      <c r="T290" s="30"/>
      <c r="U290" s="30" t="s">
        <v>75</v>
      </c>
      <c r="V290" s="30"/>
      <c r="W290" s="51" t="str">
        <f t="shared" si="17"/>
        <v>#NAME?</v>
      </c>
      <c r="X290" s="2"/>
      <c r="Y290" s="2"/>
      <c r="Z290" s="2"/>
      <c r="AA290" s="2"/>
      <c r="AB290" s="2"/>
      <c r="AC290" s="2"/>
      <c r="AD290" s="2"/>
      <c r="AE290" s="2"/>
    </row>
    <row r="291" ht="15.75" customHeight="1">
      <c r="A291" s="45">
        <v>143.0</v>
      </c>
      <c r="B291" s="45" t="str">
        <f t="shared" si="14"/>
        <v>#NAME?</v>
      </c>
      <c r="C291" s="45">
        <f t="shared" si="15"/>
        <v>5</v>
      </c>
      <c r="D291" s="75">
        <v>46163.0</v>
      </c>
      <c r="E291" s="75">
        <v>46163.0</v>
      </c>
      <c r="F291" s="45"/>
      <c r="G291" s="45" t="s">
        <v>1978</v>
      </c>
      <c r="H291" s="61" t="s">
        <v>1979</v>
      </c>
      <c r="I291" s="48">
        <v>13860.0</v>
      </c>
      <c r="J291" s="48"/>
      <c r="K291" s="48">
        <f t="shared" si="7"/>
        <v>102909</v>
      </c>
      <c r="L291" s="77" t="s">
        <v>45</v>
      </c>
      <c r="M291" s="77" t="s">
        <v>55</v>
      </c>
      <c r="N291" s="64"/>
      <c r="O291" s="77" t="s">
        <v>60</v>
      </c>
      <c r="P291" s="30" t="s">
        <v>57</v>
      </c>
      <c r="Q291" s="64" t="s">
        <v>58</v>
      </c>
      <c r="R291" s="30"/>
      <c r="S291" s="30"/>
      <c r="T291" s="30"/>
      <c r="U291" s="30" t="s">
        <v>156</v>
      </c>
      <c r="V291" s="30"/>
      <c r="W291" s="51" t="str">
        <f t="shared" si="17"/>
        <v>#NAME?</v>
      </c>
      <c r="X291" s="2"/>
      <c r="Y291" s="2"/>
      <c r="Z291" s="2"/>
      <c r="AA291" s="2"/>
      <c r="AB291" s="2"/>
      <c r="AC291" s="2"/>
      <c r="AD291" s="2"/>
      <c r="AE291" s="2"/>
    </row>
    <row r="292" ht="15.75" customHeight="1">
      <c r="A292" s="45">
        <v>142.0</v>
      </c>
      <c r="B292" s="45" t="str">
        <f t="shared" si="14"/>
        <v>#NAME?</v>
      </c>
      <c r="C292" s="45">
        <f t="shared" si="15"/>
        <v>5</v>
      </c>
      <c r="D292" s="75">
        <v>46163.0</v>
      </c>
      <c r="E292" s="75">
        <v>46163.0</v>
      </c>
      <c r="F292" s="45"/>
      <c r="G292" s="45" t="s">
        <v>1980</v>
      </c>
      <c r="H292" s="61" t="s">
        <v>1981</v>
      </c>
      <c r="I292" s="48">
        <v>19305.0</v>
      </c>
      <c r="J292" s="48"/>
      <c r="K292" s="48">
        <f t="shared" si="7"/>
        <v>116769</v>
      </c>
      <c r="L292" s="77" t="s">
        <v>45</v>
      </c>
      <c r="M292" s="77" t="s">
        <v>55</v>
      </c>
      <c r="N292" s="64"/>
      <c r="O292" s="77" t="s">
        <v>60</v>
      </c>
      <c r="P292" s="30" t="s">
        <v>57</v>
      </c>
      <c r="Q292" s="64" t="s">
        <v>58</v>
      </c>
      <c r="R292" s="30"/>
      <c r="S292" s="30"/>
      <c r="T292" s="30"/>
      <c r="U292" s="30" t="s">
        <v>156</v>
      </c>
      <c r="V292" s="30"/>
      <c r="W292" s="51" t="str">
        <f t="shared" si="17"/>
        <v>#NAME?</v>
      </c>
      <c r="X292" s="2"/>
      <c r="Y292" s="2"/>
      <c r="Z292" s="2"/>
      <c r="AA292" s="2"/>
      <c r="AB292" s="2"/>
      <c r="AC292" s="2"/>
      <c r="AD292" s="2"/>
      <c r="AE292" s="2"/>
    </row>
    <row r="293" ht="15.75" customHeight="1">
      <c r="A293" s="45">
        <v>141.0</v>
      </c>
      <c r="B293" s="45" t="str">
        <f t="shared" si="14"/>
        <v>#NAME?</v>
      </c>
      <c r="C293" s="45">
        <f t="shared" si="15"/>
        <v>5</v>
      </c>
      <c r="D293" s="75">
        <v>46158.0</v>
      </c>
      <c r="E293" s="75">
        <v>46158.0</v>
      </c>
      <c r="F293" s="45"/>
      <c r="G293" s="45" t="s">
        <v>1982</v>
      </c>
      <c r="H293" s="61" t="s">
        <v>1983</v>
      </c>
      <c r="I293" s="48">
        <v>9785.0</v>
      </c>
      <c r="J293" s="48"/>
      <c r="K293" s="48">
        <f t="shared" si="7"/>
        <v>136074</v>
      </c>
      <c r="L293" s="77" t="s">
        <v>45</v>
      </c>
      <c r="M293" s="77" t="s">
        <v>110</v>
      </c>
      <c r="N293" s="64"/>
      <c r="O293" s="77" t="s">
        <v>60</v>
      </c>
      <c r="P293" s="30" t="s">
        <v>57</v>
      </c>
      <c r="Q293" s="64" t="s">
        <v>58</v>
      </c>
      <c r="R293" s="30"/>
      <c r="S293" s="30"/>
      <c r="T293" s="30"/>
      <c r="U293" s="30" t="s">
        <v>75</v>
      </c>
      <c r="V293" s="30"/>
      <c r="W293" s="51" t="str">
        <f t="shared" si="17"/>
        <v>#NAME?</v>
      </c>
      <c r="X293" s="2"/>
      <c r="Y293" s="2"/>
      <c r="Z293" s="2"/>
      <c r="AA293" s="2"/>
      <c r="AB293" s="2"/>
      <c r="AC293" s="2"/>
      <c r="AD293" s="2"/>
      <c r="AE293" s="2"/>
    </row>
    <row r="294" ht="15.75" customHeight="1">
      <c r="A294" s="45">
        <v>140.0</v>
      </c>
      <c r="B294" s="45" t="str">
        <f t="shared" si="14"/>
        <v>#NAME?</v>
      </c>
      <c r="C294" s="45">
        <f t="shared" si="15"/>
        <v>5</v>
      </c>
      <c r="D294" s="75">
        <v>46158.0</v>
      </c>
      <c r="E294" s="75">
        <v>46158.0</v>
      </c>
      <c r="F294" s="45"/>
      <c r="G294" s="45" t="s">
        <v>1984</v>
      </c>
      <c r="H294" s="61" t="s">
        <v>1985</v>
      </c>
      <c r="I294" s="48">
        <v>49500.0</v>
      </c>
      <c r="J294" s="48"/>
      <c r="K294" s="48">
        <f t="shared" si="7"/>
        <v>145859</v>
      </c>
      <c r="L294" s="77" t="s">
        <v>45</v>
      </c>
      <c r="M294" s="77" t="s">
        <v>55</v>
      </c>
      <c r="N294" s="64"/>
      <c r="O294" s="77" t="s">
        <v>60</v>
      </c>
      <c r="P294" s="30" t="s">
        <v>57</v>
      </c>
      <c r="Q294" s="64" t="s">
        <v>58</v>
      </c>
      <c r="R294" s="30"/>
      <c r="S294" s="30"/>
      <c r="T294" s="30"/>
      <c r="U294" s="30" t="s">
        <v>156</v>
      </c>
      <c r="V294" s="30"/>
      <c r="W294" s="51" t="str">
        <f t="shared" si="17"/>
        <v>#NAME?</v>
      </c>
      <c r="X294" s="2"/>
      <c r="Y294" s="2"/>
      <c r="Z294" s="2"/>
      <c r="AA294" s="2"/>
      <c r="AB294" s="2"/>
      <c r="AC294" s="2"/>
      <c r="AD294" s="2"/>
      <c r="AE294" s="2"/>
    </row>
    <row r="295" ht="15.75" customHeight="1">
      <c r="A295" s="45">
        <v>139.0</v>
      </c>
      <c r="B295" s="45" t="str">
        <f t="shared" si="14"/>
        <v>#NAME?</v>
      </c>
      <c r="C295" s="45">
        <f t="shared" si="15"/>
        <v>5</v>
      </c>
      <c r="D295" s="75">
        <v>46158.0</v>
      </c>
      <c r="E295" s="75">
        <v>46158.0</v>
      </c>
      <c r="F295" s="45"/>
      <c r="G295" s="45" t="s">
        <v>1986</v>
      </c>
      <c r="H295" s="61" t="s">
        <v>1987</v>
      </c>
      <c r="I295" s="48">
        <v>2970.0</v>
      </c>
      <c r="J295" s="48"/>
      <c r="K295" s="48">
        <f t="shared" si="7"/>
        <v>195359</v>
      </c>
      <c r="L295" s="77" t="s">
        <v>45</v>
      </c>
      <c r="M295" s="77" t="s">
        <v>55</v>
      </c>
      <c r="N295" s="64"/>
      <c r="O295" s="77" t="s">
        <v>60</v>
      </c>
      <c r="P295" s="30" t="s">
        <v>57</v>
      </c>
      <c r="Q295" s="64" t="s">
        <v>58</v>
      </c>
      <c r="R295" s="30"/>
      <c r="S295" s="30"/>
      <c r="T295" s="30"/>
      <c r="U295" s="30" t="s">
        <v>156</v>
      </c>
      <c r="V295" s="30"/>
      <c r="W295" s="51" t="str">
        <f t="shared" si="17"/>
        <v>#NAME?</v>
      </c>
      <c r="X295" s="2"/>
      <c r="Y295" s="2"/>
      <c r="Z295" s="2"/>
      <c r="AA295" s="2"/>
      <c r="AB295" s="2"/>
      <c r="AC295" s="2"/>
      <c r="AD295" s="2"/>
      <c r="AE295" s="2"/>
    </row>
    <row r="296" ht="15.75" customHeight="1">
      <c r="A296" s="45">
        <v>138.0</v>
      </c>
      <c r="B296" s="45" t="str">
        <f t="shared" si="14"/>
        <v>#NAME?</v>
      </c>
      <c r="C296" s="45">
        <f t="shared" si="15"/>
        <v>5</v>
      </c>
      <c r="D296" s="75">
        <v>46158.0</v>
      </c>
      <c r="E296" s="75">
        <v>46158.0</v>
      </c>
      <c r="F296" s="45"/>
      <c r="G296" s="45" t="s">
        <v>1988</v>
      </c>
      <c r="H296" s="61" t="s">
        <v>1989</v>
      </c>
      <c r="I296" s="48">
        <v>11240.0</v>
      </c>
      <c r="J296" s="48"/>
      <c r="K296" s="48">
        <f t="shared" si="7"/>
        <v>198329</v>
      </c>
      <c r="L296" s="77" t="s">
        <v>45</v>
      </c>
      <c r="M296" s="77" t="s">
        <v>110</v>
      </c>
      <c r="N296" s="64"/>
      <c r="O296" s="77" t="s">
        <v>60</v>
      </c>
      <c r="P296" s="30" t="s">
        <v>57</v>
      </c>
      <c r="Q296" s="64" t="s">
        <v>58</v>
      </c>
      <c r="R296" s="30"/>
      <c r="S296" s="30"/>
      <c r="T296" s="30"/>
      <c r="U296" s="30" t="s">
        <v>75</v>
      </c>
      <c r="V296" s="30"/>
      <c r="W296" s="51" t="str">
        <f t="shared" si="17"/>
        <v>#NAME?</v>
      </c>
      <c r="X296" s="2"/>
      <c r="Y296" s="2"/>
      <c r="Z296" s="2"/>
      <c r="AA296" s="2"/>
      <c r="AB296" s="2"/>
      <c r="AC296" s="2"/>
      <c r="AD296" s="2"/>
      <c r="AE296" s="2"/>
    </row>
    <row r="297" ht="15.75" customHeight="1">
      <c r="A297" s="45">
        <v>137.0</v>
      </c>
      <c r="B297" s="45" t="str">
        <f t="shared" si="14"/>
        <v>#NAME?</v>
      </c>
      <c r="C297" s="45">
        <f t="shared" si="15"/>
        <v>5</v>
      </c>
      <c r="D297" s="75">
        <v>46158.0</v>
      </c>
      <c r="E297" s="75">
        <v>46158.0</v>
      </c>
      <c r="F297" s="45"/>
      <c r="G297" s="45" t="s">
        <v>1990</v>
      </c>
      <c r="H297" s="61" t="s">
        <v>1991</v>
      </c>
      <c r="I297" s="48">
        <v>21780.0</v>
      </c>
      <c r="J297" s="48"/>
      <c r="K297" s="48">
        <f t="shared" si="7"/>
        <v>209569</v>
      </c>
      <c r="L297" s="77" t="s">
        <v>45</v>
      </c>
      <c r="M297" s="77" t="s">
        <v>55</v>
      </c>
      <c r="N297" s="64"/>
      <c r="O297" s="77" t="s">
        <v>60</v>
      </c>
      <c r="P297" s="30" t="s">
        <v>57</v>
      </c>
      <c r="Q297" s="64" t="s">
        <v>58</v>
      </c>
      <c r="R297" s="30"/>
      <c r="S297" s="30"/>
      <c r="T297" s="30"/>
      <c r="U297" s="30" t="s">
        <v>156</v>
      </c>
      <c r="V297" s="30"/>
      <c r="W297" s="51" t="str">
        <f t="shared" si="17"/>
        <v>#NAME?</v>
      </c>
      <c r="X297" s="2"/>
      <c r="Y297" s="2"/>
      <c r="Z297" s="2"/>
      <c r="AA297" s="2"/>
      <c r="AB297" s="2"/>
      <c r="AC297" s="2"/>
      <c r="AD297" s="2"/>
      <c r="AE297" s="2"/>
    </row>
    <row r="298" ht="15.75" customHeight="1">
      <c r="A298" s="45">
        <v>136.0</v>
      </c>
      <c r="B298" s="45" t="str">
        <f t="shared" si="14"/>
        <v>#NAME?</v>
      </c>
      <c r="C298" s="45">
        <f t="shared" si="15"/>
        <v>5</v>
      </c>
      <c r="D298" s="75">
        <v>46158.0</v>
      </c>
      <c r="E298" s="75">
        <v>46158.0</v>
      </c>
      <c r="F298" s="45"/>
      <c r="G298" s="45" t="s">
        <v>1992</v>
      </c>
      <c r="H298" s="61" t="s">
        <v>1993</v>
      </c>
      <c r="I298" s="48">
        <v>7094.0</v>
      </c>
      <c r="J298" s="48"/>
      <c r="K298" s="48">
        <f t="shared" si="7"/>
        <v>231349</v>
      </c>
      <c r="L298" s="77" t="s">
        <v>45</v>
      </c>
      <c r="M298" s="77" t="s">
        <v>110</v>
      </c>
      <c r="N298" s="64"/>
      <c r="O298" s="77" t="s">
        <v>60</v>
      </c>
      <c r="P298" s="30" t="s">
        <v>57</v>
      </c>
      <c r="Q298" s="64" t="s">
        <v>58</v>
      </c>
      <c r="R298" s="30"/>
      <c r="S298" s="30"/>
      <c r="T298" s="30"/>
      <c r="U298" s="30" t="s">
        <v>75</v>
      </c>
      <c r="V298" s="30"/>
      <c r="W298" s="51" t="str">
        <f t="shared" si="17"/>
        <v>#NAME?</v>
      </c>
      <c r="X298" s="2"/>
      <c r="Y298" s="2"/>
      <c r="Z298" s="2"/>
      <c r="AA298" s="2"/>
      <c r="AB298" s="2"/>
      <c r="AC298" s="2"/>
      <c r="AD298" s="2"/>
      <c r="AE298" s="2"/>
    </row>
    <row r="299" ht="15.75" customHeight="1">
      <c r="A299" s="45">
        <v>135.0</v>
      </c>
      <c r="B299" s="45" t="str">
        <f t="shared" si="14"/>
        <v>#NAME?</v>
      </c>
      <c r="C299" s="45">
        <f t="shared" si="15"/>
        <v>5</v>
      </c>
      <c r="D299" s="75">
        <v>46158.0</v>
      </c>
      <c r="E299" s="75">
        <v>46158.0</v>
      </c>
      <c r="F299" s="45"/>
      <c r="G299" s="45" t="s">
        <v>1994</v>
      </c>
      <c r="H299" s="61" t="s">
        <v>1995</v>
      </c>
      <c r="I299" s="189">
        <v>9634.0</v>
      </c>
      <c r="J299" s="48"/>
      <c r="K299" s="48">
        <f t="shared" si="7"/>
        <v>238443</v>
      </c>
      <c r="L299" s="77" t="s">
        <v>45</v>
      </c>
      <c r="M299" s="77" t="s">
        <v>110</v>
      </c>
      <c r="N299" s="64"/>
      <c r="O299" s="77" t="s">
        <v>60</v>
      </c>
      <c r="P299" s="30" t="s">
        <v>57</v>
      </c>
      <c r="Q299" s="64" t="s">
        <v>58</v>
      </c>
      <c r="R299" s="30"/>
      <c r="S299" s="30"/>
      <c r="T299" s="30"/>
      <c r="U299" s="30" t="s">
        <v>75</v>
      </c>
      <c r="V299" s="30"/>
      <c r="W299" s="51" t="str">
        <f t="shared" si="17"/>
        <v>#NAME?</v>
      </c>
      <c r="X299" s="2"/>
      <c r="Y299" s="2"/>
      <c r="Z299" s="2"/>
      <c r="AA299" s="2"/>
      <c r="AB299" s="2"/>
      <c r="AC299" s="2"/>
      <c r="AD299" s="2"/>
      <c r="AE299" s="2"/>
    </row>
    <row r="300" ht="15.75" customHeight="1">
      <c r="A300" s="45">
        <v>134.0</v>
      </c>
      <c r="B300" s="45" t="str">
        <f t="shared" si="14"/>
        <v>#NAME?</v>
      </c>
      <c r="C300" s="45">
        <f t="shared" si="15"/>
        <v>5</v>
      </c>
      <c r="D300" s="75">
        <v>46158.0</v>
      </c>
      <c r="E300" s="75">
        <v>46158.0</v>
      </c>
      <c r="F300" s="45"/>
      <c r="G300" s="45" t="s">
        <v>1996</v>
      </c>
      <c r="H300" s="61" t="s">
        <v>1997</v>
      </c>
      <c r="I300" s="48">
        <v>10616.0</v>
      </c>
      <c r="J300" s="48"/>
      <c r="K300" s="48">
        <f t="shared" si="7"/>
        <v>248077</v>
      </c>
      <c r="L300" s="77" t="s">
        <v>45</v>
      </c>
      <c r="M300" s="77" t="s">
        <v>110</v>
      </c>
      <c r="N300" s="64"/>
      <c r="O300" s="77" t="s">
        <v>60</v>
      </c>
      <c r="P300" s="30" t="s">
        <v>57</v>
      </c>
      <c r="Q300" s="64" t="s">
        <v>58</v>
      </c>
      <c r="R300" s="30"/>
      <c r="S300" s="30"/>
      <c r="T300" s="30"/>
      <c r="U300" s="30" t="s">
        <v>75</v>
      </c>
      <c r="V300" s="30"/>
      <c r="W300" s="51" t="str">
        <f t="shared" si="17"/>
        <v>#NAME?</v>
      </c>
      <c r="X300" s="2"/>
      <c r="Y300" s="2"/>
      <c r="Z300" s="2"/>
      <c r="AA300" s="2"/>
      <c r="AB300" s="2"/>
      <c r="AC300" s="2"/>
      <c r="AD300" s="2"/>
      <c r="AE300" s="2"/>
    </row>
    <row r="301" ht="15.75" customHeight="1">
      <c r="A301" s="45">
        <v>133.0</v>
      </c>
      <c r="B301" s="45" t="str">
        <f t="shared" si="14"/>
        <v>#NAME?</v>
      </c>
      <c r="C301" s="45">
        <f t="shared" si="15"/>
        <v>5</v>
      </c>
      <c r="D301" s="75">
        <v>46158.0</v>
      </c>
      <c r="E301" s="75">
        <v>46158.0</v>
      </c>
      <c r="F301" s="45"/>
      <c r="G301" s="45" t="s">
        <v>1998</v>
      </c>
      <c r="H301" s="61" t="s">
        <v>1999</v>
      </c>
      <c r="I301" s="48">
        <v>24750.0</v>
      </c>
      <c r="J301" s="48"/>
      <c r="K301" s="48">
        <f t="shared" si="7"/>
        <v>258693</v>
      </c>
      <c r="L301" s="77" t="s">
        <v>45</v>
      </c>
      <c r="M301" s="77" t="s">
        <v>55</v>
      </c>
      <c r="N301" s="64"/>
      <c r="O301" s="77" t="s">
        <v>60</v>
      </c>
      <c r="P301" s="30" t="s">
        <v>57</v>
      </c>
      <c r="Q301" s="64" t="s">
        <v>58</v>
      </c>
      <c r="R301" s="30"/>
      <c r="S301" s="30"/>
      <c r="T301" s="30"/>
      <c r="U301" s="30" t="s">
        <v>156</v>
      </c>
      <c r="V301" s="30"/>
      <c r="W301" s="51" t="str">
        <f t="shared" si="17"/>
        <v>#NAME?</v>
      </c>
      <c r="X301" s="2"/>
      <c r="Y301" s="2"/>
      <c r="Z301" s="2"/>
      <c r="AA301" s="2"/>
      <c r="AB301" s="2"/>
      <c r="AC301" s="2"/>
      <c r="AD301" s="2"/>
      <c r="AE301" s="2"/>
    </row>
    <row r="302" ht="15.75" customHeight="1">
      <c r="A302" s="45">
        <v>132.0</v>
      </c>
      <c r="B302" s="45" t="str">
        <f t="shared" si="14"/>
        <v>#NAME?</v>
      </c>
      <c r="C302" s="45">
        <f t="shared" si="15"/>
        <v>5</v>
      </c>
      <c r="D302" s="75">
        <v>46158.0</v>
      </c>
      <c r="E302" s="75">
        <v>46158.0</v>
      </c>
      <c r="F302" s="45"/>
      <c r="G302" s="45" t="s">
        <v>2000</v>
      </c>
      <c r="H302" s="61" t="s">
        <v>2001</v>
      </c>
      <c r="I302" s="48">
        <v>12518.0</v>
      </c>
      <c r="J302" s="48"/>
      <c r="K302" s="48">
        <f t="shared" si="7"/>
        <v>283443</v>
      </c>
      <c r="L302" s="77" t="s">
        <v>45</v>
      </c>
      <c r="M302" s="77" t="s">
        <v>55</v>
      </c>
      <c r="N302" s="64"/>
      <c r="O302" s="77" t="s">
        <v>60</v>
      </c>
      <c r="P302" s="30" t="s">
        <v>57</v>
      </c>
      <c r="Q302" s="64" t="s">
        <v>58</v>
      </c>
      <c r="R302" s="30"/>
      <c r="S302" s="30"/>
      <c r="T302" s="30"/>
      <c r="U302" s="30" t="s">
        <v>156</v>
      </c>
      <c r="V302" s="30"/>
      <c r="W302" s="51" t="str">
        <f t="shared" si="17"/>
        <v>#NAME?</v>
      </c>
      <c r="X302" s="2"/>
      <c r="Y302" s="2"/>
      <c r="Z302" s="2"/>
      <c r="AA302" s="2"/>
      <c r="AB302" s="2"/>
      <c r="AC302" s="2"/>
      <c r="AD302" s="2"/>
      <c r="AE302" s="2"/>
    </row>
    <row r="303" ht="15.75" customHeight="1">
      <c r="A303" s="45">
        <v>131.0</v>
      </c>
      <c r="B303" s="45" t="str">
        <f t="shared" si="14"/>
        <v>#NAME?</v>
      </c>
      <c r="C303" s="45">
        <f t="shared" si="15"/>
        <v>5</v>
      </c>
      <c r="D303" s="75">
        <v>46158.0</v>
      </c>
      <c r="E303" s="75">
        <v>46158.0</v>
      </c>
      <c r="F303" s="45"/>
      <c r="G303" s="45" t="s">
        <v>2002</v>
      </c>
      <c r="H303" s="61" t="s">
        <v>2003</v>
      </c>
      <c r="I303" s="48">
        <v>7527.0</v>
      </c>
      <c r="J303" s="48"/>
      <c r="K303" s="48">
        <f t="shared" si="7"/>
        <v>295961</v>
      </c>
      <c r="L303" s="77" t="s">
        <v>45</v>
      </c>
      <c r="M303" s="77" t="s">
        <v>110</v>
      </c>
      <c r="N303" s="64"/>
      <c r="O303" s="77" t="s">
        <v>60</v>
      </c>
      <c r="P303" s="30" t="s">
        <v>57</v>
      </c>
      <c r="Q303" s="64" t="s">
        <v>58</v>
      </c>
      <c r="R303" s="30"/>
      <c r="S303" s="30"/>
      <c r="T303" s="30"/>
      <c r="U303" s="30" t="s">
        <v>75</v>
      </c>
      <c r="V303" s="30"/>
      <c r="W303" s="51" t="str">
        <f t="shared" si="17"/>
        <v>#NAME?</v>
      </c>
      <c r="X303" s="2"/>
      <c r="Y303" s="2"/>
      <c r="Z303" s="2"/>
      <c r="AA303" s="2"/>
      <c r="AB303" s="2"/>
      <c r="AC303" s="2"/>
      <c r="AD303" s="2"/>
      <c r="AE303" s="2"/>
    </row>
    <row r="304" ht="15.75" customHeight="1">
      <c r="A304" s="45">
        <v>130.0</v>
      </c>
      <c r="B304" s="45" t="str">
        <f t="shared" si="14"/>
        <v>#NAME?</v>
      </c>
      <c r="C304" s="45">
        <f t="shared" si="15"/>
        <v>5</v>
      </c>
      <c r="D304" s="75">
        <v>46158.0</v>
      </c>
      <c r="E304" s="75">
        <v>46158.0</v>
      </c>
      <c r="F304" s="45"/>
      <c r="G304" s="45" t="s">
        <v>2004</v>
      </c>
      <c r="H304" s="61" t="s">
        <v>2005</v>
      </c>
      <c r="I304" s="48">
        <v>744.0</v>
      </c>
      <c r="J304" s="48"/>
      <c r="K304" s="48">
        <f t="shared" si="7"/>
        <v>303488</v>
      </c>
      <c r="L304" s="77" t="s">
        <v>45</v>
      </c>
      <c r="M304" s="77" t="s">
        <v>110</v>
      </c>
      <c r="N304" s="64"/>
      <c r="O304" s="77" t="s">
        <v>60</v>
      </c>
      <c r="P304" s="30" t="s">
        <v>57</v>
      </c>
      <c r="Q304" s="64" t="s">
        <v>58</v>
      </c>
      <c r="R304" s="30"/>
      <c r="S304" s="30"/>
      <c r="T304" s="30"/>
      <c r="U304" s="30" t="s">
        <v>75</v>
      </c>
      <c r="V304" s="30"/>
      <c r="W304" s="51" t="str">
        <f t="shared" si="17"/>
        <v>#NAME?</v>
      </c>
      <c r="X304" s="2"/>
      <c r="Y304" s="2"/>
      <c r="Z304" s="2"/>
      <c r="AA304" s="2"/>
      <c r="AB304" s="2"/>
      <c r="AC304" s="2"/>
      <c r="AD304" s="2"/>
      <c r="AE304" s="2"/>
    </row>
    <row r="305" ht="15.75" customHeight="1">
      <c r="A305" s="45">
        <v>129.0</v>
      </c>
      <c r="B305" s="45" t="str">
        <f t="shared" si="14"/>
        <v>#NAME?</v>
      </c>
      <c r="C305" s="45">
        <f t="shared" si="15"/>
        <v>5</v>
      </c>
      <c r="D305" s="75">
        <v>46158.0</v>
      </c>
      <c r="E305" s="75">
        <v>46158.0</v>
      </c>
      <c r="F305" s="45"/>
      <c r="G305" s="45" t="s">
        <v>2006</v>
      </c>
      <c r="H305" s="61" t="s">
        <v>2007</v>
      </c>
      <c r="I305" s="48">
        <v>16957.0</v>
      </c>
      <c r="J305" s="48"/>
      <c r="K305" s="48">
        <f t="shared" si="7"/>
        <v>304232</v>
      </c>
      <c r="L305" s="77" t="s">
        <v>45</v>
      </c>
      <c r="M305" s="77" t="s">
        <v>110</v>
      </c>
      <c r="N305" s="64"/>
      <c r="O305" s="77" t="s">
        <v>60</v>
      </c>
      <c r="P305" s="30" t="s">
        <v>57</v>
      </c>
      <c r="Q305" s="64" t="s">
        <v>58</v>
      </c>
      <c r="R305" s="30"/>
      <c r="S305" s="30"/>
      <c r="T305" s="30"/>
      <c r="U305" s="30" t="s">
        <v>75</v>
      </c>
      <c r="V305" s="30"/>
      <c r="W305" s="51" t="str">
        <f t="shared" si="17"/>
        <v>#NAME?</v>
      </c>
      <c r="X305" s="2"/>
      <c r="Y305" s="2"/>
      <c r="Z305" s="2"/>
      <c r="AA305" s="2"/>
      <c r="AB305" s="2"/>
      <c r="AC305" s="2"/>
      <c r="AD305" s="2"/>
      <c r="AE305" s="2"/>
    </row>
    <row r="306" ht="15.75" customHeight="1">
      <c r="A306" s="45">
        <v>128.0</v>
      </c>
      <c r="B306" s="45" t="str">
        <f t="shared" si="14"/>
        <v>#NAME?</v>
      </c>
      <c r="C306" s="45">
        <f t="shared" si="15"/>
        <v>5</v>
      </c>
      <c r="D306" s="75">
        <v>46158.0</v>
      </c>
      <c r="E306" s="75">
        <v>46158.0</v>
      </c>
      <c r="F306" s="45"/>
      <c r="G306" s="45" t="s">
        <v>2008</v>
      </c>
      <c r="H306" s="61" t="s">
        <v>2009</v>
      </c>
      <c r="I306" s="48">
        <v>28900.0</v>
      </c>
      <c r="J306" s="48"/>
      <c r="K306" s="48">
        <f t="shared" si="7"/>
        <v>321189</v>
      </c>
      <c r="L306" s="77" t="s">
        <v>45</v>
      </c>
      <c r="M306" s="77" t="s">
        <v>110</v>
      </c>
      <c r="N306" s="64"/>
      <c r="O306" s="77" t="s">
        <v>60</v>
      </c>
      <c r="P306" s="30" t="s">
        <v>57</v>
      </c>
      <c r="Q306" s="64" t="s">
        <v>58</v>
      </c>
      <c r="R306" s="30"/>
      <c r="S306" s="30"/>
      <c r="T306" s="30"/>
      <c r="U306" s="30" t="s">
        <v>75</v>
      </c>
      <c r="V306" s="30"/>
      <c r="W306" s="51" t="str">
        <f t="shared" si="17"/>
        <v>#NAME?</v>
      </c>
      <c r="X306" s="2"/>
      <c r="Y306" s="2"/>
      <c r="Z306" s="2"/>
      <c r="AA306" s="2"/>
      <c r="AB306" s="2"/>
      <c r="AC306" s="2"/>
      <c r="AD306" s="2"/>
      <c r="AE306" s="2"/>
    </row>
    <row r="307" ht="15.75" customHeight="1">
      <c r="A307" s="45">
        <v>127.0</v>
      </c>
      <c r="B307" s="45" t="str">
        <f t="shared" si="14"/>
        <v>#NAME?</v>
      </c>
      <c r="C307" s="45">
        <f t="shared" si="15"/>
        <v>5</v>
      </c>
      <c r="D307" s="75">
        <v>46158.0</v>
      </c>
      <c r="E307" s="75">
        <v>46158.0</v>
      </c>
      <c r="F307" s="45"/>
      <c r="G307" s="45" t="s">
        <v>2010</v>
      </c>
      <c r="H307" s="61" t="s">
        <v>2011</v>
      </c>
      <c r="I307" s="48">
        <v>9900.0</v>
      </c>
      <c r="J307" s="48"/>
      <c r="K307" s="48">
        <f t="shared" si="7"/>
        <v>350089</v>
      </c>
      <c r="L307" s="77" t="s">
        <v>45</v>
      </c>
      <c r="M307" s="77" t="s">
        <v>55</v>
      </c>
      <c r="N307" s="64"/>
      <c r="O307" s="77" t="s">
        <v>60</v>
      </c>
      <c r="P307" s="30" t="s">
        <v>57</v>
      </c>
      <c r="Q307" s="64" t="s">
        <v>58</v>
      </c>
      <c r="R307" s="30"/>
      <c r="S307" s="30"/>
      <c r="T307" s="30"/>
      <c r="U307" s="30" t="s">
        <v>156</v>
      </c>
      <c r="V307" s="30"/>
      <c r="W307" s="51" t="str">
        <f t="shared" si="17"/>
        <v>#NAME?</v>
      </c>
      <c r="X307" s="2"/>
      <c r="Y307" s="2"/>
      <c r="Z307" s="2"/>
      <c r="AA307" s="2"/>
      <c r="AB307" s="2"/>
      <c r="AC307" s="2"/>
      <c r="AD307" s="2"/>
      <c r="AE307" s="2"/>
    </row>
    <row r="308" ht="15.75" customHeight="1">
      <c r="A308" s="45">
        <v>126.0</v>
      </c>
      <c r="B308" s="45" t="str">
        <f t="shared" si="14"/>
        <v>#NAME?</v>
      </c>
      <c r="C308" s="45">
        <f t="shared" si="15"/>
        <v>5</v>
      </c>
      <c r="D308" s="75">
        <v>46158.0</v>
      </c>
      <c r="E308" s="75">
        <v>46158.0</v>
      </c>
      <c r="F308" s="45"/>
      <c r="G308" s="45" t="s">
        <v>2012</v>
      </c>
      <c r="H308" s="61" t="s">
        <v>2013</v>
      </c>
      <c r="I308" s="48">
        <v>12043.0</v>
      </c>
      <c r="J308" s="48"/>
      <c r="K308" s="48">
        <f t="shared" si="7"/>
        <v>359989</v>
      </c>
      <c r="L308" s="77" t="s">
        <v>45</v>
      </c>
      <c r="M308" s="77" t="s">
        <v>110</v>
      </c>
      <c r="N308" s="64"/>
      <c r="O308" s="77" t="s">
        <v>60</v>
      </c>
      <c r="P308" s="30" t="s">
        <v>57</v>
      </c>
      <c r="Q308" s="64" t="s">
        <v>58</v>
      </c>
      <c r="R308" s="30"/>
      <c r="S308" s="30"/>
      <c r="T308" s="30"/>
      <c r="U308" s="30" t="s">
        <v>75</v>
      </c>
      <c r="V308" s="30"/>
      <c r="W308" s="51" t="str">
        <f t="shared" si="17"/>
        <v>#NAME?</v>
      </c>
      <c r="X308" s="2"/>
      <c r="Y308" s="2"/>
      <c r="Z308" s="2"/>
      <c r="AA308" s="2"/>
      <c r="AB308" s="2"/>
      <c r="AC308" s="2"/>
      <c r="AD308" s="2"/>
      <c r="AE308" s="2"/>
    </row>
    <row r="309" ht="15.75" customHeight="1">
      <c r="A309" s="45">
        <v>125.0</v>
      </c>
      <c r="B309" s="45" t="str">
        <f t="shared" si="14"/>
        <v>#NAME?</v>
      </c>
      <c r="C309" s="45">
        <f t="shared" si="15"/>
        <v>5</v>
      </c>
      <c r="D309" s="75">
        <v>46158.0</v>
      </c>
      <c r="E309" s="75">
        <v>46158.0</v>
      </c>
      <c r="F309" s="45"/>
      <c r="G309" s="45" t="s">
        <v>2014</v>
      </c>
      <c r="H309" s="61" t="s">
        <v>2015</v>
      </c>
      <c r="I309" s="48">
        <v>9094.0</v>
      </c>
      <c r="J309" s="48"/>
      <c r="K309" s="48">
        <f t="shared" si="7"/>
        <v>372032</v>
      </c>
      <c r="L309" s="77" t="s">
        <v>45</v>
      </c>
      <c r="M309" s="77" t="s">
        <v>110</v>
      </c>
      <c r="N309" s="64"/>
      <c r="O309" s="77" t="s">
        <v>60</v>
      </c>
      <c r="P309" s="30" t="s">
        <v>57</v>
      </c>
      <c r="Q309" s="64" t="s">
        <v>58</v>
      </c>
      <c r="R309" s="30"/>
      <c r="S309" s="30"/>
      <c r="T309" s="30"/>
      <c r="U309" s="30" t="s">
        <v>75</v>
      </c>
      <c r="V309" s="30"/>
      <c r="W309" s="51" t="str">
        <f t="shared" si="17"/>
        <v>#NAME?</v>
      </c>
      <c r="X309" s="2"/>
      <c r="Y309" s="2"/>
      <c r="Z309" s="2"/>
      <c r="AA309" s="2"/>
      <c r="AB309" s="2"/>
      <c r="AC309" s="2"/>
      <c r="AD309" s="2"/>
      <c r="AE309" s="2"/>
    </row>
    <row r="310" ht="15.75" customHeight="1">
      <c r="A310" s="45">
        <v>124.0</v>
      </c>
      <c r="B310" s="45" t="str">
        <f t="shared" si="14"/>
        <v>#NAME?</v>
      </c>
      <c r="C310" s="45">
        <f t="shared" si="15"/>
        <v>5</v>
      </c>
      <c r="D310" s="75">
        <v>46158.0</v>
      </c>
      <c r="E310" s="75">
        <v>46158.0</v>
      </c>
      <c r="F310" s="45"/>
      <c r="G310" s="45" t="s">
        <v>2016</v>
      </c>
      <c r="H310" s="61" t="s">
        <v>2017</v>
      </c>
      <c r="I310" s="48">
        <v>21785.0</v>
      </c>
      <c r="J310" s="48"/>
      <c r="K310" s="48">
        <f t="shared" si="7"/>
        <v>381126</v>
      </c>
      <c r="L310" s="77" t="s">
        <v>45</v>
      </c>
      <c r="M310" s="77" t="s">
        <v>110</v>
      </c>
      <c r="N310" s="64"/>
      <c r="O310" s="77" t="s">
        <v>60</v>
      </c>
      <c r="P310" s="30" t="s">
        <v>57</v>
      </c>
      <c r="Q310" s="64" t="s">
        <v>58</v>
      </c>
      <c r="R310" s="30"/>
      <c r="S310" s="30"/>
      <c r="T310" s="30"/>
      <c r="U310" s="30" t="s">
        <v>75</v>
      </c>
      <c r="V310" s="30"/>
      <c r="W310" s="51" t="str">
        <f t="shared" si="17"/>
        <v>#NAME?</v>
      </c>
      <c r="X310" s="2"/>
      <c r="Y310" s="2"/>
      <c r="Z310" s="2"/>
      <c r="AA310" s="2"/>
      <c r="AB310" s="2"/>
      <c r="AC310" s="2"/>
      <c r="AD310" s="2"/>
      <c r="AE310" s="2"/>
    </row>
    <row r="311" ht="15.75" customHeight="1">
      <c r="A311" s="45">
        <v>123.0</v>
      </c>
      <c r="B311" s="45" t="str">
        <f t="shared" si="14"/>
        <v>#NAME?</v>
      </c>
      <c r="C311" s="45">
        <f t="shared" si="15"/>
        <v>5</v>
      </c>
      <c r="D311" s="75">
        <v>46158.0</v>
      </c>
      <c r="E311" s="75">
        <v>46158.0</v>
      </c>
      <c r="F311" s="45"/>
      <c r="G311" s="45" t="s">
        <v>2018</v>
      </c>
      <c r="H311" s="61" t="s">
        <v>2019</v>
      </c>
      <c r="I311" s="48">
        <v>27298.0</v>
      </c>
      <c r="J311" s="48"/>
      <c r="K311" s="48">
        <f t="shared" si="7"/>
        <v>402911</v>
      </c>
      <c r="L311" s="77" t="s">
        <v>45</v>
      </c>
      <c r="M311" s="77" t="s">
        <v>110</v>
      </c>
      <c r="N311" s="64"/>
      <c r="O311" s="77" t="s">
        <v>60</v>
      </c>
      <c r="P311" s="30" t="s">
        <v>57</v>
      </c>
      <c r="Q311" s="64" t="s">
        <v>58</v>
      </c>
      <c r="R311" s="30"/>
      <c r="S311" s="30"/>
      <c r="T311" s="30"/>
      <c r="U311" s="30" t="s">
        <v>75</v>
      </c>
      <c r="V311" s="30"/>
      <c r="W311" s="51" t="str">
        <f t="shared" si="17"/>
        <v>#NAME?</v>
      </c>
      <c r="X311" s="2"/>
      <c r="Y311" s="2"/>
      <c r="Z311" s="2"/>
      <c r="AA311" s="2"/>
      <c r="AB311" s="2"/>
      <c r="AC311" s="2"/>
      <c r="AD311" s="2"/>
      <c r="AE311" s="2"/>
    </row>
    <row r="312" ht="15.75" customHeight="1">
      <c r="A312" s="45">
        <v>122.0</v>
      </c>
      <c r="B312" s="45" t="str">
        <f t="shared" si="14"/>
        <v>#NAME?</v>
      </c>
      <c r="C312" s="45">
        <f t="shared" si="15"/>
        <v>5</v>
      </c>
      <c r="D312" s="75">
        <v>46158.0</v>
      </c>
      <c r="E312" s="75">
        <v>46158.0</v>
      </c>
      <c r="F312" s="45"/>
      <c r="G312" s="45" t="s">
        <v>2020</v>
      </c>
      <c r="H312" s="61" t="s">
        <v>2021</v>
      </c>
      <c r="I312" s="48">
        <v>38566.0</v>
      </c>
      <c r="J312" s="48"/>
      <c r="K312" s="48">
        <f t="shared" si="7"/>
        <v>430209</v>
      </c>
      <c r="L312" s="77" t="s">
        <v>45</v>
      </c>
      <c r="M312" s="77" t="s">
        <v>110</v>
      </c>
      <c r="N312" s="64"/>
      <c r="O312" s="77" t="s">
        <v>60</v>
      </c>
      <c r="P312" s="30" t="s">
        <v>57</v>
      </c>
      <c r="Q312" s="64" t="s">
        <v>58</v>
      </c>
      <c r="R312" s="30"/>
      <c r="S312" s="30"/>
      <c r="T312" s="30"/>
      <c r="U312" s="30" t="s">
        <v>75</v>
      </c>
      <c r="V312" s="30"/>
      <c r="W312" s="51" t="str">
        <f t="shared" si="17"/>
        <v>#NAME?</v>
      </c>
      <c r="X312" s="2"/>
      <c r="Y312" s="2"/>
      <c r="Z312" s="2"/>
      <c r="AA312" s="2"/>
      <c r="AB312" s="2"/>
      <c r="AC312" s="2"/>
      <c r="AD312" s="2"/>
      <c r="AE312" s="2"/>
    </row>
    <row r="313" ht="15.75" customHeight="1">
      <c r="A313" s="45">
        <v>121.0</v>
      </c>
      <c r="B313" s="45" t="str">
        <f t="shared" si="14"/>
        <v>#NAME?</v>
      </c>
      <c r="C313" s="45">
        <f t="shared" si="15"/>
        <v>5</v>
      </c>
      <c r="D313" s="75">
        <v>46158.0</v>
      </c>
      <c r="E313" s="75">
        <v>46158.0</v>
      </c>
      <c r="F313" s="45"/>
      <c r="G313" s="45" t="s">
        <v>2022</v>
      </c>
      <c r="H313" s="61" t="s">
        <v>2023</v>
      </c>
      <c r="I313" s="48">
        <v>13751.0</v>
      </c>
      <c r="J313" s="48"/>
      <c r="K313" s="48">
        <f t="shared" si="7"/>
        <v>468775</v>
      </c>
      <c r="L313" s="77" t="s">
        <v>45</v>
      </c>
      <c r="M313" s="77" t="s">
        <v>110</v>
      </c>
      <c r="N313" s="64"/>
      <c r="O313" s="77" t="s">
        <v>60</v>
      </c>
      <c r="P313" s="30" t="s">
        <v>57</v>
      </c>
      <c r="Q313" s="64" t="s">
        <v>58</v>
      </c>
      <c r="R313" s="30"/>
      <c r="S313" s="30"/>
      <c r="T313" s="30"/>
      <c r="U313" s="30" t="s">
        <v>75</v>
      </c>
      <c r="V313" s="30"/>
      <c r="W313" s="51" t="str">
        <f t="shared" si="17"/>
        <v>#NAME?</v>
      </c>
      <c r="X313" s="2"/>
      <c r="Y313" s="2"/>
      <c r="Z313" s="2"/>
      <c r="AA313" s="2"/>
      <c r="AB313" s="2"/>
      <c r="AC313" s="2"/>
      <c r="AD313" s="2"/>
      <c r="AE313" s="2"/>
    </row>
    <row r="314" ht="15.75" customHeight="1">
      <c r="A314" s="45">
        <v>120.0</v>
      </c>
      <c r="B314" s="45" t="str">
        <f t="shared" si="14"/>
        <v>#NAME?</v>
      </c>
      <c r="C314" s="45">
        <f t="shared" si="15"/>
        <v>5</v>
      </c>
      <c r="D314" s="75">
        <v>46158.0</v>
      </c>
      <c r="E314" s="75">
        <v>46158.0</v>
      </c>
      <c r="F314" s="45"/>
      <c r="G314" s="45" t="s">
        <v>2024</v>
      </c>
      <c r="H314" s="61" t="s">
        <v>2025</v>
      </c>
      <c r="I314" s="48">
        <v>9900.0</v>
      </c>
      <c r="J314" s="48"/>
      <c r="K314" s="48">
        <f t="shared" si="7"/>
        <v>482526</v>
      </c>
      <c r="L314" s="77" t="s">
        <v>45</v>
      </c>
      <c r="M314" s="77" t="s">
        <v>55</v>
      </c>
      <c r="N314" s="64"/>
      <c r="O314" s="77" t="s">
        <v>60</v>
      </c>
      <c r="P314" s="30" t="s">
        <v>57</v>
      </c>
      <c r="Q314" s="64" t="s">
        <v>58</v>
      </c>
      <c r="R314" s="30"/>
      <c r="S314" s="30"/>
      <c r="T314" s="30"/>
      <c r="U314" s="30" t="s">
        <v>156</v>
      </c>
      <c r="V314" s="30"/>
      <c r="W314" s="51" t="str">
        <f t="shared" si="17"/>
        <v>#NAME?</v>
      </c>
      <c r="X314" s="2"/>
      <c r="Y314" s="2"/>
      <c r="Z314" s="2"/>
      <c r="AA314" s="2"/>
      <c r="AB314" s="2"/>
      <c r="AC314" s="2"/>
      <c r="AD314" s="2"/>
      <c r="AE314" s="2"/>
    </row>
    <row r="315" ht="15.75" customHeight="1">
      <c r="A315" s="45">
        <v>119.0</v>
      </c>
      <c r="B315" s="45" t="str">
        <f t="shared" si="14"/>
        <v>#NAME?</v>
      </c>
      <c r="C315" s="45">
        <f t="shared" si="15"/>
        <v>5</v>
      </c>
      <c r="D315" s="75">
        <v>46158.0</v>
      </c>
      <c r="E315" s="75">
        <v>46158.0</v>
      </c>
      <c r="F315" s="45"/>
      <c r="G315" s="45" t="s">
        <v>2026</v>
      </c>
      <c r="H315" s="61" t="s">
        <v>2027</v>
      </c>
      <c r="I315" s="189">
        <v>28320.0</v>
      </c>
      <c r="J315" s="48"/>
      <c r="K315" s="48">
        <f t="shared" si="7"/>
        <v>492426</v>
      </c>
      <c r="L315" s="77" t="s">
        <v>45</v>
      </c>
      <c r="M315" s="77" t="s">
        <v>110</v>
      </c>
      <c r="N315" s="64"/>
      <c r="O315" s="77" t="s">
        <v>60</v>
      </c>
      <c r="P315" s="30" t="s">
        <v>57</v>
      </c>
      <c r="Q315" s="64" t="s">
        <v>58</v>
      </c>
      <c r="R315" s="30"/>
      <c r="S315" s="30"/>
      <c r="T315" s="30"/>
      <c r="U315" s="30" t="s">
        <v>75</v>
      </c>
      <c r="V315" s="30"/>
      <c r="W315" s="51" t="str">
        <f t="shared" si="17"/>
        <v>#NAME?</v>
      </c>
      <c r="X315" s="2"/>
      <c r="Y315" s="2"/>
      <c r="Z315" s="2"/>
      <c r="AA315" s="2"/>
      <c r="AB315" s="2"/>
      <c r="AC315" s="2"/>
      <c r="AD315" s="2"/>
      <c r="AE315" s="2"/>
    </row>
    <row r="316" ht="15.75" customHeight="1">
      <c r="A316" s="45">
        <v>118.0</v>
      </c>
      <c r="B316" s="45" t="str">
        <f t="shared" si="14"/>
        <v>#NAME?</v>
      </c>
      <c r="C316" s="45">
        <f t="shared" si="15"/>
        <v>5</v>
      </c>
      <c r="D316" s="75">
        <v>46158.0</v>
      </c>
      <c r="E316" s="75">
        <v>46158.0</v>
      </c>
      <c r="F316" s="45"/>
      <c r="G316" s="45" t="s">
        <v>2028</v>
      </c>
      <c r="H316" s="61" t="s">
        <v>2029</v>
      </c>
      <c r="I316" s="48">
        <v>12781.0</v>
      </c>
      <c r="J316" s="48"/>
      <c r="K316" s="48">
        <f t="shared" si="7"/>
        <v>520746</v>
      </c>
      <c r="L316" s="77" t="s">
        <v>45</v>
      </c>
      <c r="M316" s="77" t="s">
        <v>110</v>
      </c>
      <c r="N316" s="64"/>
      <c r="O316" s="77" t="s">
        <v>60</v>
      </c>
      <c r="P316" s="30" t="s">
        <v>57</v>
      </c>
      <c r="Q316" s="64" t="s">
        <v>58</v>
      </c>
      <c r="R316" s="30"/>
      <c r="S316" s="30"/>
      <c r="T316" s="30"/>
      <c r="U316" s="30" t="s">
        <v>75</v>
      </c>
      <c r="V316" s="30"/>
      <c r="W316" s="51" t="str">
        <f t="shared" si="17"/>
        <v>#NAME?</v>
      </c>
      <c r="X316" s="2"/>
      <c r="Y316" s="2"/>
      <c r="Z316" s="2"/>
      <c r="AA316" s="2"/>
      <c r="AB316" s="2"/>
      <c r="AC316" s="2"/>
      <c r="AD316" s="2"/>
      <c r="AE316" s="2"/>
    </row>
    <row r="317" ht="15.75" customHeight="1">
      <c r="A317" s="45">
        <v>117.0</v>
      </c>
      <c r="B317" s="45" t="str">
        <f t="shared" si="14"/>
        <v>#NAME?</v>
      </c>
      <c r="C317" s="45">
        <f t="shared" si="15"/>
        <v>5</v>
      </c>
      <c r="D317" s="75">
        <v>46158.0</v>
      </c>
      <c r="E317" s="75">
        <v>46158.0</v>
      </c>
      <c r="F317" s="45"/>
      <c r="G317" s="45" t="s">
        <v>2030</v>
      </c>
      <c r="H317" s="61" t="s">
        <v>2031</v>
      </c>
      <c r="I317" s="48">
        <v>49898.0</v>
      </c>
      <c r="J317" s="48"/>
      <c r="K317" s="48">
        <f t="shared" si="7"/>
        <v>533527</v>
      </c>
      <c r="L317" s="77" t="s">
        <v>45</v>
      </c>
      <c r="M317" s="77" t="s">
        <v>110</v>
      </c>
      <c r="N317" s="64"/>
      <c r="O317" s="77" t="s">
        <v>60</v>
      </c>
      <c r="P317" s="30" t="s">
        <v>57</v>
      </c>
      <c r="Q317" s="64" t="s">
        <v>58</v>
      </c>
      <c r="R317" s="30"/>
      <c r="S317" s="30"/>
      <c r="T317" s="30"/>
      <c r="U317" s="30" t="s">
        <v>75</v>
      </c>
      <c r="V317" s="30"/>
      <c r="W317" s="51" t="str">
        <f t="shared" si="17"/>
        <v>#NAME?</v>
      </c>
      <c r="X317" s="2"/>
      <c r="Y317" s="2"/>
      <c r="Z317" s="2"/>
      <c r="AA317" s="2"/>
      <c r="AB317" s="2"/>
      <c r="AC317" s="2"/>
      <c r="AD317" s="2"/>
      <c r="AE317" s="2"/>
    </row>
    <row r="318" ht="15.75" customHeight="1">
      <c r="A318" s="45">
        <v>116.0</v>
      </c>
      <c r="B318" s="45" t="str">
        <f t="shared" si="14"/>
        <v>#NAME?</v>
      </c>
      <c r="C318" s="45">
        <f t="shared" si="15"/>
        <v>5</v>
      </c>
      <c r="D318" s="75">
        <v>46158.0</v>
      </c>
      <c r="E318" s="75">
        <v>46158.0</v>
      </c>
      <c r="F318" s="45"/>
      <c r="G318" s="45" t="s">
        <v>2032</v>
      </c>
      <c r="H318" s="61" t="s">
        <v>2033</v>
      </c>
      <c r="I318" s="48">
        <v>34436.0</v>
      </c>
      <c r="J318" s="48"/>
      <c r="K318" s="48">
        <f t="shared" si="7"/>
        <v>583425</v>
      </c>
      <c r="L318" s="77" t="s">
        <v>45</v>
      </c>
      <c r="M318" s="77" t="s">
        <v>110</v>
      </c>
      <c r="N318" s="64"/>
      <c r="O318" s="77" t="s">
        <v>60</v>
      </c>
      <c r="P318" s="30" t="s">
        <v>57</v>
      </c>
      <c r="Q318" s="64" t="s">
        <v>58</v>
      </c>
      <c r="R318" s="30"/>
      <c r="S318" s="30"/>
      <c r="T318" s="30"/>
      <c r="U318" s="30" t="s">
        <v>75</v>
      </c>
      <c r="V318" s="30"/>
      <c r="W318" s="51" t="str">
        <f t="shared" si="17"/>
        <v>#NAME?</v>
      </c>
      <c r="X318" s="2"/>
      <c r="Y318" s="2"/>
      <c r="Z318" s="2"/>
      <c r="AA318" s="2"/>
      <c r="AB318" s="2"/>
      <c r="AC318" s="2"/>
      <c r="AD318" s="2"/>
      <c r="AE318" s="2"/>
    </row>
    <row r="319" ht="15.75" customHeight="1">
      <c r="A319" s="45">
        <v>115.0</v>
      </c>
      <c r="B319" s="45" t="str">
        <f t="shared" si="14"/>
        <v>#NAME?</v>
      </c>
      <c r="C319" s="45">
        <f t="shared" si="15"/>
        <v>5</v>
      </c>
      <c r="D319" s="75">
        <v>46158.0</v>
      </c>
      <c r="E319" s="75">
        <v>46158.0</v>
      </c>
      <c r="F319" s="45"/>
      <c r="G319" s="45" t="s">
        <v>2034</v>
      </c>
      <c r="H319" s="61" t="s">
        <v>2035</v>
      </c>
      <c r="I319" s="189">
        <v>7225.0</v>
      </c>
      <c r="J319" s="48"/>
      <c r="K319" s="48">
        <f t="shared" si="7"/>
        <v>617861</v>
      </c>
      <c r="L319" s="77" t="s">
        <v>45</v>
      </c>
      <c r="M319" s="77" t="s">
        <v>110</v>
      </c>
      <c r="N319" s="64"/>
      <c r="O319" s="77" t="s">
        <v>60</v>
      </c>
      <c r="P319" s="30" t="s">
        <v>57</v>
      </c>
      <c r="Q319" s="64" t="s">
        <v>58</v>
      </c>
      <c r="R319" s="30"/>
      <c r="S319" s="30"/>
      <c r="T319" s="30"/>
      <c r="U319" s="30" t="s">
        <v>75</v>
      </c>
      <c r="V319" s="30"/>
      <c r="W319" s="51" t="str">
        <f t="shared" si="17"/>
        <v>#NAME?</v>
      </c>
      <c r="X319" s="2"/>
      <c r="Y319" s="2"/>
      <c r="Z319" s="2"/>
      <c r="AA319" s="2"/>
      <c r="AB319" s="2"/>
      <c r="AC319" s="2"/>
      <c r="AD319" s="2"/>
      <c r="AE319" s="2"/>
    </row>
    <row r="320" ht="15.75" customHeight="1">
      <c r="A320" s="45">
        <v>114.0</v>
      </c>
      <c r="B320" s="45" t="str">
        <f t="shared" si="14"/>
        <v>#NAME?</v>
      </c>
      <c r="C320" s="45">
        <f t="shared" si="15"/>
        <v>5</v>
      </c>
      <c r="D320" s="75">
        <v>46158.0</v>
      </c>
      <c r="E320" s="75">
        <v>46158.0</v>
      </c>
      <c r="F320" s="45"/>
      <c r="G320" s="45" t="s">
        <v>2036</v>
      </c>
      <c r="H320" s="61" t="s">
        <v>2037</v>
      </c>
      <c r="I320" s="48">
        <v>2613.0</v>
      </c>
      <c r="J320" s="48"/>
      <c r="K320" s="48">
        <f t="shared" si="7"/>
        <v>625086</v>
      </c>
      <c r="L320" s="77" t="s">
        <v>45</v>
      </c>
      <c r="M320" s="77" t="s">
        <v>110</v>
      </c>
      <c r="N320" s="64"/>
      <c r="O320" s="77" t="s">
        <v>60</v>
      </c>
      <c r="P320" s="30" t="s">
        <v>57</v>
      </c>
      <c r="Q320" s="64" t="s">
        <v>58</v>
      </c>
      <c r="R320" s="30"/>
      <c r="S320" s="30"/>
      <c r="T320" s="30"/>
      <c r="U320" s="30" t="s">
        <v>75</v>
      </c>
      <c r="V320" s="30"/>
      <c r="W320" s="51" t="str">
        <f t="shared" si="17"/>
        <v>#NAME?</v>
      </c>
      <c r="X320" s="2"/>
      <c r="Y320" s="2"/>
      <c r="Z320" s="2"/>
      <c r="AA320" s="2"/>
      <c r="AB320" s="2"/>
      <c r="AC320" s="2"/>
      <c r="AD320" s="2"/>
      <c r="AE320" s="2"/>
    </row>
    <row r="321" ht="15.75" customHeight="1">
      <c r="A321" s="45">
        <v>113.0</v>
      </c>
      <c r="B321" s="45" t="str">
        <f t="shared" si="14"/>
        <v>#NAME?</v>
      </c>
      <c r="C321" s="45">
        <f t="shared" si="15"/>
        <v>5</v>
      </c>
      <c r="D321" s="75">
        <v>46158.0</v>
      </c>
      <c r="E321" s="75">
        <v>46158.0</v>
      </c>
      <c r="F321" s="45"/>
      <c r="G321" s="45" t="s">
        <v>2038</v>
      </c>
      <c r="H321" s="61" t="s">
        <v>2039</v>
      </c>
      <c r="I321" s="48">
        <v>7640.0</v>
      </c>
      <c r="J321" s="48"/>
      <c r="K321" s="48">
        <f t="shared" si="7"/>
        <v>627699</v>
      </c>
      <c r="L321" s="77" t="s">
        <v>45</v>
      </c>
      <c r="M321" s="77" t="s">
        <v>110</v>
      </c>
      <c r="N321" s="64"/>
      <c r="O321" s="77" t="s">
        <v>60</v>
      </c>
      <c r="P321" s="30" t="s">
        <v>57</v>
      </c>
      <c r="Q321" s="64" t="s">
        <v>58</v>
      </c>
      <c r="R321" s="30"/>
      <c r="S321" s="30"/>
      <c r="T321" s="30"/>
      <c r="U321" s="30" t="s">
        <v>75</v>
      </c>
      <c r="V321" s="30"/>
      <c r="W321" s="51" t="str">
        <f t="shared" si="17"/>
        <v>#NAME?</v>
      </c>
      <c r="X321" s="2"/>
      <c r="Y321" s="2"/>
      <c r="Z321" s="2"/>
      <c r="AA321" s="2"/>
      <c r="AB321" s="2"/>
      <c r="AC321" s="2"/>
      <c r="AD321" s="2"/>
      <c r="AE321" s="2"/>
    </row>
    <row r="322" ht="15.75" customHeight="1">
      <c r="A322" s="45">
        <v>112.0</v>
      </c>
      <c r="B322" s="45" t="str">
        <f t="shared" si="14"/>
        <v>#NAME?</v>
      </c>
      <c r="C322" s="45">
        <f t="shared" si="15"/>
        <v>5</v>
      </c>
      <c r="D322" s="75">
        <v>46158.0</v>
      </c>
      <c r="E322" s="75">
        <v>46158.0</v>
      </c>
      <c r="F322" s="45"/>
      <c r="G322" s="45" t="s">
        <v>2040</v>
      </c>
      <c r="H322" s="61" t="s">
        <v>2041</v>
      </c>
      <c r="I322" s="48">
        <v>4600.0</v>
      </c>
      <c r="J322" s="48"/>
      <c r="K322" s="48">
        <f t="shared" si="7"/>
        <v>635339</v>
      </c>
      <c r="L322" s="77" t="s">
        <v>45</v>
      </c>
      <c r="M322" s="77" t="s">
        <v>55</v>
      </c>
      <c r="N322" s="64"/>
      <c r="O322" s="77" t="s">
        <v>60</v>
      </c>
      <c r="P322" s="30" t="s">
        <v>57</v>
      </c>
      <c r="Q322" s="64" t="s">
        <v>58</v>
      </c>
      <c r="R322" s="30"/>
      <c r="S322" s="30"/>
      <c r="T322" s="30"/>
      <c r="U322" s="30" t="s">
        <v>156</v>
      </c>
      <c r="V322" s="30"/>
      <c r="W322" s="51" t="str">
        <f t="shared" si="17"/>
        <v>#NAME?</v>
      </c>
      <c r="X322" s="2"/>
      <c r="Y322" s="2"/>
      <c r="Z322" s="2"/>
      <c r="AA322" s="2"/>
      <c r="AB322" s="2"/>
      <c r="AC322" s="2"/>
      <c r="AD322" s="2"/>
      <c r="AE322" s="2"/>
    </row>
    <row r="323" ht="15.75" customHeight="1">
      <c r="A323" s="45">
        <v>111.0</v>
      </c>
      <c r="B323" s="45" t="str">
        <f t="shared" si="14"/>
        <v>#NAME?</v>
      </c>
      <c r="C323" s="45">
        <f t="shared" si="15"/>
        <v>5</v>
      </c>
      <c r="D323" s="75">
        <v>46158.0</v>
      </c>
      <c r="E323" s="75">
        <v>46158.0</v>
      </c>
      <c r="F323" s="45"/>
      <c r="G323" s="45" t="s">
        <v>2042</v>
      </c>
      <c r="H323" s="61" t="s">
        <v>2043</v>
      </c>
      <c r="I323" s="48">
        <v>10913.0</v>
      </c>
      <c r="J323" s="48"/>
      <c r="K323" s="48">
        <f t="shared" si="7"/>
        <v>639939</v>
      </c>
      <c r="L323" s="77" t="s">
        <v>45</v>
      </c>
      <c r="M323" s="77" t="s">
        <v>110</v>
      </c>
      <c r="N323" s="64"/>
      <c r="O323" s="77" t="s">
        <v>60</v>
      </c>
      <c r="P323" s="30" t="s">
        <v>57</v>
      </c>
      <c r="Q323" s="64" t="s">
        <v>58</v>
      </c>
      <c r="R323" s="30"/>
      <c r="S323" s="30"/>
      <c r="T323" s="30"/>
      <c r="U323" s="30" t="s">
        <v>75</v>
      </c>
      <c r="V323" s="30"/>
      <c r="W323" s="51" t="str">
        <f t="shared" si="17"/>
        <v>#NAME?</v>
      </c>
      <c r="X323" s="2"/>
      <c r="Y323" s="2"/>
      <c r="Z323" s="2"/>
      <c r="AA323" s="2"/>
      <c r="AB323" s="2"/>
      <c r="AC323" s="2"/>
      <c r="AD323" s="2"/>
      <c r="AE323" s="2"/>
    </row>
    <row r="324" ht="15.75" customHeight="1">
      <c r="A324" s="45">
        <v>110.0</v>
      </c>
      <c r="B324" s="45" t="str">
        <f t="shared" si="14"/>
        <v>#NAME?</v>
      </c>
      <c r="C324" s="45">
        <f t="shared" si="15"/>
        <v>5</v>
      </c>
      <c r="D324" s="75">
        <v>46158.0</v>
      </c>
      <c r="E324" s="75">
        <v>46158.0</v>
      </c>
      <c r="F324" s="45"/>
      <c r="G324" s="45" t="s">
        <v>392</v>
      </c>
      <c r="H324" s="61" t="s">
        <v>364</v>
      </c>
      <c r="I324" s="48"/>
      <c r="J324" s="48">
        <v>600000.0</v>
      </c>
      <c r="K324" s="48">
        <f t="shared" si="7"/>
        <v>650852</v>
      </c>
      <c r="L324" s="77" t="s">
        <v>45</v>
      </c>
      <c r="M324" s="77" t="s">
        <v>47</v>
      </c>
      <c r="N324" s="64"/>
      <c r="O324" s="77" t="s">
        <v>60</v>
      </c>
      <c r="P324" s="30" t="s">
        <v>49</v>
      </c>
      <c r="Q324" s="64" t="s">
        <v>50</v>
      </c>
      <c r="R324" s="30"/>
      <c r="S324" s="30"/>
      <c r="T324" s="30"/>
      <c r="U324" s="30" t="s">
        <v>75</v>
      </c>
      <c r="V324" s="30"/>
      <c r="W324" s="51" t="str">
        <f t="shared" si="17"/>
        <v>#NAME?</v>
      </c>
      <c r="X324" s="2"/>
      <c r="Y324" s="2"/>
      <c r="Z324" s="2"/>
      <c r="AA324" s="2"/>
      <c r="AB324" s="2"/>
      <c r="AC324" s="2"/>
      <c r="AD324" s="2"/>
      <c r="AE324" s="2"/>
    </row>
    <row r="325" ht="15.75" customHeight="1">
      <c r="A325" s="45">
        <v>109.0</v>
      </c>
      <c r="B325" s="45" t="str">
        <f t="shared" si="14"/>
        <v>#NAME?</v>
      </c>
      <c r="C325" s="45">
        <f t="shared" si="15"/>
        <v>5</v>
      </c>
      <c r="D325" s="75">
        <v>46157.0</v>
      </c>
      <c r="E325" s="75">
        <v>46157.0</v>
      </c>
      <c r="F325" s="45"/>
      <c r="G325" s="45" t="s">
        <v>2044</v>
      </c>
      <c r="H325" s="61" t="s">
        <v>2045</v>
      </c>
      <c r="I325" s="48">
        <v>5000.0</v>
      </c>
      <c r="J325" s="48"/>
      <c r="K325" s="48">
        <f t="shared" si="7"/>
        <v>50852</v>
      </c>
      <c r="L325" s="77" t="s">
        <v>45</v>
      </c>
      <c r="M325" s="77" t="s">
        <v>67</v>
      </c>
      <c r="N325" s="64"/>
      <c r="O325" s="77" t="s">
        <v>60</v>
      </c>
      <c r="P325" s="30" t="s">
        <v>57</v>
      </c>
      <c r="Q325" s="64" t="s">
        <v>58</v>
      </c>
      <c r="R325" s="30"/>
      <c r="S325" s="30"/>
      <c r="T325" s="30"/>
      <c r="U325" s="30" t="s">
        <v>499</v>
      </c>
      <c r="V325" s="30"/>
      <c r="W325" s="51" t="str">
        <f t="shared" si="17"/>
        <v>#NAME?</v>
      </c>
      <c r="X325" s="2"/>
      <c r="Y325" s="2"/>
      <c r="Z325" s="2"/>
      <c r="AA325" s="2"/>
      <c r="AB325" s="2"/>
      <c r="AC325" s="2"/>
      <c r="AD325" s="2"/>
      <c r="AE325" s="2"/>
    </row>
    <row r="326" ht="15.75" customHeight="1">
      <c r="A326" s="45">
        <v>108.0</v>
      </c>
      <c r="B326" s="45" t="str">
        <f t="shared" si="14"/>
        <v>#NAME?</v>
      </c>
      <c r="C326" s="45">
        <f t="shared" si="15"/>
        <v>5</v>
      </c>
      <c r="D326" s="75">
        <v>46157.0</v>
      </c>
      <c r="E326" s="75">
        <v>46157.0</v>
      </c>
      <c r="F326" s="45"/>
      <c r="G326" s="45" t="s">
        <v>2046</v>
      </c>
      <c r="H326" s="61" t="s">
        <v>2047</v>
      </c>
      <c r="I326" s="48">
        <v>56903.0</v>
      </c>
      <c r="J326" s="48"/>
      <c r="K326" s="48">
        <f t="shared" si="7"/>
        <v>55852</v>
      </c>
      <c r="L326" s="77" t="s">
        <v>45</v>
      </c>
      <c r="M326" s="77" t="s">
        <v>47</v>
      </c>
      <c r="N326" s="64"/>
      <c r="O326" s="77" t="s">
        <v>60</v>
      </c>
      <c r="P326" s="30" t="s">
        <v>47</v>
      </c>
      <c r="Q326" s="64" t="s">
        <v>50</v>
      </c>
      <c r="R326" s="30"/>
      <c r="S326" s="30"/>
      <c r="T326" s="30"/>
      <c r="U326" s="30" t="s">
        <v>75</v>
      </c>
      <c r="V326" s="30"/>
      <c r="W326" s="51" t="str">
        <f t="shared" si="17"/>
        <v>#NAME?</v>
      </c>
      <c r="X326" s="2"/>
      <c r="Y326" s="2"/>
      <c r="Z326" s="2"/>
      <c r="AA326" s="2"/>
      <c r="AB326" s="2"/>
      <c r="AC326" s="2"/>
      <c r="AD326" s="2"/>
      <c r="AE326" s="2"/>
    </row>
    <row r="327" ht="15.75" customHeight="1">
      <c r="A327" s="45">
        <v>107.0</v>
      </c>
      <c r="B327" s="45" t="str">
        <f t="shared" si="14"/>
        <v>#NAME?</v>
      </c>
      <c r="C327" s="45">
        <f t="shared" si="15"/>
        <v>5</v>
      </c>
      <c r="D327" s="75">
        <v>46155.0</v>
      </c>
      <c r="E327" s="75">
        <v>46155.0</v>
      </c>
      <c r="F327" s="45"/>
      <c r="G327" s="45" t="s">
        <v>2048</v>
      </c>
      <c r="H327" s="61" t="s">
        <v>2049</v>
      </c>
      <c r="I327" s="48">
        <v>79486.0</v>
      </c>
      <c r="J327" s="48"/>
      <c r="K327" s="48">
        <f t="shared" si="7"/>
        <v>112755</v>
      </c>
      <c r="L327" s="77" t="s">
        <v>45</v>
      </c>
      <c r="M327" s="77" t="s">
        <v>67</v>
      </c>
      <c r="N327" s="64"/>
      <c r="O327" s="77" t="s">
        <v>60</v>
      </c>
      <c r="P327" s="30" t="s">
        <v>57</v>
      </c>
      <c r="Q327" s="64" t="s">
        <v>58</v>
      </c>
      <c r="R327" s="30"/>
      <c r="S327" s="30"/>
      <c r="T327" s="30"/>
      <c r="U327" s="30" t="s">
        <v>499</v>
      </c>
      <c r="V327" s="30"/>
      <c r="W327" s="51" t="str">
        <f t="shared" si="17"/>
        <v>#NAME?</v>
      </c>
      <c r="X327" s="2"/>
      <c r="Y327" s="2"/>
      <c r="Z327" s="2"/>
      <c r="AA327" s="2"/>
      <c r="AB327" s="2"/>
      <c r="AC327" s="2"/>
      <c r="AD327" s="2"/>
      <c r="AE327" s="2"/>
    </row>
    <row r="328" ht="15.75" customHeight="1">
      <c r="A328" s="45">
        <v>106.0</v>
      </c>
      <c r="B328" s="45" t="str">
        <f t="shared" si="14"/>
        <v>#NAME?</v>
      </c>
      <c r="C328" s="45">
        <f t="shared" si="15"/>
        <v>5</v>
      </c>
      <c r="D328" s="75">
        <v>46155.0</v>
      </c>
      <c r="E328" s="75">
        <v>46155.0</v>
      </c>
      <c r="F328" s="45"/>
      <c r="G328" s="45" t="s">
        <v>2050</v>
      </c>
      <c r="H328" s="61" t="s">
        <v>2051</v>
      </c>
      <c r="I328" s="189">
        <v>13570.0</v>
      </c>
      <c r="J328" s="48"/>
      <c r="K328" s="48">
        <f t="shared" si="7"/>
        <v>192241</v>
      </c>
      <c r="L328" s="77" t="s">
        <v>45</v>
      </c>
      <c r="M328" s="77" t="s">
        <v>67</v>
      </c>
      <c r="N328" s="64"/>
      <c r="O328" s="77" t="s">
        <v>60</v>
      </c>
      <c r="P328" s="30" t="s">
        <v>57</v>
      </c>
      <c r="Q328" s="64" t="s">
        <v>58</v>
      </c>
      <c r="R328" s="30"/>
      <c r="S328" s="30"/>
      <c r="T328" s="30"/>
      <c r="U328" s="30" t="s">
        <v>499</v>
      </c>
      <c r="V328" s="30"/>
      <c r="W328" s="51" t="str">
        <f t="shared" si="17"/>
        <v>#NAME?</v>
      </c>
      <c r="X328" s="2"/>
      <c r="Y328" s="2"/>
      <c r="Z328" s="2"/>
      <c r="AA328" s="2"/>
      <c r="AB328" s="2"/>
      <c r="AC328" s="2"/>
      <c r="AD328" s="2"/>
      <c r="AE328" s="2"/>
    </row>
    <row r="329" ht="15.75" customHeight="1">
      <c r="A329" s="45">
        <v>105.0</v>
      </c>
      <c r="B329" s="45" t="str">
        <f t="shared" si="14"/>
        <v>#NAME?</v>
      </c>
      <c r="C329" s="45">
        <f t="shared" si="15"/>
        <v>5</v>
      </c>
      <c r="D329" s="75">
        <v>46154.0</v>
      </c>
      <c r="E329" s="75">
        <v>46154.0</v>
      </c>
      <c r="F329" s="45"/>
      <c r="G329" s="45" t="s">
        <v>392</v>
      </c>
      <c r="H329" s="61" t="s">
        <v>379</v>
      </c>
      <c r="I329" s="48"/>
      <c r="J329" s="48">
        <v>200000.0</v>
      </c>
      <c r="K329" s="48">
        <f t="shared" si="7"/>
        <v>205811</v>
      </c>
      <c r="L329" s="77" t="s">
        <v>45</v>
      </c>
      <c r="M329" s="77" t="s">
        <v>47</v>
      </c>
      <c r="N329" s="64"/>
      <c r="O329" s="77" t="s">
        <v>60</v>
      </c>
      <c r="P329" s="30" t="s">
        <v>49</v>
      </c>
      <c r="Q329" s="64" t="s">
        <v>50</v>
      </c>
      <c r="R329" s="30"/>
      <c r="S329" s="30"/>
      <c r="T329" s="30"/>
      <c r="U329" s="30" t="s">
        <v>75</v>
      </c>
      <c r="V329" s="30"/>
      <c r="W329" s="51" t="str">
        <f t="shared" si="17"/>
        <v>#NAME?</v>
      </c>
      <c r="X329" s="2"/>
      <c r="Y329" s="2"/>
      <c r="Z329" s="2"/>
      <c r="AA329" s="2"/>
      <c r="AB329" s="2"/>
      <c r="AC329" s="2"/>
      <c r="AD329" s="2"/>
      <c r="AE329" s="2"/>
    </row>
    <row r="330" ht="15.75" customHeight="1">
      <c r="A330" s="45">
        <v>104.0</v>
      </c>
      <c r="B330" s="45" t="str">
        <f t="shared" si="14"/>
        <v>#NAME?</v>
      </c>
      <c r="C330" s="45">
        <f t="shared" si="15"/>
        <v>5</v>
      </c>
      <c r="D330" s="75">
        <v>46151.0</v>
      </c>
      <c r="E330" s="75">
        <v>46151.0</v>
      </c>
      <c r="F330" s="45"/>
      <c r="G330" s="45" t="s">
        <v>2052</v>
      </c>
      <c r="H330" s="61" t="s">
        <v>2053</v>
      </c>
      <c r="I330" s="48">
        <v>14850.0</v>
      </c>
      <c r="J330" s="48"/>
      <c r="K330" s="48">
        <f t="shared" si="7"/>
        <v>5811</v>
      </c>
      <c r="L330" s="77" t="s">
        <v>45</v>
      </c>
      <c r="M330" s="77" t="s">
        <v>55</v>
      </c>
      <c r="N330" s="64"/>
      <c r="O330" s="77" t="s">
        <v>60</v>
      </c>
      <c r="P330" s="30" t="s">
        <v>57</v>
      </c>
      <c r="Q330" s="64" t="s">
        <v>58</v>
      </c>
      <c r="R330" s="30"/>
      <c r="S330" s="30"/>
      <c r="T330" s="30"/>
      <c r="U330" s="30" t="s">
        <v>156</v>
      </c>
      <c r="V330" s="30"/>
      <c r="W330" s="51" t="str">
        <f t="shared" si="17"/>
        <v>#NAME?</v>
      </c>
      <c r="X330" s="2"/>
      <c r="Y330" s="2"/>
      <c r="Z330" s="2"/>
      <c r="AA330" s="2"/>
      <c r="AB330" s="2"/>
      <c r="AC330" s="2"/>
      <c r="AD330" s="2"/>
      <c r="AE330" s="2"/>
    </row>
    <row r="331" ht="15.75" customHeight="1">
      <c r="A331" s="45">
        <v>103.0</v>
      </c>
      <c r="B331" s="45" t="str">
        <f t="shared" si="14"/>
        <v>#NAME?</v>
      </c>
      <c r="C331" s="45">
        <f t="shared" si="15"/>
        <v>5</v>
      </c>
      <c r="D331" s="75">
        <v>46151.0</v>
      </c>
      <c r="E331" s="75">
        <v>46151.0</v>
      </c>
      <c r="F331" s="45"/>
      <c r="G331" s="45" t="s">
        <v>2054</v>
      </c>
      <c r="H331" s="61" t="s">
        <v>2055</v>
      </c>
      <c r="I331" s="48">
        <v>2970.0</v>
      </c>
      <c r="J331" s="48"/>
      <c r="K331" s="48">
        <f t="shared" si="7"/>
        <v>20661</v>
      </c>
      <c r="L331" s="77" t="s">
        <v>45</v>
      </c>
      <c r="M331" s="77" t="s">
        <v>55</v>
      </c>
      <c r="N331" s="64"/>
      <c r="O331" s="77" t="s">
        <v>60</v>
      </c>
      <c r="P331" s="30" t="s">
        <v>57</v>
      </c>
      <c r="Q331" s="64" t="s">
        <v>58</v>
      </c>
      <c r="R331" s="30"/>
      <c r="S331" s="30"/>
      <c r="T331" s="30"/>
      <c r="U331" s="30" t="s">
        <v>156</v>
      </c>
      <c r="V331" s="30"/>
      <c r="W331" s="51" t="str">
        <f t="shared" si="17"/>
        <v>#NAME?</v>
      </c>
      <c r="X331" s="2"/>
      <c r="Y331" s="2"/>
      <c r="Z331" s="2"/>
      <c r="AA331" s="2"/>
      <c r="AB331" s="2"/>
      <c r="AC331" s="2"/>
      <c r="AD331" s="2"/>
      <c r="AE331" s="2"/>
    </row>
    <row r="332" ht="15.75" customHeight="1">
      <c r="A332" s="45">
        <v>102.0</v>
      </c>
      <c r="B332" s="45" t="str">
        <f t="shared" si="14"/>
        <v>#NAME?</v>
      </c>
      <c r="C332" s="45">
        <f t="shared" si="15"/>
        <v>5</v>
      </c>
      <c r="D332" s="75">
        <v>46151.0</v>
      </c>
      <c r="E332" s="75">
        <v>46151.0</v>
      </c>
      <c r="F332" s="45"/>
      <c r="G332" s="45" t="s">
        <v>2056</v>
      </c>
      <c r="H332" s="61" t="s">
        <v>2057</v>
      </c>
      <c r="I332" s="48">
        <v>9900.0</v>
      </c>
      <c r="J332" s="48"/>
      <c r="K332" s="48">
        <f t="shared" si="7"/>
        <v>23631</v>
      </c>
      <c r="L332" s="77" t="s">
        <v>45</v>
      </c>
      <c r="M332" s="77" t="s">
        <v>55</v>
      </c>
      <c r="N332" s="64"/>
      <c r="O332" s="77" t="s">
        <v>60</v>
      </c>
      <c r="P332" s="30" t="s">
        <v>57</v>
      </c>
      <c r="Q332" s="64" t="s">
        <v>58</v>
      </c>
      <c r="R332" s="30"/>
      <c r="S332" s="30"/>
      <c r="T332" s="30"/>
      <c r="U332" s="30" t="s">
        <v>156</v>
      </c>
      <c r="V332" s="30"/>
      <c r="W332" s="51" t="str">
        <f t="shared" si="17"/>
        <v>#NAME?</v>
      </c>
      <c r="X332" s="2"/>
      <c r="Y332" s="2"/>
      <c r="Z332" s="2"/>
      <c r="AA332" s="2"/>
      <c r="AB332" s="2"/>
      <c r="AC332" s="2"/>
      <c r="AD332" s="2"/>
      <c r="AE332" s="2"/>
    </row>
    <row r="333" ht="15.75" customHeight="1">
      <c r="A333" s="45">
        <v>101.0</v>
      </c>
      <c r="B333" s="45" t="str">
        <f t="shared" si="14"/>
        <v>#NAME?</v>
      </c>
      <c r="C333" s="45">
        <f t="shared" si="15"/>
        <v>5</v>
      </c>
      <c r="D333" s="75">
        <v>46151.0</v>
      </c>
      <c r="E333" s="75">
        <v>46151.0</v>
      </c>
      <c r="F333" s="45"/>
      <c r="G333" s="45" t="s">
        <v>2058</v>
      </c>
      <c r="H333" s="61" t="s">
        <v>2059</v>
      </c>
      <c r="I333" s="48">
        <v>39600.0</v>
      </c>
      <c r="J333" s="48"/>
      <c r="K333" s="48">
        <f t="shared" si="7"/>
        <v>33531</v>
      </c>
      <c r="L333" s="77" t="s">
        <v>45</v>
      </c>
      <c r="M333" s="77" t="s">
        <v>55</v>
      </c>
      <c r="N333" s="64"/>
      <c r="O333" s="77" t="s">
        <v>60</v>
      </c>
      <c r="P333" s="30" t="s">
        <v>57</v>
      </c>
      <c r="Q333" s="64" t="s">
        <v>58</v>
      </c>
      <c r="R333" s="30"/>
      <c r="S333" s="30"/>
      <c r="T333" s="30"/>
      <c r="U333" s="30" t="s">
        <v>156</v>
      </c>
      <c r="V333" s="30"/>
      <c r="W333" s="51" t="str">
        <f t="shared" si="17"/>
        <v>#NAME?</v>
      </c>
      <c r="X333" s="2"/>
      <c r="Y333" s="2"/>
      <c r="Z333" s="2"/>
      <c r="AA333" s="2"/>
      <c r="AB333" s="2"/>
      <c r="AC333" s="2"/>
      <c r="AD333" s="2"/>
      <c r="AE333" s="2"/>
    </row>
    <row r="334" ht="15.75" customHeight="1">
      <c r="A334" s="45">
        <v>100.0</v>
      </c>
      <c r="B334" s="45" t="str">
        <f t="shared" si="14"/>
        <v>#NAME?</v>
      </c>
      <c r="C334" s="45">
        <f t="shared" si="15"/>
        <v>5</v>
      </c>
      <c r="D334" s="75">
        <v>46151.0</v>
      </c>
      <c r="E334" s="75">
        <v>46151.0</v>
      </c>
      <c r="F334" s="45"/>
      <c r="G334" s="45" t="s">
        <v>2060</v>
      </c>
      <c r="H334" s="61" t="s">
        <v>2061</v>
      </c>
      <c r="I334" s="48">
        <v>9900.0</v>
      </c>
      <c r="J334" s="48"/>
      <c r="K334" s="48">
        <f t="shared" si="7"/>
        <v>73131</v>
      </c>
      <c r="L334" s="77" t="s">
        <v>45</v>
      </c>
      <c r="M334" s="77" t="s">
        <v>55</v>
      </c>
      <c r="N334" s="64"/>
      <c r="O334" s="77" t="s">
        <v>60</v>
      </c>
      <c r="P334" s="30" t="s">
        <v>57</v>
      </c>
      <c r="Q334" s="64" t="s">
        <v>58</v>
      </c>
      <c r="R334" s="30"/>
      <c r="S334" s="30"/>
      <c r="T334" s="30"/>
      <c r="U334" s="30" t="s">
        <v>156</v>
      </c>
      <c r="V334" s="30"/>
      <c r="W334" s="51" t="str">
        <f t="shared" si="17"/>
        <v>#NAME?</v>
      </c>
      <c r="X334" s="2"/>
      <c r="Y334" s="2"/>
      <c r="Z334" s="2"/>
      <c r="AA334" s="2"/>
      <c r="AB334" s="2"/>
      <c r="AC334" s="2"/>
      <c r="AD334" s="2"/>
      <c r="AE334" s="2"/>
    </row>
    <row r="335" ht="15.75" customHeight="1">
      <c r="A335" s="45">
        <v>99.0</v>
      </c>
      <c r="B335" s="45" t="str">
        <f t="shared" si="14"/>
        <v>#NAME?</v>
      </c>
      <c r="C335" s="45">
        <f t="shared" si="15"/>
        <v>5</v>
      </c>
      <c r="D335" s="75">
        <v>46149.0</v>
      </c>
      <c r="E335" s="75">
        <v>46149.0</v>
      </c>
      <c r="F335" s="45"/>
      <c r="G335" s="45" t="s">
        <v>2062</v>
      </c>
      <c r="H335" s="61" t="s">
        <v>2063</v>
      </c>
      <c r="I335" s="48">
        <v>1567.0</v>
      </c>
      <c r="J335" s="48"/>
      <c r="K335" s="48">
        <f t="shared" si="7"/>
        <v>83031</v>
      </c>
      <c r="L335" s="77" t="s">
        <v>45</v>
      </c>
      <c r="M335" s="77" t="s">
        <v>47</v>
      </c>
      <c r="N335" s="64"/>
      <c r="O335" s="77" t="s">
        <v>60</v>
      </c>
      <c r="P335" s="30" t="s">
        <v>47</v>
      </c>
      <c r="Q335" s="64" t="s">
        <v>50</v>
      </c>
      <c r="R335" s="30"/>
      <c r="S335" s="30"/>
      <c r="T335" s="30"/>
      <c r="U335" s="30" t="s">
        <v>75</v>
      </c>
      <c r="V335" s="30"/>
      <c r="W335" s="51" t="str">
        <f t="shared" si="17"/>
        <v>#NAME?</v>
      </c>
      <c r="X335" s="2"/>
      <c r="Y335" s="2"/>
      <c r="Z335" s="2"/>
      <c r="AA335" s="2"/>
      <c r="AB335" s="2"/>
      <c r="AC335" s="2"/>
      <c r="AD335" s="2"/>
      <c r="AE335" s="2"/>
    </row>
    <row r="336" ht="15.75" customHeight="1">
      <c r="A336" s="45">
        <v>98.0</v>
      </c>
      <c r="B336" s="45" t="str">
        <f t="shared" si="14"/>
        <v>#NAME?</v>
      </c>
      <c r="C336" s="45">
        <f t="shared" si="15"/>
        <v>5</v>
      </c>
      <c r="D336" s="75">
        <v>46149.0</v>
      </c>
      <c r="E336" s="75">
        <v>46149.0</v>
      </c>
      <c r="F336" s="45"/>
      <c r="G336" s="45" t="s">
        <v>2064</v>
      </c>
      <c r="H336" s="61" t="s">
        <v>2065</v>
      </c>
      <c r="I336" s="48">
        <v>300000.0</v>
      </c>
      <c r="J336" s="48"/>
      <c r="K336" s="48">
        <f t="shared" si="7"/>
        <v>84598</v>
      </c>
      <c r="L336" s="77" t="s">
        <v>45</v>
      </c>
      <c r="M336" s="77" t="s">
        <v>55</v>
      </c>
      <c r="N336" s="64"/>
      <c r="O336" s="77" t="s">
        <v>60</v>
      </c>
      <c r="P336" s="30" t="s">
        <v>57</v>
      </c>
      <c r="Q336" s="64" t="s">
        <v>58</v>
      </c>
      <c r="R336" s="30"/>
      <c r="S336" s="30"/>
      <c r="T336" s="30"/>
      <c r="U336" s="30" t="s">
        <v>156</v>
      </c>
      <c r="V336" s="30"/>
      <c r="W336" s="51" t="str">
        <f t="shared" si="17"/>
        <v>#NAME?</v>
      </c>
      <c r="X336" s="2"/>
      <c r="Y336" s="2"/>
      <c r="Z336" s="2"/>
      <c r="AA336" s="2"/>
      <c r="AB336" s="2"/>
      <c r="AC336" s="2"/>
      <c r="AD336" s="2"/>
      <c r="AE336" s="2"/>
    </row>
    <row r="337" ht="15.75" customHeight="1">
      <c r="A337" s="45">
        <v>97.0</v>
      </c>
      <c r="B337" s="45" t="str">
        <f t="shared" si="14"/>
        <v>#NAME?</v>
      </c>
      <c r="C337" s="45">
        <f t="shared" si="15"/>
        <v>5</v>
      </c>
      <c r="D337" s="75">
        <v>46149.0</v>
      </c>
      <c r="E337" s="75">
        <v>46149.0</v>
      </c>
      <c r="F337" s="45"/>
      <c r="G337" s="45" t="s">
        <v>2066</v>
      </c>
      <c r="H337" s="61" t="s">
        <v>2067</v>
      </c>
      <c r="I337" s="48">
        <v>283578.0</v>
      </c>
      <c r="J337" s="48"/>
      <c r="K337" s="48">
        <f t="shared" si="7"/>
        <v>384598</v>
      </c>
      <c r="L337" s="77" t="s">
        <v>45</v>
      </c>
      <c r="M337" s="77" t="s">
        <v>67</v>
      </c>
      <c r="N337" s="64"/>
      <c r="O337" s="77" t="s">
        <v>60</v>
      </c>
      <c r="P337" s="30" t="s">
        <v>57</v>
      </c>
      <c r="Q337" s="64" t="s">
        <v>58</v>
      </c>
      <c r="R337" s="30"/>
      <c r="S337" s="30"/>
      <c r="T337" s="30"/>
      <c r="U337" s="30" t="s">
        <v>499</v>
      </c>
      <c r="V337" s="30"/>
      <c r="W337" s="51" t="str">
        <f t="shared" si="17"/>
        <v>#NAME?</v>
      </c>
      <c r="X337" s="2"/>
      <c r="Y337" s="2"/>
      <c r="Z337" s="2"/>
      <c r="AA337" s="2"/>
      <c r="AB337" s="2"/>
      <c r="AC337" s="2"/>
      <c r="AD337" s="2"/>
      <c r="AE337" s="2"/>
    </row>
    <row r="338" ht="15.75" customHeight="1">
      <c r="A338" s="45">
        <v>96.0</v>
      </c>
      <c r="B338" s="45" t="str">
        <f t="shared" si="14"/>
        <v>#NAME?</v>
      </c>
      <c r="C338" s="45">
        <f t="shared" si="15"/>
        <v>5</v>
      </c>
      <c r="D338" s="75">
        <v>46149.0</v>
      </c>
      <c r="E338" s="75">
        <v>46149.0</v>
      </c>
      <c r="F338" s="45"/>
      <c r="G338" s="45" t="s">
        <v>2068</v>
      </c>
      <c r="H338" s="61" t="s">
        <v>2069</v>
      </c>
      <c r="I338" s="48">
        <v>200000.0</v>
      </c>
      <c r="J338" s="48"/>
      <c r="K338" s="48">
        <f t="shared" si="7"/>
        <v>668176</v>
      </c>
      <c r="L338" s="77" t="s">
        <v>45</v>
      </c>
      <c r="M338" s="77" t="s">
        <v>67</v>
      </c>
      <c r="N338" s="64"/>
      <c r="O338" s="77" t="s">
        <v>60</v>
      </c>
      <c r="P338" s="30" t="s">
        <v>57</v>
      </c>
      <c r="Q338" s="64" t="s">
        <v>58</v>
      </c>
      <c r="R338" s="30"/>
      <c r="S338" s="30"/>
      <c r="T338" s="30"/>
      <c r="U338" s="30" t="s">
        <v>499</v>
      </c>
      <c r="V338" s="30"/>
      <c r="W338" s="51" t="str">
        <f t="shared" si="17"/>
        <v>#NAME?</v>
      </c>
      <c r="X338" s="2"/>
      <c r="Y338" s="2"/>
      <c r="Z338" s="2"/>
      <c r="AA338" s="2"/>
      <c r="AB338" s="2"/>
      <c r="AC338" s="2"/>
      <c r="AD338" s="2"/>
      <c r="AE338" s="2"/>
    </row>
    <row r="339" ht="15.75" customHeight="1">
      <c r="A339" s="45">
        <v>95.0</v>
      </c>
      <c r="B339" s="45" t="str">
        <f t="shared" si="14"/>
        <v>#NAME?</v>
      </c>
      <c r="C339" s="45">
        <f t="shared" si="15"/>
        <v>5</v>
      </c>
      <c r="D339" s="75">
        <v>46149.0</v>
      </c>
      <c r="E339" s="75">
        <v>46149.0</v>
      </c>
      <c r="F339" s="45"/>
      <c r="G339" s="45" t="s">
        <v>2070</v>
      </c>
      <c r="H339" s="61" t="s">
        <v>2071</v>
      </c>
      <c r="I339" s="48">
        <v>80000.0</v>
      </c>
      <c r="J339" s="48"/>
      <c r="K339" s="48">
        <f t="shared" si="7"/>
        <v>868176</v>
      </c>
      <c r="L339" s="77" t="s">
        <v>45</v>
      </c>
      <c r="M339" s="77" t="s">
        <v>55</v>
      </c>
      <c r="N339" s="64"/>
      <c r="O339" s="77" t="s">
        <v>60</v>
      </c>
      <c r="P339" s="30" t="s">
        <v>57</v>
      </c>
      <c r="Q339" s="64" t="s">
        <v>58</v>
      </c>
      <c r="R339" s="30"/>
      <c r="S339" s="30"/>
      <c r="T339" s="30"/>
      <c r="U339" s="30" t="s">
        <v>156</v>
      </c>
      <c r="V339" s="30"/>
      <c r="W339" s="51" t="str">
        <f t="shared" si="17"/>
        <v>#NAME?</v>
      </c>
      <c r="X339" s="2"/>
      <c r="Y339" s="2"/>
      <c r="Z339" s="2"/>
      <c r="AA339" s="2"/>
      <c r="AB339" s="2"/>
      <c r="AC339" s="2"/>
      <c r="AD339" s="2"/>
      <c r="AE339" s="2"/>
    </row>
    <row r="340" ht="15.75" customHeight="1">
      <c r="A340" s="45">
        <v>94.0</v>
      </c>
      <c r="B340" s="45" t="str">
        <f t="shared" si="14"/>
        <v>#NAME?</v>
      </c>
      <c r="C340" s="45">
        <f t="shared" si="15"/>
        <v>5</v>
      </c>
      <c r="D340" s="75">
        <v>46149.0</v>
      </c>
      <c r="E340" s="75">
        <v>46149.0</v>
      </c>
      <c r="F340" s="45"/>
      <c r="G340" s="45" t="s">
        <v>392</v>
      </c>
      <c r="H340" s="61" t="s">
        <v>413</v>
      </c>
      <c r="I340" s="48"/>
      <c r="J340" s="48">
        <v>900000.0</v>
      </c>
      <c r="K340" s="48">
        <f t="shared" si="7"/>
        <v>948176</v>
      </c>
      <c r="L340" s="77" t="s">
        <v>45</v>
      </c>
      <c r="M340" s="77" t="s">
        <v>47</v>
      </c>
      <c r="N340" s="64"/>
      <c r="O340" s="77" t="s">
        <v>60</v>
      </c>
      <c r="P340" s="30" t="s">
        <v>49</v>
      </c>
      <c r="Q340" s="64" t="s">
        <v>50</v>
      </c>
      <c r="R340" s="30"/>
      <c r="S340" s="30"/>
      <c r="T340" s="30"/>
      <c r="U340" s="30" t="s">
        <v>75</v>
      </c>
      <c r="V340" s="30"/>
      <c r="W340" s="51" t="str">
        <f t="shared" si="17"/>
        <v>#NAME?</v>
      </c>
      <c r="X340" s="2"/>
      <c r="Y340" s="2"/>
      <c r="Z340" s="2"/>
      <c r="AA340" s="2"/>
      <c r="AB340" s="2"/>
      <c r="AC340" s="2"/>
      <c r="AD340" s="2"/>
      <c r="AE340" s="2"/>
    </row>
    <row r="341" ht="15.75" customHeight="1">
      <c r="A341" s="45">
        <v>93.0</v>
      </c>
      <c r="B341" s="45" t="str">
        <f t="shared" si="14"/>
        <v>#NAME?</v>
      </c>
      <c r="C341" s="45">
        <f t="shared" si="15"/>
        <v>5</v>
      </c>
      <c r="D341" s="75">
        <v>46144.0</v>
      </c>
      <c r="E341" s="75">
        <v>46144.0</v>
      </c>
      <c r="F341" s="45"/>
      <c r="G341" s="45" t="s">
        <v>2072</v>
      </c>
      <c r="H341" s="61" t="s">
        <v>2073</v>
      </c>
      <c r="I341" s="48">
        <v>3500.0</v>
      </c>
      <c r="J341" s="48"/>
      <c r="K341" s="48">
        <f t="shared" si="7"/>
        <v>48176</v>
      </c>
      <c r="L341" s="77" t="s">
        <v>45</v>
      </c>
      <c r="M341" s="77" t="s">
        <v>67</v>
      </c>
      <c r="N341" s="64"/>
      <c r="O341" s="77" t="s">
        <v>60</v>
      </c>
      <c r="P341" s="30" t="s">
        <v>57</v>
      </c>
      <c r="Q341" s="64" t="s">
        <v>58</v>
      </c>
      <c r="R341" s="30"/>
      <c r="S341" s="30"/>
      <c r="T341" s="30"/>
      <c r="U341" s="30" t="s">
        <v>499</v>
      </c>
      <c r="V341" s="30"/>
      <c r="W341" s="51" t="str">
        <f t="shared" si="17"/>
        <v>#NAME?</v>
      </c>
      <c r="X341" s="2"/>
      <c r="Y341" s="2"/>
      <c r="Z341" s="2"/>
      <c r="AA341" s="2"/>
      <c r="AB341" s="2"/>
      <c r="AC341" s="2"/>
      <c r="AD341" s="2"/>
      <c r="AE341" s="2"/>
    </row>
    <row r="342" ht="15.75" customHeight="1">
      <c r="A342" s="45">
        <v>92.0</v>
      </c>
      <c r="B342" s="45" t="str">
        <f t="shared" si="14"/>
        <v>#NAME?</v>
      </c>
      <c r="C342" s="45">
        <f t="shared" si="15"/>
        <v>5</v>
      </c>
      <c r="D342" s="75">
        <v>46144.0</v>
      </c>
      <c r="E342" s="75">
        <v>46144.0</v>
      </c>
      <c r="F342" s="45"/>
      <c r="G342" s="45" t="s">
        <v>2074</v>
      </c>
      <c r="H342" s="61" t="s">
        <v>2075</v>
      </c>
      <c r="I342" s="48">
        <v>9900.0</v>
      </c>
      <c r="J342" s="48"/>
      <c r="K342" s="144">
        <f t="shared" si="7"/>
        <v>51676</v>
      </c>
      <c r="L342" s="77" t="s">
        <v>45</v>
      </c>
      <c r="M342" s="77" t="s">
        <v>55</v>
      </c>
      <c r="N342" s="64"/>
      <c r="O342" s="77" t="s">
        <v>60</v>
      </c>
      <c r="P342" s="30" t="s">
        <v>57</v>
      </c>
      <c r="Q342" s="64" t="s">
        <v>58</v>
      </c>
      <c r="R342" s="30"/>
      <c r="S342" s="30"/>
      <c r="T342" s="30"/>
      <c r="U342" s="30" t="s">
        <v>156</v>
      </c>
      <c r="V342" s="30"/>
      <c r="W342" s="51" t="str">
        <f t="shared" si="17"/>
        <v>#NAME?</v>
      </c>
      <c r="X342" s="2"/>
      <c r="Y342" s="2"/>
      <c r="Z342" s="2"/>
      <c r="AA342" s="2"/>
      <c r="AB342" s="2"/>
      <c r="AC342" s="2"/>
      <c r="AD342" s="2"/>
      <c r="AE342" s="2"/>
    </row>
    <row r="343" ht="15.75" customHeight="1">
      <c r="A343" s="45">
        <v>91.0</v>
      </c>
      <c r="B343" s="45" t="str">
        <f t="shared" si="14"/>
        <v>#NAME?</v>
      </c>
      <c r="C343" s="45">
        <f t="shared" si="15"/>
        <v>5</v>
      </c>
      <c r="D343" s="75">
        <v>46144.0</v>
      </c>
      <c r="E343" s="75">
        <v>46144.0</v>
      </c>
      <c r="F343" s="45"/>
      <c r="G343" s="45" t="s">
        <v>2076</v>
      </c>
      <c r="H343" s="61" t="s">
        <v>2077</v>
      </c>
      <c r="I343" s="48">
        <v>14850.0</v>
      </c>
      <c r="J343" s="48"/>
      <c r="K343" s="48">
        <f t="shared" si="7"/>
        <v>61576</v>
      </c>
      <c r="L343" s="77" t="s">
        <v>45</v>
      </c>
      <c r="M343" s="77" t="s">
        <v>55</v>
      </c>
      <c r="N343" s="64"/>
      <c r="O343" s="77" t="s">
        <v>60</v>
      </c>
      <c r="P343" s="30" t="s">
        <v>57</v>
      </c>
      <c r="Q343" s="64" t="s">
        <v>58</v>
      </c>
      <c r="R343" s="30"/>
      <c r="S343" s="30"/>
      <c r="T343" s="30"/>
      <c r="U343" s="30" t="s">
        <v>156</v>
      </c>
      <c r="V343" s="30"/>
      <c r="W343" s="51" t="str">
        <f t="shared" si="17"/>
        <v>#NAME?</v>
      </c>
      <c r="X343" s="2"/>
      <c r="Y343" s="2"/>
      <c r="Z343" s="2"/>
      <c r="AA343" s="2"/>
      <c r="AB343" s="2"/>
      <c r="AC343" s="2"/>
      <c r="AD343" s="2"/>
      <c r="AE343" s="2"/>
    </row>
    <row r="344" ht="15.75" customHeight="1">
      <c r="A344" s="45">
        <v>90.0</v>
      </c>
      <c r="B344" s="45" t="str">
        <f t="shared" si="14"/>
        <v>#NAME?</v>
      </c>
      <c r="C344" s="45">
        <f t="shared" si="15"/>
        <v>5</v>
      </c>
      <c r="D344" s="75">
        <v>46144.0</v>
      </c>
      <c r="E344" s="75">
        <v>46144.0</v>
      </c>
      <c r="F344" s="45"/>
      <c r="G344" s="45" t="s">
        <v>2078</v>
      </c>
      <c r="H344" s="61" t="s">
        <v>2079</v>
      </c>
      <c r="I344" s="48">
        <v>39600.0</v>
      </c>
      <c r="J344" s="48"/>
      <c r="K344" s="48">
        <f t="shared" si="7"/>
        <v>76426</v>
      </c>
      <c r="L344" s="77" t="s">
        <v>45</v>
      </c>
      <c r="M344" s="77" t="s">
        <v>55</v>
      </c>
      <c r="N344" s="64"/>
      <c r="O344" s="77" t="s">
        <v>60</v>
      </c>
      <c r="P344" s="30" t="s">
        <v>57</v>
      </c>
      <c r="Q344" s="64" t="s">
        <v>58</v>
      </c>
      <c r="R344" s="30"/>
      <c r="S344" s="30"/>
      <c r="T344" s="30"/>
      <c r="U344" s="30" t="s">
        <v>156</v>
      </c>
      <c r="V344" s="30"/>
      <c r="W344" s="51" t="str">
        <f t="shared" si="17"/>
        <v>#NAME?</v>
      </c>
      <c r="X344" s="2"/>
      <c r="Y344" s="2"/>
      <c r="Z344" s="2"/>
      <c r="AA344" s="2"/>
      <c r="AB344" s="2"/>
      <c r="AC344" s="2"/>
      <c r="AD344" s="2"/>
      <c r="AE344" s="2"/>
    </row>
    <row r="345" ht="15.75" customHeight="1">
      <c r="A345" s="45">
        <v>89.0</v>
      </c>
      <c r="B345" s="45" t="str">
        <f t="shared" si="14"/>
        <v>#NAME?</v>
      </c>
      <c r="C345" s="45">
        <f t="shared" si="15"/>
        <v>5</v>
      </c>
      <c r="D345" s="75">
        <v>46144.0</v>
      </c>
      <c r="E345" s="75">
        <v>46144.0</v>
      </c>
      <c r="F345" s="45"/>
      <c r="G345" s="45" t="s">
        <v>2080</v>
      </c>
      <c r="H345" s="61" t="s">
        <v>2081</v>
      </c>
      <c r="I345" s="48">
        <v>2970.0</v>
      </c>
      <c r="J345" s="48"/>
      <c r="K345" s="48">
        <f t="shared" si="7"/>
        <v>116026</v>
      </c>
      <c r="L345" s="77" t="s">
        <v>45</v>
      </c>
      <c r="M345" s="77" t="s">
        <v>55</v>
      </c>
      <c r="N345" s="64"/>
      <c r="O345" s="77" t="s">
        <v>60</v>
      </c>
      <c r="P345" s="30" t="s">
        <v>57</v>
      </c>
      <c r="Q345" s="64" t="s">
        <v>58</v>
      </c>
      <c r="R345" s="30"/>
      <c r="S345" s="30"/>
      <c r="T345" s="30"/>
      <c r="U345" s="30" t="s">
        <v>156</v>
      </c>
      <c r="V345" s="30"/>
      <c r="W345" s="51" t="str">
        <f t="shared" si="17"/>
        <v>#NAME?</v>
      </c>
      <c r="X345" s="2"/>
      <c r="Y345" s="2"/>
      <c r="Z345" s="2"/>
      <c r="AA345" s="2"/>
      <c r="AB345" s="2"/>
      <c r="AC345" s="2"/>
      <c r="AD345" s="2"/>
      <c r="AE345" s="2"/>
    </row>
    <row r="346" ht="15.75" customHeight="1">
      <c r="A346" s="45">
        <v>88.0</v>
      </c>
      <c r="B346" s="45" t="str">
        <f t="shared" si="14"/>
        <v>#NAME?</v>
      </c>
      <c r="C346" s="45">
        <f t="shared" si="15"/>
        <v>5</v>
      </c>
      <c r="D346" s="75">
        <v>46144.0</v>
      </c>
      <c r="E346" s="75">
        <v>46144.0</v>
      </c>
      <c r="F346" s="45"/>
      <c r="G346" s="45" t="s">
        <v>392</v>
      </c>
      <c r="H346" s="61" t="s">
        <v>454</v>
      </c>
      <c r="I346" s="48"/>
      <c r="J346" s="48">
        <v>100000.0</v>
      </c>
      <c r="K346" s="48">
        <f t="shared" si="7"/>
        <v>118996</v>
      </c>
      <c r="L346" s="77" t="s">
        <v>45</v>
      </c>
      <c r="M346" s="77" t="s">
        <v>47</v>
      </c>
      <c r="N346" s="64"/>
      <c r="O346" s="77" t="s">
        <v>60</v>
      </c>
      <c r="P346" s="30" t="s">
        <v>49</v>
      </c>
      <c r="Q346" s="64" t="s">
        <v>50</v>
      </c>
      <c r="R346" s="30"/>
      <c r="S346" s="30"/>
      <c r="T346" s="30"/>
      <c r="U346" s="30" t="s">
        <v>75</v>
      </c>
      <c r="V346" s="30"/>
      <c r="W346" s="51" t="str">
        <f t="shared" si="17"/>
        <v>#NAME?</v>
      </c>
      <c r="X346" s="2"/>
      <c r="Y346" s="2"/>
      <c r="Z346" s="2"/>
      <c r="AA346" s="2"/>
      <c r="AB346" s="2"/>
      <c r="AC346" s="2"/>
      <c r="AD346" s="2"/>
      <c r="AE346" s="2"/>
    </row>
    <row r="347" ht="15.75" customHeight="1">
      <c r="A347" s="45">
        <v>86.0</v>
      </c>
      <c r="B347" s="45" t="str">
        <f t="shared" si="14"/>
        <v>#NAME?</v>
      </c>
      <c r="C347" s="45">
        <f t="shared" si="15"/>
        <v>4</v>
      </c>
      <c r="D347" s="75">
        <v>46141.0</v>
      </c>
      <c r="E347" s="75">
        <v>46141.0</v>
      </c>
      <c r="F347" s="45"/>
      <c r="G347" s="45" t="s">
        <v>2082</v>
      </c>
      <c r="H347" s="61" t="s">
        <v>2083</v>
      </c>
      <c r="I347" s="48">
        <v>17500.0</v>
      </c>
      <c r="J347" s="48"/>
      <c r="K347" s="145">
        <f t="shared" si="7"/>
        <v>18996</v>
      </c>
      <c r="L347" s="77" t="s">
        <v>45</v>
      </c>
      <c r="M347" s="77" t="s">
        <v>67</v>
      </c>
      <c r="N347" s="64"/>
      <c r="O347" s="77" t="s">
        <v>60</v>
      </c>
      <c r="P347" s="30" t="s">
        <v>57</v>
      </c>
      <c r="Q347" s="64" t="s">
        <v>58</v>
      </c>
      <c r="R347" s="30"/>
      <c r="S347" s="30"/>
      <c r="T347" s="30"/>
      <c r="U347" s="30" t="s">
        <v>2084</v>
      </c>
      <c r="V347" s="30"/>
      <c r="W347" s="51" t="str">
        <f t="shared" si="17"/>
        <v>#NAME?</v>
      </c>
      <c r="X347" s="2"/>
      <c r="Y347" s="2"/>
      <c r="Z347" s="2"/>
      <c r="AA347" s="2"/>
      <c r="AB347" s="2"/>
      <c r="AC347" s="2"/>
      <c r="AD347" s="2"/>
      <c r="AE347" s="2"/>
    </row>
    <row r="348" ht="15.75" customHeight="1">
      <c r="A348" s="45">
        <v>85.0</v>
      </c>
      <c r="B348" s="45" t="str">
        <f t="shared" si="14"/>
        <v>#NAME?</v>
      </c>
      <c r="C348" s="45">
        <f t="shared" si="15"/>
        <v>4</v>
      </c>
      <c r="D348" s="75">
        <v>46140.0</v>
      </c>
      <c r="E348" s="75">
        <v>46140.0</v>
      </c>
      <c r="F348" s="45"/>
      <c r="G348" s="45" t="s">
        <v>2085</v>
      </c>
      <c r="H348" s="61" t="s">
        <v>2086</v>
      </c>
      <c r="I348" s="48">
        <v>14850.0</v>
      </c>
      <c r="J348" s="48"/>
      <c r="K348" s="48">
        <f t="shared" si="7"/>
        <v>36496</v>
      </c>
      <c r="L348" s="77" t="s">
        <v>45</v>
      </c>
      <c r="M348" s="77" t="s">
        <v>55</v>
      </c>
      <c r="N348" s="64"/>
      <c r="O348" s="77" t="s">
        <v>60</v>
      </c>
      <c r="P348" s="30" t="s">
        <v>57</v>
      </c>
      <c r="Q348" s="64" t="s">
        <v>58</v>
      </c>
      <c r="R348" s="30"/>
      <c r="S348" s="30"/>
      <c r="T348" s="30"/>
      <c r="U348" s="30" t="s">
        <v>156</v>
      </c>
      <c r="V348" s="30"/>
      <c r="W348" s="51" t="str">
        <f t="shared" si="17"/>
        <v>#NAME?</v>
      </c>
      <c r="X348" s="2"/>
      <c r="Y348" s="2"/>
      <c r="Z348" s="2"/>
      <c r="AA348" s="2"/>
      <c r="AB348" s="2"/>
      <c r="AC348" s="2"/>
      <c r="AD348" s="2"/>
      <c r="AE348" s="2"/>
    </row>
    <row r="349" ht="15.75" customHeight="1">
      <c r="A349" s="45">
        <v>84.0</v>
      </c>
      <c r="B349" s="45" t="str">
        <f t="shared" si="14"/>
        <v>#NAME?</v>
      </c>
      <c r="C349" s="45">
        <f t="shared" si="15"/>
        <v>4</v>
      </c>
      <c r="D349" s="75">
        <v>46140.0</v>
      </c>
      <c r="E349" s="75">
        <v>46140.0</v>
      </c>
      <c r="F349" s="45"/>
      <c r="G349" s="45" t="s">
        <v>2087</v>
      </c>
      <c r="H349" s="61" t="s">
        <v>2088</v>
      </c>
      <c r="I349" s="48">
        <v>9900.0</v>
      </c>
      <c r="J349" s="48"/>
      <c r="K349" s="48">
        <f t="shared" si="7"/>
        <v>51346</v>
      </c>
      <c r="L349" s="77" t="s">
        <v>45</v>
      </c>
      <c r="M349" s="77" t="s">
        <v>55</v>
      </c>
      <c r="N349" s="64"/>
      <c r="O349" s="77" t="s">
        <v>60</v>
      </c>
      <c r="P349" s="30" t="s">
        <v>57</v>
      </c>
      <c r="Q349" s="64" t="s">
        <v>58</v>
      </c>
      <c r="R349" s="30"/>
      <c r="S349" s="30"/>
      <c r="T349" s="30"/>
      <c r="U349" s="30" t="s">
        <v>156</v>
      </c>
      <c r="V349" s="30"/>
      <c r="W349" s="51" t="str">
        <f t="shared" si="17"/>
        <v>#NAME?</v>
      </c>
      <c r="X349" s="2"/>
      <c r="Y349" s="2"/>
      <c r="Z349" s="2"/>
      <c r="AA349" s="2"/>
      <c r="AB349" s="2"/>
      <c r="AC349" s="2"/>
      <c r="AD349" s="2"/>
      <c r="AE349" s="2"/>
    </row>
    <row r="350" ht="15.75" customHeight="1">
      <c r="A350" s="45">
        <v>83.0</v>
      </c>
      <c r="B350" s="45" t="str">
        <f t="shared" si="14"/>
        <v>#NAME?</v>
      </c>
      <c r="C350" s="45">
        <f t="shared" si="15"/>
        <v>4</v>
      </c>
      <c r="D350" s="75">
        <v>46140.0</v>
      </c>
      <c r="E350" s="75">
        <v>46140.0</v>
      </c>
      <c r="F350" s="45"/>
      <c r="G350" s="45" t="s">
        <v>2089</v>
      </c>
      <c r="H350" s="61" t="s">
        <v>2090</v>
      </c>
      <c r="I350" s="48">
        <v>19800.0</v>
      </c>
      <c r="J350" s="48"/>
      <c r="K350" s="48">
        <f t="shared" si="7"/>
        <v>61246</v>
      </c>
      <c r="L350" s="77" t="s">
        <v>45</v>
      </c>
      <c r="M350" s="77" t="s">
        <v>55</v>
      </c>
      <c r="N350" s="64"/>
      <c r="O350" s="77" t="s">
        <v>60</v>
      </c>
      <c r="P350" s="30" t="s">
        <v>57</v>
      </c>
      <c r="Q350" s="64" t="s">
        <v>58</v>
      </c>
      <c r="R350" s="30"/>
      <c r="S350" s="30"/>
      <c r="T350" s="30"/>
      <c r="U350" s="30" t="s">
        <v>156</v>
      </c>
      <c r="V350" s="30"/>
      <c r="W350" s="51" t="str">
        <f t="shared" si="17"/>
        <v>#NAME?</v>
      </c>
      <c r="X350" s="2"/>
      <c r="Y350" s="2"/>
      <c r="Z350" s="2"/>
      <c r="AA350" s="2"/>
      <c r="AB350" s="2"/>
      <c r="AC350" s="2"/>
      <c r="AD350" s="2"/>
      <c r="AE350" s="2"/>
    </row>
    <row r="351" ht="15.75" customHeight="1">
      <c r="A351" s="45">
        <v>82.0</v>
      </c>
      <c r="B351" s="45" t="str">
        <f t="shared" si="14"/>
        <v>#NAME?</v>
      </c>
      <c r="C351" s="45">
        <f t="shared" si="15"/>
        <v>4</v>
      </c>
      <c r="D351" s="75">
        <v>46140.0</v>
      </c>
      <c r="E351" s="75">
        <v>46140.0</v>
      </c>
      <c r="F351" s="45"/>
      <c r="G351" s="45" t="s">
        <v>2091</v>
      </c>
      <c r="H351" s="61" t="s">
        <v>2092</v>
      </c>
      <c r="I351" s="48">
        <v>39600.0</v>
      </c>
      <c r="J351" s="48"/>
      <c r="K351" s="48">
        <f t="shared" si="7"/>
        <v>81046</v>
      </c>
      <c r="L351" s="77" t="s">
        <v>45</v>
      </c>
      <c r="M351" s="77" t="s">
        <v>55</v>
      </c>
      <c r="N351" s="64"/>
      <c r="O351" s="77" t="s">
        <v>60</v>
      </c>
      <c r="P351" s="30" t="s">
        <v>57</v>
      </c>
      <c r="Q351" s="64" t="s">
        <v>58</v>
      </c>
      <c r="R351" s="30"/>
      <c r="S351" s="30"/>
      <c r="T351" s="30"/>
      <c r="U351" s="30" t="s">
        <v>156</v>
      </c>
      <c r="V351" s="30"/>
      <c r="W351" s="51" t="str">
        <f t="shared" si="17"/>
        <v>#NAME?</v>
      </c>
      <c r="X351" s="2"/>
      <c r="Y351" s="2"/>
      <c r="Z351" s="2"/>
      <c r="AA351" s="2"/>
      <c r="AB351" s="2"/>
      <c r="AC351" s="2"/>
      <c r="AD351" s="2"/>
      <c r="AE351" s="2"/>
    </row>
    <row r="352" ht="15.75" customHeight="1">
      <c r="A352" s="45">
        <v>81.0</v>
      </c>
      <c r="B352" s="45" t="str">
        <f t="shared" si="14"/>
        <v>#NAME?</v>
      </c>
      <c r="C352" s="45">
        <f t="shared" si="15"/>
        <v>4</v>
      </c>
      <c r="D352" s="75">
        <v>46140.0</v>
      </c>
      <c r="E352" s="75">
        <v>46140.0</v>
      </c>
      <c r="F352" s="45"/>
      <c r="G352" s="45" t="s">
        <v>392</v>
      </c>
      <c r="H352" s="61" t="s">
        <v>487</v>
      </c>
      <c r="I352" s="48"/>
      <c r="J352" s="48">
        <v>70000.0</v>
      </c>
      <c r="K352" s="48">
        <f t="shared" si="7"/>
        <v>120646</v>
      </c>
      <c r="L352" s="77" t="s">
        <v>45</v>
      </c>
      <c r="M352" s="77" t="s">
        <v>47</v>
      </c>
      <c r="N352" s="64"/>
      <c r="O352" s="77" t="s">
        <v>60</v>
      </c>
      <c r="P352" s="30" t="s">
        <v>49</v>
      </c>
      <c r="Q352" s="64" t="s">
        <v>50</v>
      </c>
      <c r="R352" s="30"/>
      <c r="S352" s="30"/>
      <c r="T352" s="30"/>
      <c r="U352" s="30" t="s">
        <v>75</v>
      </c>
      <c r="V352" s="30"/>
      <c r="W352" s="51" t="str">
        <f t="shared" si="17"/>
        <v>#NAME?</v>
      </c>
      <c r="X352" s="2"/>
      <c r="Y352" s="2"/>
      <c r="Z352" s="2"/>
      <c r="AA352" s="2"/>
      <c r="AB352" s="2"/>
      <c r="AC352" s="2"/>
      <c r="AD352" s="2"/>
      <c r="AE352" s="2"/>
    </row>
    <row r="353" ht="15.75" customHeight="1">
      <c r="A353" s="45">
        <v>80.0</v>
      </c>
      <c r="B353" s="45" t="str">
        <f t="shared" si="14"/>
        <v>#NAME?</v>
      </c>
      <c r="C353" s="45">
        <f t="shared" si="15"/>
        <v>4</v>
      </c>
      <c r="D353" s="75">
        <v>46136.0</v>
      </c>
      <c r="E353" s="75">
        <v>46136.0</v>
      </c>
      <c r="F353" s="45"/>
      <c r="G353" s="45" t="s">
        <v>2093</v>
      </c>
      <c r="H353" s="61" t="s">
        <v>2094</v>
      </c>
      <c r="I353" s="48">
        <v>400000.0</v>
      </c>
      <c r="J353" s="48"/>
      <c r="K353" s="48">
        <f t="shared" si="7"/>
        <v>50646</v>
      </c>
      <c r="L353" s="77" t="s">
        <v>45</v>
      </c>
      <c r="M353" s="77" t="s">
        <v>55</v>
      </c>
      <c r="N353" s="64"/>
      <c r="O353" s="77" t="s">
        <v>60</v>
      </c>
      <c r="P353" s="30" t="s">
        <v>57</v>
      </c>
      <c r="Q353" s="64" t="s">
        <v>58</v>
      </c>
      <c r="R353" s="30"/>
      <c r="S353" s="30"/>
      <c r="T353" s="30"/>
      <c r="U353" s="30" t="s">
        <v>156</v>
      </c>
      <c r="V353" s="30"/>
      <c r="W353" s="51" t="str">
        <f t="shared" si="17"/>
        <v>#NAME?</v>
      </c>
      <c r="X353" s="2"/>
      <c r="Y353" s="2"/>
      <c r="Z353" s="2"/>
      <c r="AA353" s="2"/>
      <c r="AB353" s="2"/>
      <c r="AC353" s="2"/>
      <c r="AD353" s="2"/>
      <c r="AE353" s="2"/>
    </row>
    <row r="354" ht="15.75" customHeight="1">
      <c r="A354" s="45">
        <v>79.0</v>
      </c>
      <c r="B354" s="45" t="str">
        <f t="shared" si="14"/>
        <v>#NAME?</v>
      </c>
      <c r="C354" s="45">
        <f t="shared" si="15"/>
        <v>4</v>
      </c>
      <c r="D354" s="75">
        <v>46136.0</v>
      </c>
      <c r="E354" s="75">
        <v>46136.0</v>
      </c>
      <c r="F354" s="45"/>
      <c r="G354" s="45" t="s">
        <v>2095</v>
      </c>
      <c r="H354" s="61" t="s">
        <v>2096</v>
      </c>
      <c r="I354" s="48">
        <v>300000.0</v>
      </c>
      <c r="J354" s="48"/>
      <c r="K354" s="48">
        <f t="shared" si="7"/>
        <v>450646</v>
      </c>
      <c r="L354" s="77" t="s">
        <v>45</v>
      </c>
      <c r="M354" s="77" t="s">
        <v>55</v>
      </c>
      <c r="N354" s="64"/>
      <c r="O354" s="77" t="s">
        <v>60</v>
      </c>
      <c r="P354" s="30" t="s">
        <v>57</v>
      </c>
      <c r="Q354" s="64" t="s">
        <v>58</v>
      </c>
      <c r="R354" s="30"/>
      <c r="S354" s="30"/>
      <c r="T354" s="30"/>
      <c r="U354" s="30" t="s">
        <v>156</v>
      </c>
      <c r="V354" s="30"/>
      <c r="W354" s="51" t="str">
        <f t="shared" si="17"/>
        <v>#NAME?</v>
      </c>
      <c r="X354" s="2"/>
      <c r="Y354" s="2"/>
      <c r="Z354" s="2"/>
      <c r="AA354" s="2"/>
      <c r="AB354" s="2"/>
      <c r="AC354" s="2"/>
      <c r="AD354" s="2"/>
      <c r="AE354" s="2"/>
    </row>
    <row r="355" ht="15.75" customHeight="1">
      <c r="A355" s="45">
        <v>78.0</v>
      </c>
      <c r="B355" s="45" t="str">
        <f t="shared" si="14"/>
        <v>#NAME?</v>
      </c>
      <c r="C355" s="45">
        <f t="shared" si="15"/>
        <v>4</v>
      </c>
      <c r="D355" s="75">
        <v>46136.0</v>
      </c>
      <c r="E355" s="75">
        <v>46136.0</v>
      </c>
      <c r="F355" s="45"/>
      <c r="G355" s="45" t="s">
        <v>2097</v>
      </c>
      <c r="H355" s="61" t="s">
        <v>2098</v>
      </c>
      <c r="I355" s="48"/>
      <c r="J355" s="48">
        <v>700000.0</v>
      </c>
      <c r="K355" s="48">
        <f t="shared" si="7"/>
        <v>750646</v>
      </c>
      <c r="L355" s="77" t="s">
        <v>45</v>
      </c>
      <c r="M355" s="77" t="s">
        <v>47</v>
      </c>
      <c r="N355" s="64"/>
      <c r="O355" s="77" t="s">
        <v>60</v>
      </c>
      <c r="P355" s="30" t="s">
        <v>74</v>
      </c>
      <c r="Q355" s="64" t="s">
        <v>50</v>
      </c>
      <c r="R355" s="30"/>
      <c r="S355" s="30"/>
      <c r="T355" s="30"/>
      <c r="U355" s="30" t="s">
        <v>75</v>
      </c>
      <c r="V355" s="30"/>
      <c r="W355" s="51" t="str">
        <f t="shared" si="17"/>
        <v>#NAME?</v>
      </c>
      <c r="X355" s="2"/>
      <c r="Y355" s="2"/>
      <c r="Z355" s="2"/>
      <c r="AA355" s="2"/>
      <c r="AB355" s="2"/>
      <c r="AC355" s="2"/>
      <c r="AD355" s="2"/>
      <c r="AE355" s="2"/>
    </row>
    <row r="356" ht="15.75" customHeight="1">
      <c r="A356" s="45">
        <v>77.0</v>
      </c>
      <c r="B356" s="45" t="str">
        <f t="shared" si="14"/>
        <v>#NAME?</v>
      </c>
      <c r="C356" s="45">
        <f t="shared" si="15"/>
        <v>4</v>
      </c>
      <c r="D356" s="75">
        <v>46135.0</v>
      </c>
      <c r="E356" s="75">
        <v>46135.0</v>
      </c>
      <c r="F356" s="45"/>
      <c r="G356" s="45" t="s">
        <v>2099</v>
      </c>
      <c r="H356" s="61" t="s">
        <v>2100</v>
      </c>
      <c r="I356" s="48">
        <v>8732.0</v>
      </c>
      <c r="J356" s="48"/>
      <c r="K356" s="48">
        <f t="shared" si="7"/>
        <v>50646</v>
      </c>
      <c r="L356" s="77" t="s">
        <v>45</v>
      </c>
      <c r="M356" s="77" t="s">
        <v>67</v>
      </c>
      <c r="N356" s="64"/>
      <c r="O356" s="77" t="s">
        <v>60</v>
      </c>
      <c r="P356" s="30" t="s">
        <v>57</v>
      </c>
      <c r="Q356" s="64" t="s">
        <v>58</v>
      </c>
      <c r="R356" s="30"/>
      <c r="S356" s="30"/>
      <c r="T356" s="30"/>
      <c r="U356" s="30" t="s">
        <v>499</v>
      </c>
      <c r="V356" s="30"/>
      <c r="W356" s="51" t="str">
        <f t="shared" si="17"/>
        <v>#NAME?</v>
      </c>
      <c r="X356" s="2"/>
      <c r="Y356" s="2"/>
      <c r="Z356" s="2"/>
      <c r="AA356" s="2"/>
      <c r="AB356" s="2"/>
      <c r="AC356" s="2"/>
      <c r="AD356" s="2"/>
      <c r="AE356" s="2"/>
    </row>
    <row r="357" ht="15.75" customHeight="1">
      <c r="A357" s="45">
        <v>76.0</v>
      </c>
      <c r="B357" s="45" t="str">
        <f t="shared" si="14"/>
        <v>#NAME?</v>
      </c>
      <c r="C357" s="45">
        <f t="shared" si="15"/>
        <v>4</v>
      </c>
      <c r="D357" s="75">
        <v>46135.0</v>
      </c>
      <c r="E357" s="75">
        <v>46135.0</v>
      </c>
      <c r="F357" s="45"/>
      <c r="G357" s="45" t="s">
        <v>2101</v>
      </c>
      <c r="H357" s="61" t="s">
        <v>2102</v>
      </c>
      <c r="I357" s="48">
        <v>32373.0</v>
      </c>
      <c r="J357" s="48"/>
      <c r="K357" s="48">
        <f t="shared" si="7"/>
        <v>59378</v>
      </c>
      <c r="L357" s="77" t="s">
        <v>45</v>
      </c>
      <c r="M357" s="77" t="s">
        <v>47</v>
      </c>
      <c r="N357" s="64"/>
      <c r="O357" s="77" t="s">
        <v>60</v>
      </c>
      <c r="P357" s="30" t="s">
        <v>47</v>
      </c>
      <c r="Q357" s="64" t="s">
        <v>50</v>
      </c>
      <c r="R357" s="30"/>
      <c r="S357" s="30"/>
      <c r="T357" s="30"/>
      <c r="U357" s="30" t="s">
        <v>75</v>
      </c>
      <c r="V357" s="30"/>
      <c r="W357" s="51" t="str">
        <f t="shared" si="17"/>
        <v>#NAME?</v>
      </c>
      <c r="X357" s="2"/>
      <c r="Y357" s="2"/>
      <c r="Z357" s="2"/>
      <c r="AA357" s="2"/>
      <c r="AB357" s="2"/>
      <c r="AC357" s="2"/>
      <c r="AD357" s="2"/>
      <c r="AE357" s="2"/>
    </row>
    <row r="358" ht="15.75" customHeight="1">
      <c r="A358" s="45">
        <v>75.0</v>
      </c>
      <c r="B358" s="45" t="str">
        <f t="shared" si="14"/>
        <v>#NAME?</v>
      </c>
      <c r="C358" s="45">
        <f t="shared" si="15"/>
        <v>4</v>
      </c>
      <c r="D358" s="75">
        <v>46135.0</v>
      </c>
      <c r="E358" s="75">
        <v>46135.0</v>
      </c>
      <c r="F358" s="45"/>
      <c r="G358" s="45" t="s">
        <v>2103</v>
      </c>
      <c r="H358" s="61" t="s">
        <v>2104</v>
      </c>
      <c r="I358" s="48">
        <v>70815.0</v>
      </c>
      <c r="J358" s="48"/>
      <c r="K358" s="48">
        <f t="shared" si="7"/>
        <v>91751</v>
      </c>
      <c r="L358" s="77" t="s">
        <v>45</v>
      </c>
      <c r="M358" s="77" t="s">
        <v>67</v>
      </c>
      <c r="N358" s="64"/>
      <c r="O358" s="77" t="s">
        <v>60</v>
      </c>
      <c r="P358" s="30" t="s">
        <v>57</v>
      </c>
      <c r="Q358" s="64" t="s">
        <v>58</v>
      </c>
      <c r="R358" s="30"/>
      <c r="S358" s="30"/>
      <c r="T358" s="30"/>
      <c r="U358" s="30" t="s">
        <v>499</v>
      </c>
      <c r="V358" s="30"/>
      <c r="W358" s="51" t="str">
        <f t="shared" si="17"/>
        <v>#NAME?</v>
      </c>
      <c r="X358" s="2"/>
      <c r="Y358" s="2"/>
      <c r="Z358" s="2"/>
      <c r="AA358" s="2"/>
      <c r="AB358" s="2"/>
      <c r="AC358" s="2"/>
      <c r="AD358" s="2"/>
      <c r="AE358" s="2"/>
    </row>
    <row r="359" ht="15.75" customHeight="1">
      <c r="A359" s="45">
        <v>74.0</v>
      </c>
      <c r="B359" s="45" t="str">
        <f t="shared" si="14"/>
        <v>#NAME?</v>
      </c>
      <c r="C359" s="45">
        <f t="shared" si="15"/>
        <v>4</v>
      </c>
      <c r="D359" s="75">
        <v>46135.0</v>
      </c>
      <c r="E359" s="75">
        <v>46135.0</v>
      </c>
      <c r="F359" s="45"/>
      <c r="G359" s="45" t="s">
        <v>2105</v>
      </c>
      <c r="H359" s="61" t="s">
        <v>2106</v>
      </c>
      <c r="I359" s="48"/>
      <c r="J359" s="48">
        <v>120000.0</v>
      </c>
      <c r="K359" s="48">
        <f t="shared" si="7"/>
        <v>162566</v>
      </c>
      <c r="L359" s="77" t="s">
        <v>45</v>
      </c>
      <c r="M359" s="77" t="s">
        <v>47</v>
      </c>
      <c r="N359" s="64"/>
      <c r="O359" s="77" t="s">
        <v>60</v>
      </c>
      <c r="P359" s="30" t="s">
        <v>74</v>
      </c>
      <c r="Q359" s="64" t="s">
        <v>50</v>
      </c>
      <c r="R359" s="30"/>
      <c r="S359" s="30"/>
      <c r="T359" s="30"/>
      <c r="U359" s="30" t="s">
        <v>75</v>
      </c>
      <c r="V359" s="30"/>
      <c r="W359" s="51" t="str">
        <f t="shared" si="17"/>
        <v>#NAME?</v>
      </c>
      <c r="X359" s="2"/>
      <c r="Y359" s="2"/>
      <c r="Z359" s="2"/>
      <c r="AA359" s="2"/>
      <c r="AB359" s="2"/>
      <c r="AC359" s="2"/>
      <c r="AD359" s="2"/>
      <c r="AE359" s="2"/>
    </row>
    <row r="360" ht="15.75" customHeight="1">
      <c r="A360" s="45">
        <v>73.0</v>
      </c>
      <c r="B360" s="45" t="str">
        <f t="shared" si="14"/>
        <v>#NAME?</v>
      </c>
      <c r="C360" s="45">
        <f t="shared" si="15"/>
        <v>4</v>
      </c>
      <c r="D360" s="75">
        <v>46134.0</v>
      </c>
      <c r="E360" s="75">
        <v>46134.0</v>
      </c>
      <c r="F360" s="45"/>
      <c r="G360" s="45" t="s">
        <v>2107</v>
      </c>
      <c r="H360" s="61" t="s">
        <v>2108</v>
      </c>
      <c r="I360" s="48">
        <v>19800.0</v>
      </c>
      <c r="J360" s="48"/>
      <c r="K360" s="48">
        <f t="shared" si="7"/>
        <v>42566</v>
      </c>
      <c r="L360" s="77" t="s">
        <v>45</v>
      </c>
      <c r="M360" s="77" t="s">
        <v>55</v>
      </c>
      <c r="N360" s="64"/>
      <c r="O360" s="77" t="s">
        <v>60</v>
      </c>
      <c r="P360" s="30" t="s">
        <v>57</v>
      </c>
      <c r="Q360" s="64" t="s">
        <v>58</v>
      </c>
      <c r="R360" s="30"/>
      <c r="S360" s="30"/>
      <c r="T360" s="30"/>
      <c r="U360" s="30" t="s">
        <v>156</v>
      </c>
      <c r="V360" s="30"/>
      <c r="W360" s="51" t="str">
        <f t="shared" si="17"/>
        <v>#NAME?</v>
      </c>
      <c r="X360" s="2"/>
      <c r="Y360" s="2"/>
      <c r="Z360" s="2"/>
      <c r="AA360" s="2"/>
      <c r="AB360" s="2"/>
      <c r="AC360" s="2"/>
      <c r="AD360" s="2"/>
      <c r="AE360" s="2"/>
    </row>
    <row r="361" ht="15.75" customHeight="1">
      <c r="A361" s="45">
        <v>72.0</v>
      </c>
      <c r="B361" s="45" t="str">
        <f t="shared" si="14"/>
        <v>#NAME?</v>
      </c>
      <c r="C361" s="45">
        <f t="shared" si="15"/>
        <v>4</v>
      </c>
      <c r="D361" s="75">
        <v>46134.0</v>
      </c>
      <c r="E361" s="75">
        <v>46134.0</v>
      </c>
      <c r="F361" s="45"/>
      <c r="G361" s="45" t="s">
        <v>392</v>
      </c>
      <c r="H361" s="61" t="s">
        <v>498</v>
      </c>
      <c r="I361" s="48"/>
      <c r="J361" s="48">
        <v>50000.0</v>
      </c>
      <c r="K361" s="48">
        <f t="shared" si="7"/>
        <v>62366</v>
      </c>
      <c r="L361" s="77" t="s">
        <v>45</v>
      </c>
      <c r="M361" s="77" t="s">
        <v>47</v>
      </c>
      <c r="N361" s="64"/>
      <c r="O361" s="77" t="s">
        <v>60</v>
      </c>
      <c r="P361" s="30" t="s">
        <v>49</v>
      </c>
      <c r="Q361" s="64" t="s">
        <v>50</v>
      </c>
      <c r="R361" s="30"/>
      <c r="S361" s="30"/>
      <c r="T361" s="30"/>
      <c r="U361" s="30" t="s">
        <v>75</v>
      </c>
      <c r="V361" s="30"/>
      <c r="W361" s="51" t="str">
        <f t="shared" si="17"/>
        <v>#NAME?</v>
      </c>
      <c r="X361" s="2"/>
      <c r="Y361" s="2"/>
      <c r="Z361" s="2"/>
      <c r="AA361" s="2"/>
      <c r="AB361" s="2"/>
      <c r="AC361" s="2"/>
      <c r="AD361" s="2"/>
      <c r="AE361" s="2"/>
    </row>
    <row r="362" ht="15.75" customHeight="1">
      <c r="A362" s="45">
        <v>71.0</v>
      </c>
      <c r="B362" s="45" t="str">
        <f t="shared" si="14"/>
        <v>#NAME?</v>
      </c>
      <c r="C362" s="45">
        <f t="shared" si="15"/>
        <v>4</v>
      </c>
      <c r="D362" s="75">
        <v>46132.0</v>
      </c>
      <c r="E362" s="75">
        <v>46132.0</v>
      </c>
      <c r="F362" s="45"/>
      <c r="G362" s="45" t="s">
        <v>2109</v>
      </c>
      <c r="H362" s="61" t="s">
        <v>2110</v>
      </c>
      <c r="I362" s="48">
        <v>18810.0</v>
      </c>
      <c r="J362" s="48"/>
      <c r="K362" s="48">
        <f t="shared" si="7"/>
        <v>12366</v>
      </c>
      <c r="L362" s="77" t="s">
        <v>45</v>
      </c>
      <c r="M362" s="77" t="s">
        <v>55</v>
      </c>
      <c r="N362" s="64"/>
      <c r="O362" s="77" t="s">
        <v>60</v>
      </c>
      <c r="P362" s="30" t="s">
        <v>57</v>
      </c>
      <c r="Q362" s="64" t="s">
        <v>58</v>
      </c>
      <c r="R362" s="30"/>
      <c r="S362" s="30"/>
      <c r="T362" s="30"/>
      <c r="U362" s="30" t="s">
        <v>156</v>
      </c>
      <c r="V362" s="30"/>
      <c r="W362" s="51" t="str">
        <f t="shared" si="17"/>
        <v>#NAME?</v>
      </c>
      <c r="X362" s="2"/>
      <c r="Y362" s="2"/>
      <c r="Z362" s="2"/>
      <c r="AA362" s="2"/>
      <c r="AB362" s="2"/>
      <c r="AC362" s="2"/>
      <c r="AD362" s="2"/>
      <c r="AE362" s="2"/>
    </row>
    <row r="363" ht="15.75" customHeight="1">
      <c r="A363" s="45">
        <v>70.0</v>
      </c>
      <c r="B363" s="45" t="str">
        <f t="shared" si="14"/>
        <v>#NAME?</v>
      </c>
      <c r="C363" s="45">
        <f t="shared" si="15"/>
        <v>4</v>
      </c>
      <c r="D363" s="75">
        <v>46132.0</v>
      </c>
      <c r="E363" s="75">
        <v>46132.0</v>
      </c>
      <c r="F363" s="45"/>
      <c r="G363" s="45" t="s">
        <v>2111</v>
      </c>
      <c r="H363" s="61" t="s">
        <v>2112</v>
      </c>
      <c r="I363" s="48">
        <v>2970.0</v>
      </c>
      <c r="J363" s="48"/>
      <c r="K363" s="48">
        <f t="shared" si="7"/>
        <v>31176</v>
      </c>
      <c r="L363" s="77" t="s">
        <v>45</v>
      </c>
      <c r="M363" s="77" t="s">
        <v>55</v>
      </c>
      <c r="N363" s="64"/>
      <c r="O363" s="77" t="s">
        <v>60</v>
      </c>
      <c r="P363" s="30" t="s">
        <v>57</v>
      </c>
      <c r="Q363" s="64" t="s">
        <v>58</v>
      </c>
      <c r="R363" s="30"/>
      <c r="S363" s="30"/>
      <c r="T363" s="30"/>
      <c r="U363" s="30" t="s">
        <v>156</v>
      </c>
      <c r="V363" s="30"/>
      <c r="W363" s="51" t="str">
        <f t="shared" si="17"/>
        <v>#NAME?</v>
      </c>
      <c r="X363" s="2"/>
      <c r="Y363" s="2"/>
      <c r="Z363" s="2"/>
      <c r="AA363" s="2"/>
      <c r="AB363" s="2"/>
      <c r="AC363" s="2"/>
      <c r="AD363" s="2"/>
      <c r="AE363" s="2"/>
    </row>
    <row r="364" ht="15.75" customHeight="1">
      <c r="A364" s="45">
        <v>69.0</v>
      </c>
      <c r="B364" s="45" t="str">
        <f t="shared" si="14"/>
        <v>#NAME?</v>
      </c>
      <c r="C364" s="45">
        <f t="shared" si="15"/>
        <v>4</v>
      </c>
      <c r="D364" s="75">
        <v>46132.0</v>
      </c>
      <c r="E364" s="75">
        <v>46132.0</v>
      </c>
      <c r="F364" s="45"/>
      <c r="G364" s="45" t="s">
        <v>2113</v>
      </c>
      <c r="H364" s="61" t="s">
        <v>2114</v>
      </c>
      <c r="I364" s="48">
        <v>4753.0</v>
      </c>
      <c r="J364" s="48"/>
      <c r="K364" s="48">
        <f t="shared" si="7"/>
        <v>34146</v>
      </c>
      <c r="L364" s="77" t="s">
        <v>45</v>
      </c>
      <c r="M364" s="77" t="s">
        <v>67</v>
      </c>
      <c r="N364" s="64"/>
      <c r="O364" s="77" t="s">
        <v>60</v>
      </c>
      <c r="P364" s="30" t="s">
        <v>57</v>
      </c>
      <c r="Q364" s="64" t="s">
        <v>58</v>
      </c>
      <c r="R364" s="30"/>
      <c r="S364" s="30"/>
      <c r="T364" s="30"/>
      <c r="U364" s="30" t="s">
        <v>499</v>
      </c>
      <c r="V364" s="30"/>
      <c r="W364" s="51" t="str">
        <f t="shared" si="17"/>
        <v>#NAME?</v>
      </c>
      <c r="X364" s="2"/>
      <c r="Y364" s="2"/>
      <c r="Z364" s="2"/>
      <c r="AA364" s="2"/>
      <c r="AB364" s="2"/>
      <c r="AC364" s="2"/>
      <c r="AD364" s="2"/>
      <c r="AE364" s="2"/>
    </row>
    <row r="365" ht="15.75" customHeight="1">
      <c r="A365" s="45">
        <v>68.0</v>
      </c>
      <c r="B365" s="45" t="str">
        <f t="shared" si="14"/>
        <v>#NAME?</v>
      </c>
      <c r="C365" s="45">
        <f t="shared" si="15"/>
        <v>4</v>
      </c>
      <c r="D365" s="75">
        <v>46132.0</v>
      </c>
      <c r="E365" s="75">
        <v>46132.0</v>
      </c>
      <c r="F365" s="45"/>
      <c r="G365" s="45" t="s">
        <v>2115</v>
      </c>
      <c r="H365" s="61" t="s">
        <v>2116</v>
      </c>
      <c r="I365" s="48">
        <v>20000.0</v>
      </c>
      <c r="J365" s="48"/>
      <c r="K365" s="48">
        <f t="shared" si="7"/>
        <v>38899</v>
      </c>
      <c r="L365" s="77" t="s">
        <v>45</v>
      </c>
      <c r="M365" s="77" t="s">
        <v>85</v>
      </c>
      <c r="N365" s="64"/>
      <c r="O365" s="77" t="s">
        <v>60</v>
      </c>
      <c r="P365" s="30" t="s">
        <v>57</v>
      </c>
      <c r="Q365" s="64" t="s">
        <v>58</v>
      </c>
      <c r="R365" s="30"/>
      <c r="S365" s="30"/>
      <c r="T365" s="30"/>
      <c r="U365" s="30" t="s">
        <v>75</v>
      </c>
      <c r="V365" s="30"/>
      <c r="W365" s="51" t="str">
        <f t="shared" si="17"/>
        <v>#NAME?</v>
      </c>
      <c r="X365" s="2"/>
      <c r="Y365" s="2"/>
      <c r="Z365" s="2"/>
      <c r="AA365" s="2"/>
      <c r="AB365" s="2"/>
      <c r="AC365" s="2"/>
      <c r="AD365" s="2"/>
      <c r="AE365" s="2"/>
    </row>
    <row r="366" ht="15.75" customHeight="1">
      <c r="A366" s="45">
        <v>67.0</v>
      </c>
      <c r="B366" s="45" t="str">
        <f t="shared" si="14"/>
        <v>#NAME?</v>
      </c>
      <c r="C366" s="45">
        <f t="shared" si="15"/>
        <v>4</v>
      </c>
      <c r="D366" s="75">
        <v>46132.0</v>
      </c>
      <c r="E366" s="75">
        <v>46132.0</v>
      </c>
      <c r="F366" s="45"/>
      <c r="G366" s="45" t="s">
        <v>2117</v>
      </c>
      <c r="H366" s="61" t="s">
        <v>2118</v>
      </c>
      <c r="I366" s="48">
        <v>9900.0</v>
      </c>
      <c r="J366" s="48"/>
      <c r="K366" s="48">
        <f t="shared" si="7"/>
        <v>58899</v>
      </c>
      <c r="L366" s="77" t="s">
        <v>45</v>
      </c>
      <c r="M366" s="77" t="s">
        <v>55</v>
      </c>
      <c r="N366" s="64"/>
      <c r="O366" s="77" t="s">
        <v>60</v>
      </c>
      <c r="P366" s="30" t="s">
        <v>57</v>
      </c>
      <c r="Q366" s="64" t="s">
        <v>58</v>
      </c>
      <c r="R366" s="30"/>
      <c r="S366" s="30"/>
      <c r="T366" s="30"/>
      <c r="U366" s="30" t="s">
        <v>156</v>
      </c>
      <c r="V366" s="30"/>
      <c r="W366" s="51" t="str">
        <f t="shared" si="17"/>
        <v>#NAME?</v>
      </c>
      <c r="X366" s="2"/>
      <c r="Y366" s="2"/>
      <c r="Z366" s="2"/>
      <c r="AA366" s="2"/>
      <c r="AB366" s="2"/>
      <c r="AC366" s="2"/>
      <c r="AD366" s="2"/>
      <c r="AE366" s="2"/>
    </row>
    <row r="367" ht="15.75" customHeight="1">
      <c r="A367" s="45">
        <v>66.0</v>
      </c>
      <c r="B367" s="45" t="str">
        <f t="shared" si="14"/>
        <v>#NAME?</v>
      </c>
      <c r="C367" s="45">
        <f t="shared" si="15"/>
        <v>4</v>
      </c>
      <c r="D367" s="75">
        <v>46132.0</v>
      </c>
      <c r="E367" s="75">
        <v>46132.0</v>
      </c>
      <c r="F367" s="45"/>
      <c r="G367" s="45" t="s">
        <v>2119</v>
      </c>
      <c r="H367" s="61" t="s">
        <v>2120</v>
      </c>
      <c r="I367" s="48">
        <v>39600.0</v>
      </c>
      <c r="J367" s="48"/>
      <c r="K367" s="48">
        <f t="shared" si="7"/>
        <v>68799</v>
      </c>
      <c r="L367" s="77" t="s">
        <v>45</v>
      </c>
      <c r="M367" s="77" t="s">
        <v>55</v>
      </c>
      <c r="N367" s="64"/>
      <c r="O367" s="77" t="s">
        <v>60</v>
      </c>
      <c r="P367" s="30" t="s">
        <v>57</v>
      </c>
      <c r="Q367" s="64" t="s">
        <v>58</v>
      </c>
      <c r="R367" s="30"/>
      <c r="S367" s="30"/>
      <c r="T367" s="30"/>
      <c r="U367" s="30" t="s">
        <v>156</v>
      </c>
      <c r="V367" s="30"/>
      <c r="W367" s="51" t="str">
        <f t="shared" si="17"/>
        <v>#NAME?</v>
      </c>
      <c r="X367" s="2"/>
      <c r="Y367" s="2"/>
      <c r="Z367" s="2"/>
      <c r="AA367" s="2"/>
      <c r="AB367" s="2"/>
      <c r="AC367" s="2"/>
      <c r="AD367" s="2"/>
      <c r="AE367" s="2"/>
    </row>
    <row r="368" ht="15.75" customHeight="1">
      <c r="A368" s="45">
        <v>65.0</v>
      </c>
      <c r="B368" s="45" t="str">
        <f t="shared" si="14"/>
        <v>#NAME?</v>
      </c>
      <c r="C368" s="45">
        <f t="shared" si="15"/>
        <v>4</v>
      </c>
      <c r="D368" s="75">
        <v>46132.0</v>
      </c>
      <c r="E368" s="75">
        <v>46132.0</v>
      </c>
      <c r="F368" s="45"/>
      <c r="G368" s="45" t="s">
        <v>2121</v>
      </c>
      <c r="H368" s="61" t="s">
        <v>2122</v>
      </c>
      <c r="I368" s="48">
        <v>18315.0</v>
      </c>
      <c r="J368" s="48"/>
      <c r="K368" s="48">
        <f t="shared" si="7"/>
        <v>108399</v>
      </c>
      <c r="L368" s="77" t="s">
        <v>45</v>
      </c>
      <c r="M368" s="77" t="s">
        <v>55</v>
      </c>
      <c r="N368" s="64"/>
      <c r="O368" s="77" t="s">
        <v>60</v>
      </c>
      <c r="P368" s="30" t="s">
        <v>57</v>
      </c>
      <c r="Q368" s="64" t="s">
        <v>58</v>
      </c>
      <c r="R368" s="30"/>
      <c r="S368" s="30"/>
      <c r="T368" s="30"/>
      <c r="U368" s="30" t="s">
        <v>156</v>
      </c>
      <c r="V368" s="30"/>
      <c r="W368" s="51" t="str">
        <f t="shared" si="17"/>
        <v>#NAME?</v>
      </c>
      <c r="X368" s="2"/>
      <c r="Y368" s="2"/>
      <c r="Z368" s="2"/>
      <c r="AA368" s="2"/>
      <c r="AB368" s="2"/>
      <c r="AC368" s="2"/>
      <c r="AD368" s="2"/>
      <c r="AE368" s="2"/>
    </row>
    <row r="369" ht="15.75" customHeight="1">
      <c r="A369" s="45">
        <v>64.0</v>
      </c>
      <c r="B369" s="45" t="str">
        <f t="shared" si="14"/>
        <v>#NAME?</v>
      </c>
      <c r="C369" s="45">
        <f t="shared" si="15"/>
        <v>4</v>
      </c>
      <c r="D369" s="75">
        <v>46132.0</v>
      </c>
      <c r="E369" s="75">
        <v>46132.0</v>
      </c>
      <c r="F369" s="45"/>
      <c r="G369" s="45" t="s">
        <v>2123</v>
      </c>
      <c r="H369" s="61" t="s">
        <v>2124</v>
      </c>
      <c r="I369" s="48">
        <v>27854.0</v>
      </c>
      <c r="J369" s="48"/>
      <c r="K369" s="48">
        <f t="shared" si="7"/>
        <v>126714</v>
      </c>
      <c r="L369" s="77" t="s">
        <v>45</v>
      </c>
      <c r="M369" s="77" t="s">
        <v>55</v>
      </c>
      <c r="N369" s="64"/>
      <c r="O369" s="77" t="s">
        <v>60</v>
      </c>
      <c r="P369" s="30" t="s">
        <v>57</v>
      </c>
      <c r="Q369" s="64" t="s">
        <v>58</v>
      </c>
      <c r="R369" s="30"/>
      <c r="S369" s="30"/>
      <c r="T369" s="30"/>
      <c r="U369" s="30" t="s">
        <v>156</v>
      </c>
      <c r="V369" s="30"/>
      <c r="W369" s="51" t="str">
        <f t="shared" si="17"/>
        <v>#NAME?</v>
      </c>
      <c r="X369" s="2"/>
      <c r="Y369" s="2"/>
      <c r="Z369" s="2"/>
      <c r="AA369" s="2"/>
      <c r="AB369" s="2"/>
      <c r="AC369" s="2"/>
      <c r="AD369" s="2"/>
      <c r="AE369" s="2"/>
    </row>
    <row r="370" ht="15.75" customHeight="1">
      <c r="A370" s="45">
        <v>63.0</v>
      </c>
      <c r="B370" s="45" t="str">
        <f t="shared" si="14"/>
        <v>#NAME?</v>
      </c>
      <c r="C370" s="45">
        <f t="shared" si="15"/>
        <v>4</v>
      </c>
      <c r="D370" s="75">
        <v>46132.0</v>
      </c>
      <c r="E370" s="75">
        <v>46132.0</v>
      </c>
      <c r="F370" s="45"/>
      <c r="G370" s="45" t="s">
        <v>2125</v>
      </c>
      <c r="H370" s="61" t="s">
        <v>2126</v>
      </c>
      <c r="I370" s="48">
        <v>538435.0</v>
      </c>
      <c r="J370" s="48"/>
      <c r="K370" s="48">
        <f t="shared" si="7"/>
        <v>154568</v>
      </c>
      <c r="L370" s="77" t="s">
        <v>45</v>
      </c>
      <c r="M370" s="77" t="s">
        <v>47</v>
      </c>
      <c r="N370" s="64"/>
      <c r="O370" s="77" t="s">
        <v>60</v>
      </c>
      <c r="P370" s="30" t="s">
        <v>74</v>
      </c>
      <c r="Q370" s="64" t="s">
        <v>50</v>
      </c>
      <c r="R370" s="30"/>
      <c r="S370" s="30"/>
      <c r="T370" s="30"/>
      <c r="U370" s="30" t="s">
        <v>75</v>
      </c>
      <c r="V370" s="30"/>
      <c r="W370" s="51" t="str">
        <f t="shared" si="17"/>
        <v>#NAME?</v>
      </c>
      <c r="X370" s="2"/>
      <c r="Y370" s="2"/>
      <c r="Z370" s="2"/>
      <c r="AA370" s="2"/>
      <c r="AB370" s="2"/>
      <c r="AC370" s="2"/>
      <c r="AD370" s="2"/>
      <c r="AE370" s="2"/>
    </row>
    <row r="371" ht="15.75" customHeight="1">
      <c r="A371" s="45">
        <v>62.0</v>
      </c>
      <c r="B371" s="45" t="str">
        <f t="shared" si="14"/>
        <v>#NAME?</v>
      </c>
      <c r="C371" s="45">
        <f t="shared" si="15"/>
        <v>4</v>
      </c>
      <c r="D371" s="75">
        <v>46132.0</v>
      </c>
      <c r="E371" s="75">
        <v>46132.0</v>
      </c>
      <c r="F371" s="45"/>
      <c r="G371" s="45" t="s">
        <v>2127</v>
      </c>
      <c r="H371" s="61" t="s">
        <v>2128</v>
      </c>
      <c r="I371" s="48">
        <v>10254.0</v>
      </c>
      <c r="J371" s="48"/>
      <c r="K371" s="48">
        <f t="shared" si="7"/>
        <v>693003</v>
      </c>
      <c r="L371" s="77" t="s">
        <v>45</v>
      </c>
      <c r="M371" s="77" t="s">
        <v>67</v>
      </c>
      <c r="N371" s="64"/>
      <c r="O371" s="77" t="s">
        <v>60</v>
      </c>
      <c r="P371" s="30" t="s">
        <v>57</v>
      </c>
      <c r="Q371" s="64" t="s">
        <v>58</v>
      </c>
      <c r="R371" s="30"/>
      <c r="S371" s="30"/>
      <c r="T371" s="30"/>
      <c r="U371" s="30" t="s">
        <v>499</v>
      </c>
      <c r="V371" s="30"/>
      <c r="W371" s="51" t="str">
        <f t="shared" si="17"/>
        <v>#NAME?</v>
      </c>
      <c r="X371" s="2"/>
      <c r="Y371" s="2"/>
      <c r="Z371" s="2"/>
      <c r="AA371" s="2"/>
      <c r="AB371" s="2"/>
      <c r="AC371" s="2"/>
      <c r="AD371" s="2"/>
      <c r="AE371" s="2"/>
    </row>
    <row r="372" ht="15.75" customHeight="1">
      <c r="A372" s="45">
        <v>61.0</v>
      </c>
      <c r="B372" s="45" t="str">
        <f t="shared" si="14"/>
        <v>#NAME?</v>
      </c>
      <c r="C372" s="45">
        <f t="shared" si="15"/>
        <v>4</v>
      </c>
      <c r="D372" s="75">
        <v>46132.0</v>
      </c>
      <c r="E372" s="75">
        <v>46132.0</v>
      </c>
      <c r="F372" s="45"/>
      <c r="G372" s="45" t="s">
        <v>2129</v>
      </c>
      <c r="H372" s="61" t="s">
        <v>2130</v>
      </c>
      <c r="I372" s="48"/>
      <c r="J372" s="48">
        <v>630000.0</v>
      </c>
      <c r="K372" s="48">
        <f t="shared" si="7"/>
        <v>703257</v>
      </c>
      <c r="L372" s="77" t="s">
        <v>45</v>
      </c>
      <c r="M372" s="77" t="s">
        <v>47</v>
      </c>
      <c r="N372" s="64"/>
      <c r="O372" s="77" t="s">
        <v>60</v>
      </c>
      <c r="P372" s="30" t="s">
        <v>74</v>
      </c>
      <c r="Q372" s="64" t="s">
        <v>50</v>
      </c>
      <c r="R372" s="30"/>
      <c r="S372" s="30"/>
      <c r="T372" s="30"/>
      <c r="U372" s="30" t="s">
        <v>75</v>
      </c>
      <c r="V372" s="30"/>
      <c r="W372" s="51" t="str">
        <f t="shared" si="17"/>
        <v>#NAME?</v>
      </c>
      <c r="X372" s="2"/>
      <c r="Y372" s="2"/>
      <c r="Z372" s="2"/>
      <c r="AA372" s="2"/>
      <c r="AB372" s="2"/>
      <c r="AC372" s="2"/>
      <c r="AD372" s="2"/>
      <c r="AE372" s="2"/>
    </row>
    <row r="373" ht="15.75" customHeight="1">
      <c r="A373" s="45">
        <v>60.0</v>
      </c>
      <c r="B373" s="45" t="str">
        <f t="shared" si="14"/>
        <v>#NAME?</v>
      </c>
      <c r="C373" s="45">
        <f t="shared" si="15"/>
        <v>4</v>
      </c>
      <c r="D373" s="75">
        <v>46128.0</v>
      </c>
      <c r="E373" s="75">
        <v>46128.0</v>
      </c>
      <c r="F373" s="45"/>
      <c r="G373" s="45" t="s">
        <v>2131</v>
      </c>
      <c r="H373" s="61" t="s">
        <v>2132</v>
      </c>
      <c r="I373" s="48">
        <v>241900.0</v>
      </c>
      <c r="J373" s="48"/>
      <c r="K373" s="48">
        <f t="shared" si="7"/>
        <v>73257</v>
      </c>
      <c r="L373" s="77" t="s">
        <v>45</v>
      </c>
      <c r="M373" s="77" t="s">
        <v>67</v>
      </c>
      <c r="N373" s="64"/>
      <c r="O373" s="77" t="s">
        <v>60</v>
      </c>
      <c r="P373" s="30" t="s">
        <v>57</v>
      </c>
      <c r="Q373" s="64" t="s">
        <v>58</v>
      </c>
      <c r="R373" s="30"/>
      <c r="S373" s="30"/>
      <c r="T373" s="30"/>
      <c r="U373" s="30" t="s">
        <v>499</v>
      </c>
      <c r="V373" s="30"/>
      <c r="W373" s="51" t="str">
        <f t="shared" si="17"/>
        <v>#NAME?</v>
      </c>
      <c r="X373" s="2"/>
      <c r="Y373" s="2"/>
      <c r="Z373" s="2"/>
      <c r="AA373" s="2"/>
      <c r="AB373" s="2"/>
      <c r="AC373" s="2"/>
      <c r="AD373" s="2"/>
      <c r="AE373" s="2"/>
    </row>
    <row r="374" ht="15.75" customHeight="1">
      <c r="A374" s="45">
        <v>59.0</v>
      </c>
      <c r="B374" s="45" t="str">
        <f t="shared" si="14"/>
        <v>#NAME?</v>
      </c>
      <c r="C374" s="45">
        <f t="shared" si="15"/>
        <v>4</v>
      </c>
      <c r="D374" s="75">
        <v>46128.0</v>
      </c>
      <c r="E374" s="75">
        <v>46128.0</v>
      </c>
      <c r="F374" s="45"/>
      <c r="G374" s="45" t="s">
        <v>2133</v>
      </c>
      <c r="H374" s="61" t="s">
        <v>2134</v>
      </c>
      <c r="I374" s="48">
        <v>66080.0</v>
      </c>
      <c r="J374" s="48"/>
      <c r="K374" s="48">
        <f t="shared" si="7"/>
        <v>315157</v>
      </c>
      <c r="L374" s="77" t="s">
        <v>45</v>
      </c>
      <c r="M374" s="77" t="s">
        <v>67</v>
      </c>
      <c r="N374" s="64"/>
      <c r="O374" s="77" t="s">
        <v>60</v>
      </c>
      <c r="P374" s="30" t="s">
        <v>57</v>
      </c>
      <c r="Q374" s="64" t="s">
        <v>58</v>
      </c>
      <c r="R374" s="30"/>
      <c r="S374" s="30"/>
      <c r="T374" s="30"/>
      <c r="U374" s="30" t="s">
        <v>499</v>
      </c>
      <c r="V374" s="30"/>
      <c r="W374" s="51" t="str">
        <f t="shared" si="17"/>
        <v>#NAME?</v>
      </c>
      <c r="X374" s="2"/>
      <c r="Y374" s="2"/>
      <c r="Z374" s="2"/>
      <c r="AA374" s="2"/>
      <c r="AB374" s="2"/>
      <c r="AC374" s="2"/>
      <c r="AD374" s="2"/>
      <c r="AE374" s="2"/>
    </row>
    <row r="375" ht="15.75" customHeight="1">
      <c r="A375" s="45">
        <v>58.0</v>
      </c>
      <c r="B375" s="45" t="str">
        <f t="shared" si="14"/>
        <v>#NAME?</v>
      </c>
      <c r="C375" s="45">
        <f t="shared" si="15"/>
        <v>4</v>
      </c>
      <c r="D375" s="75">
        <v>46128.0</v>
      </c>
      <c r="E375" s="75">
        <v>46128.0</v>
      </c>
      <c r="F375" s="45"/>
      <c r="G375" s="45" t="s">
        <v>2135</v>
      </c>
      <c r="H375" s="61" t="s">
        <v>2136</v>
      </c>
      <c r="I375" s="48"/>
      <c r="J375" s="48">
        <v>250000.0</v>
      </c>
      <c r="K375" s="48">
        <f t="shared" si="7"/>
        <v>381237</v>
      </c>
      <c r="L375" s="77" t="s">
        <v>45</v>
      </c>
      <c r="M375" s="77" t="s">
        <v>47</v>
      </c>
      <c r="N375" s="64"/>
      <c r="O375" s="77" t="s">
        <v>60</v>
      </c>
      <c r="P375" s="30" t="s">
        <v>74</v>
      </c>
      <c r="Q375" s="64" t="s">
        <v>50</v>
      </c>
      <c r="R375" s="30"/>
      <c r="S375" s="30"/>
      <c r="T375" s="30"/>
      <c r="U375" s="30" t="s">
        <v>75</v>
      </c>
      <c r="V375" s="30"/>
      <c r="W375" s="51" t="str">
        <f t="shared" si="17"/>
        <v>#NAME?</v>
      </c>
      <c r="X375" s="2"/>
      <c r="Y375" s="2"/>
      <c r="Z375" s="2"/>
      <c r="AA375" s="2"/>
      <c r="AB375" s="2"/>
      <c r="AC375" s="2"/>
      <c r="AD375" s="2"/>
      <c r="AE375" s="2"/>
    </row>
    <row r="376" ht="15.75" customHeight="1">
      <c r="A376" s="45">
        <v>57.0</v>
      </c>
      <c r="B376" s="45" t="str">
        <f t="shared" si="14"/>
        <v>#NAME?</v>
      </c>
      <c r="C376" s="45">
        <f t="shared" si="15"/>
        <v>4</v>
      </c>
      <c r="D376" s="75">
        <v>46127.0</v>
      </c>
      <c r="E376" s="75">
        <v>46127.0</v>
      </c>
      <c r="F376" s="45"/>
      <c r="G376" s="45" t="s">
        <v>2137</v>
      </c>
      <c r="H376" s="61" t="s">
        <v>2138</v>
      </c>
      <c r="I376" s="48">
        <v>14662.0</v>
      </c>
      <c r="J376" s="48"/>
      <c r="K376" s="48">
        <f t="shared" si="7"/>
        <v>131237</v>
      </c>
      <c r="L376" s="77" t="s">
        <v>45</v>
      </c>
      <c r="M376" s="77" t="s">
        <v>110</v>
      </c>
      <c r="N376" s="64"/>
      <c r="O376" s="77" t="s">
        <v>60</v>
      </c>
      <c r="P376" s="30" t="s">
        <v>57</v>
      </c>
      <c r="Q376" s="64" t="s">
        <v>58</v>
      </c>
      <c r="R376" s="30"/>
      <c r="S376" s="30"/>
      <c r="T376" s="30"/>
      <c r="U376" s="30" t="s">
        <v>75</v>
      </c>
      <c r="V376" s="30"/>
      <c r="W376" s="51" t="str">
        <f t="shared" si="17"/>
        <v>#NAME?</v>
      </c>
      <c r="X376" s="2"/>
      <c r="Y376" s="2"/>
      <c r="Z376" s="2"/>
      <c r="AA376" s="2"/>
      <c r="AB376" s="2"/>
      <c r="AC376" s="2"/>
      <c r="AD376" s="2"/>
      <c r="AE376" s="2"/>
    </row>
    <row r="377" ht="15.75" customHeight="1">
      <c r="A377" s="45">
        <v>56.0</v>
      </c>
      <c r="B377" s="45" t="str">
        <f t="shared" si="14"/>
        <v>#NAME?</v>
      </c>
      <c r="C377" s="45">
        <f t="shared" si="15"/>
        <v>4</v>
      </c>
      <c r="D377" s="75">
        <v>46127.0</v>
      </c>
      <c r="E377" s="75">
        <v>46127.0</v>
      </c>
      <c r="F377" s="45"/>
      <c r="G377" s="45" t="s">
        <v>2139</v>
      </c>
      <c r="H377" s="61" t="s">
        <v>2140</v>
      </c>
      <c r="I377" s="48">
        <v>12581.0</v>
      </c>
      <c r="J377" s="48"/>
      <c r="K377" s="48">
        <f t="shared" si="7"/>
        <v>145899</v>
      </c>
      <c r="L377" s="77" t="s">
        <v>45</v>
      </c>
      <c r="M377" s="77" t="s">
        <v>110</v>
      </c>
      <c r="N377" s="64"/>
      <c r="O377" s="77" t="s">
        <v>60</v>
      </c>
      <c r="P377" s="30" t="s">
        <v>57</v>
      </c>
      <c r="Q377" s="64" t="s">
        <v>58</v>
      </c>
      <c r="R377" s="30"/>
      <c r="S377" s="30"/>
      <c r="T377" s="30"/>
      <c r="U377" s="30" t="s">
        <v>75</v>
      </c>
      <c r="V377" s="30"/>
      <c r="W377" s="51" t="str">
        <f t="shared" si="17"/>
        <v>#NAME?</v>
      </c>
      <c r="X377" s="2"/>
      <c r="Y377" s="2"/>
      <c r="Z377" s="2"/>
      <c r="AA377" s="2"/>
      <c r="AB377" s="2"/>
      <c r="AC377" s="2"/>
      <c r="AD377" s="2"/>
      <c r="AE377" s="2"/>
    </row>
    <row r="378" ht="15.75" customHeight="1">
      <c r="A378" s="45">
        <v>55.0</v>
      </c>
      <c r="B378" s="45" t="str">
        <f t="shared" si="14"/>
        <v>#NAME?</v>
      </c>
      <c r="C378" s="45">
        <f t="shared" si="15"/>
        <v>4</v>
      </c>
      <c r="D378" s="75">
        <v>46127.0</v>
      </c>
      <c r="E378" s="75">
        <v>46127.0</v>
      </c>
      <c r="F378" s="45"/>
      <c r="G378" s="45" t="s">
        <v>2141</v>
      </c>
      <c r="H378" s="61" t="s">
        <v>2142</v>
      </c>
      <c r="I378" s="48">
        <v>26898.0</v>
      </c>
      <c r="J378" s="48"/>
      <c r="K378" s="48">
        <f t="shared" si="7"/>
        <v>158480</v>
      </c>
      <c r="L378" s="77" t="s">
        <v>45</v>
      </c>
      <c r="M378" s="77" t="s">
        <v>110</v>
      </c>
      <c r="N378" s="64"/>
      <c r="O378" s="77" t="s">
        <v>60</v>
      </c>
      <c r="P378" s="30" t="s">
        <v>57</v>
      </c>
      <c r="Q378" s="64" t="s">
        <v>58</v>
      </c>
      <c r="R378" s="30"/>
      <c r="S378" s="30"/>
      <c r="T378" s="30"/>
      <c r="U378" s="30" t="s">
        <v>75</v>
      </c>
      <c r="V378" s="30"/>
      <c r="W378" s="51" t="str">
        <f t="shared" si="17"/>
        <v>#NAME?</v>
      </c>
      <c r="X378" s="2"/>
      <c r="Y378" s="2"/>
      <c r="Z378" s="2"/>
      <c r="AA378" s="2"/>
      <c r="AB378" s="2"/>
      <c r="AC378" s="2"/>
      <c r="AD378" s="2"/>
      <c r="AE378" s="2"/>
    </row>
    <row r="379" ht="15.75" customHeight="1">
      <c r="A379" s="45">
        <v>54.0</v>
      </c>
      <c r="B379" s="45" t="str">
        <f t="shared" si="14"/>
        <v>#NAME?</v>
      </c>
      <c r="C379" s="45">
        <f t="shared" si="15"/>
        <v>4</v>
      </c>
      <c r="D379" s="75">
        <v>46127.0</v>
      </c>
      <c r="E379" s="75">
        <v>46127.0</v>
      </c>
      <c r="F379" s="45"/>
      <c r="G379" s="45" t="s">
        <v>2143</v>
      </c>
      <c r="H379" s="61" t="s">
        <v>2144</v>
      </c>
      <c r="I379" s="48">
        <v>7534.0</v>
      </c>
      <c r="J379" s="48"/>
      <c r="K379" s="48">
        <f t="shared" si="7"/>
        <v>185378</v>
      </c>
      <c r="L379" s="77" t="s">
        <v>45</v>
      </c>
      <c r="M379" s="77" t="s">
        <v>110</v>
      </c>
      <c r="N379" s="64"/>
      <c r="O379" s="77" t="s">
        <v>60</v>
      </c>
      <c r="P379" s="30" t="s">
        <v>57</v>
      </c>
      <c r="Q379" s="64" t="s">
        <v>58</v>
      </c>
      <c r="R379" s="30"/>
      <c r="S379" s="30"/>
      <c r="T379" s="30"/>
      <c r="U379" s="30" t="s">
        <v>75</v>
      </c>
      <c r="V379" s="30"/>
      <c r="W379" s="51" t="str">
        <f t="shared" si="17"/>
        <v>#NAME?</v>
      </c>
      <c r="X379" s="2"/>
      <c r="Y379" s="2"/>
      <c r="Z379" s="2"/>
      <c r="AA379" s="2"/>
      <c r="AB379" s="2"/>
      <c r="AC379" s="2"/>
      <c r="AD379" s="2"/>
      <c r="AE379" s="2"/>
    </row>
    <row r="380" ht="15.75" customHeight="1">
      <c r="A380" s="45">
        <v>53.0</v>
      </c>
      <c r="B380" s="45" t="str">
        <f t="shared" si="14"/>
        <v>#NAME?</v>
      </c>
      <c r="C380" s="45">
        <f t="shared" si="15"/>
        <v>4</v>
      </c>
      <c r="D380" s="75">
        <v>46127.0</v>
      </c>
      <c r="E380" s="75">
        <v>46127.0</v>
      </c>
      <c r="F380" s="45"/>
      <c r="G380" s="45" t="s">
        <v>2145</v>
      </c>
      <c r="H380" s="61" t="s">
        <v>2146</v>
      </c>
      <c r="I380" s="48">
        <v>5269.0</v>
      </c>
      <c r="J380" s="48"/>
      <c r="K380" s="48">
        <f t="shared" si="7"/>
        <v>192912</v>
      </c>
      <c r="L380" s="77" t="s">
        <v>45</v>
      </c>
      <c r="M380" s="77" t="s">
        <v>110</v>
      </c>
      <c r="N380" s="64"/>
      <c r="O380" s="77" t="s">
        <v>60</v>
      </c>
      <c r="P380" s="30" t="s">
        <v>57</v>
      </c>
      <c r="Q380" s="64" t="s">
        <v>58</v>
      </c>
      <c r="R380" s="30"/>
      <c r="S380" s="30"/>
      <c r="T380" s="30"/>
      <c r="U380" s="30" t="s">
        <v>75</v>
      </c>
      <c r="V380" s="30"/>
      <c r="W380" s="51" t="str">
        <f t="shared" si="17"/>
        <v>#NAME?</v>
      </c>
      <c r="X380" s="2"/>
      <c r="Y380" s="2"/>
      <c r="Z380" s="2"/>
      <c r="AA380" s="2"/>
      <c r="AB380" s="2"/>
      <c r="AC380" s="2"/>
      <c r="AD380" s="2"/>
      <c r="AE380" s="2"/>
    </row>
    <row r="381" ht="15.75" customHeight="1">
      <c r="A381" s="45">
        <v>52.0</v>
      </c>
      <c r="B381" s="45" t="str">
        <f t="shared" si="14"/>
        <v>#NAME?</v>
      </c>
      <c r="C381" s="45">
        <f t="shared" si="15"/>
        <v>4</v>
      </c>
      <c r="D381" s="75">
        <v>46127.0</v>
      </c>
      <c r="E381" s="75">
        <v>46127.0</v>
      </c>
      <c r="F381" s="45"/>
      <c r="G381" s="45" t="s">
        <v>2147</v>
      </c>
      <c r="H381" s="61" t="s">
        <v>2148</v>
      </c>
      <c r="I381" s="48">
        <v>24898.0</v>
      </c>
      <c r="J381" s="48"/>
      <c r="K381" s="48">
        <f t="shared" si="7"/>
        <v>198181</v>
      </c>
      <c r="L381" s="77" t="s">
        <v>45</v>
      </c>
      <c r="M381" s="77" t="s">
        <v>110</v>
      </c>
      <c r="N381" s="64"/>
      <c r="O381" s="77" t="s">
        <v>60</v>
      </c>
      <c r="P381" s="30" t="s">
        <v>57</v>
      </c>
      <c r="Q381" s="64" t="s">
        <v>58</v>
      </c>
      <c r="R381" s="30"/>
      <c r="S381" s="30"/>
      <c r="T381" s="30"/>
      <c r="U381" s="30" t="s">
        <v>75</v>
      </c>
      <c r="V381" s="30"/>
      <c r="W381" s="51" t="str">
        <f t="shared" si="17"/>
        <v>#NAME?</v>
      </c>
      <c r="X381" s="2"/>
      <c r="Y381" s="2"/>
      <c r="Z381" s="2"/>
      <c r="AA381" s="2"/>
      <c r="AB381" s="2"/>
      <c r="AC381" s="2"/>
      <c r="AD381" s="2"/>
      <c r="AE381" s="2"/>
    </row>
    <row r="382" ht="15.75" customHeight="1">
      <c r="A382" s="45">
        <v>51.0</v>
      </c>
      <c r="B382" s="45" t="str">
        <f t="shared" si="14"/>
        <v>#NAME?</v>
      </c>
      <c r="C382" s="45">
        <f t="shared" si="15"/>
        <v>4</v>
      </c>
      <c r="D382" s="75">
        <v>46127.0</v>
      </c>
      <c r="E382" s="75">
        <v>46127.0</v>
      </c>
      <c r="F382" s="45"/>
      <c r="G382" s="45" t="s">
        <v>2149</v>
      </c>
      <c r="H382" s="61" t="s">
        <v>2150</v>
      </c>
      <c r="I382" s="48">
        <v>34898.0</v>
      </c>
      <c r="J382" s="48"/>
      <c r="K382" s="48">
        <f t="shared" si="7"/>
        <v>223079</v>
      </c>
      <c r="L382" s="77" t="s">
        <v>45</v>
      </c>
      <c r="M382" s="77" t="s">
        <v>110</v>
      </c>
      <c r="N382" s="64"/>
      <c r="O382" s="77" t="s">
        <v>60</v>
      </c>
      <c r="P382" s="30" t="s">
        <v>57</v>
      </c>
      <c r="Q382" s="64" t="s">
        <v>58</v>
      </c>
      <c r="R382" s="30"/>
      <c r="S382" s="30"/>
      <c r="T382" s="30"/>
      <c r="U382" s="30" t="s">
        <v>75</v>
      </c>
      <c r="V382" s="30"/>
      <c r="W382" s="51" t="str">
        <f t="shared" si="17"/>
        <v>#NAME?</v>
      </c>
      <c r="X382" s="2"/>
      <c r="Y382" s="2"/>
      <c r="Z382" s="2"/>
      <c r="AA382" s="2"/>
      <c r="AB382" s="2"/>
      <c r="AC382" s="2"/>
      <c r="AD382" s="2"/>
      <c r="AE382" s="2"/>
    </row>
    <row r="383" ht="15.75" customHeight="1">
      <c r="A383" s="45">
        <v>50.0</v>
      </c>
      <c r="B383" s="45" t="str">
        <f t="shared" si="14"/>
        <v>#NAME?</v>
      </c>
      <c r="C383" s="45">
        <f t="shared" si="15"/>
        <v>4</v>
      </c>
      <c r="D383" s="75">
        <v>46127.0</v>
      </c>
      <c r="E383" s="75">
        <v>46127.0</v>
      </c>
      <c r="F383" s="45"/>
      <c r="G383" s="45" t="s">
        <v>2151</v>
      </c>
      <c r="H383" s="61" t="s">
        <v>2152</v>
      </c>
      <c r="I383" s="48">
        <v>34898.0</v>
      </c>
      <c r="J383" s="48"/>
      <c r="K383" s="48">
        <f t="shared" si="7"/>
        <v>257977</v>
      </c>
      <c r="L383" s="77" t="s">
        <v>45</v>
      </c>
      <c r="M383" s="77" t="s">
        <v>110</v>
      </c>
      <c r="N383" s="64"/>
      <c r="O383" s="77" t="s">
        <v>60</v>
      </c>
      <c r="P383" s="30" t="s">
        <v>57</v>
      </c>
      <c r="Q383" s="64" t="s">
        <v>58</v>
      </c>
      <c r="R383" s="30"/>
      <c r="S383" s="30"/>
      <c r="T383" s="30"/>
      <c r="U383" s="30" t="s">
        <v>75</v>
      </c>
      <c r="V383" s="30"/>
      <c r="W383" s="51" t="str">
        <f t="shared" si="17"/>
        <v>#NAME?</v>
      </c>
      <c r="X383" s="2"/>
      <c r="Y383" s="2"/>
      <c r="Z383" s="2"/>
      <c r="AA383" s="2"/>
      <c r="AB383" s="2"/>
      <c r="AC383" s="2"/>
      <c r="AD383" s="2"/>
      <c r="AE383" s="2"/>
    </row>
    <row r="384" ht="15.75" customHeight="1">
      <c r="A384" s="45">
        <v>49.0</v>
      </c>
      <c r="B384" s="45" t="str">
        <f t="shared" si="14"/>
        <v>#NAME?</v>
      </c>
      <c r="C384" s="45">
        <f t="shared" si="15"/>
        <v>4</v>
      </c>
      <c r="D384" s="75">
        <v>46127.0</v>
      </c>
      <c r="E384" s="75">
        <v>46127.0</v>
      </c>
      <c r="F384" s="45"/>
      <c r="G384" s="45" t="s">
        <v>2153</v>
      </c>
      <c r="H384" s="61" t="s">
        <v>2154</v>
      </c>
      <c r="I384" s="48">
        <v>8560.0</v>
      </c>
      <c r="J384" s="48"/>
      <c r="K384" s="48">
        <f t="shared" si="7"/>
        <v>292875</v>
      </c>
      <c r="L384" s="77" t="s">
        <v>45</v>
      </c>
      <c r="M384" s="77" t="s">
        <v>110</v>
      </c>
      <c r="N384" s="64"/>
      <c r="O384" s="77" t="s">
        <v>60</v>
      </c>
      <c r="P384" s="30" t="s">
        <v>57</v>
      </c>
      <c r="Q384" s="64" t="s">
        <v>58</v>
      </c>
      <c r="R384" s="30"/>
      <c r="S384" s="30"/>
      <c r="T384" s="30"/>
      <c r="U384" s="30" t="s">
        <v>75</v>
      </c>
      <c r="V384" s="30"/>
      <c r="W384" s="51" t="str">
        <f t="shared" si="17"/>
        <v>#NAME?</v>
      </c>
      <c r="X384" s="2"/>
      <c r="Y384" s="2"/>
      <c r="Z384" s="2"/>
      <c r="AA384" s="2"/>
      <c r="AB384" s="2"/>
      <c r="AC384" s="2"/>
      <c r="AD384" s="2"/>
      <c r="AE384" s="2"/>
    </row>
    <row r="385" ht="15.75" customHeight="1">
      <c r="A385" s="45">
        <v>48.0</v>
      </c>
      <c r="B385" s="45" t="str">
        <f t="shared" si="14"/>
        <v>#NAME?</v>
      </c>
      <c r="C385" s="45">
        <f t="shared" si="15"/>
        <v>4</v>
      </c>
      <c r="D385" s="75">
        <v>46127.0</v>
      </c>
      <c r="E385" s="75">
        <v>46127.0</v>
      </c>
      <c r="F385" s="45"/>
      <c r="G385" s="45" t="s">
        <v>2155</v>
      </c>
      <c r="H385" s="61" t="s">
        <v>2156</v>
      </c>
      <c r="I385" s="48">
        <v>11177.0</v>
      </c>
      <c r="J385" s="48"/>
      <c r="K385" s="48">
        <f t="shared" si="7"/>
        <v>301435</v>
      </c>
      <c r="L385" s="77" t="s">
        <v>45</v>
      </c>
      <c r="M385" s="77" t="s">
        <v>110</v>
      </c>
      <c r="N385" s="64"/>
      <c r="O385" s="77" t="s">
        <v>60</v>
      </c>
      <c r="P385" s="30" t="s">
        <v>57</v>
      </c>
      <c r="Q385" s="64" t="s">
        <v>58</v>
      </c>
      <c r="R385" s="30"/>
      <c r="S385" s="30"/>
      <c r="T385" s="30"/>
      <c r="U385" s="30" t="s">
        <v>75</v>
      </c>
      <c r="V385" s="30"/>
      <c r="W385" s="51" t="str">
        <f t="shared" si="17"/>
        <v>#NAME?</v>
      </c>
      <c r="X385" s="2"/>
      <c r="Y385" s="2"/>
      <c r="Z385" s="2"/>
      <c r="AA385" s="2"/>
      <c r="AB385" s="2"/>
      <c r="AC385" s="2"/>
      <c r="AD385" s="2"/>
      <c r="AE385" s="2"/>
    </row>
    <row r="386" ht="15.75" customHeight="1">
      <c r="A386" s="45">
        <v>47.0</v>
      </c>
      <c r="B386" s="45" t="str">
        <f t="shared" si="14"/>
        <v>#NAME?</v>
      </c>
      <c r="C386" s="45">
        <f t="shared" si="15"/>
        <v>4</v>
      </c>
      <c r="D386" s="75">
        <v>46127.0</v>
      </c>
      <c r="E386" s="75">
        <v>46127.0</v>
      </c>
      <c r="F386" s="45"/>
      <c r="G386" s="45" t="s">
        <v>2157</v>
      </c>
      <c r="H386" s="61" t="s">
        <v>2158</v>
      </c>
      <c r="I386" s="48">
        <v>8560.0</v>
      </c>
      <c r="J386" s="48"/>
      <c r="K386" s="48">
        <f t="shared" si="7"/>
        <v>312612</v>
      </c>
      <c r="L386" s="77" t="s">
        <v>45</v>
      </c>
      <c r="M386" s="77" t="s">
        <v>110</v>
      </c>
      <c r="N386" s="64"/>
      <c r="O386" s="77" t="s">
        <v>60</v>
      </c>
      <c r="P386" s="30" t="s">
        <v>57</v>
      </c>
      <c r="Q386" s="64" t="s">
        <v>58</v>
      </c>
      <c r="R386" s="30"/>
      <c r="S386" s="30"/>
      <c r="T386" s="30"/>
      <c r="U386" s="30" t="s">
        <v>75</v>
      </c>
      <c r="V386" s="30"/>
      <c r="W386" s="51" t="str">
        <f t="shared" si="17"/>
        <v>#NAME?</v>
      </c>
      <c r="X386" s="2"/>
      <c r="Y386" s="2"/>
      <c r="Z386" s="2"/>
      <c r="AA386" s="2"/>
      <c r="AB386" s="2"/>
      <c r="AC386" s="2"/>
      <c r="AD386" s="2"/>
      <c r="AE386" s="2"/>
    </row>
    <row r="387" ht="15.75" customHeight="1">
      <c r="A387" s="45">
        <v>46.0</v>
      </c>
      <c r="B387" s="45" t="str">
        <f t="shared" si="14"/>
        <v>#NAME?</v>
      </c>
      <c r="C387" s="45">
        <f t="shared" si="15"/>
        <v>4</v>
      </c>
      <c r="D387" s="75">
        <v>46127.0</v>
      </c>
      <c r="E387" s="75">
        <v>46127.0</v>
      </c>
      <c r="F387" s="45"/>
      <c r="G387" s="45" t="s">
        <v>2159</v>
      </c>
      <c r="H387" s="61" t="s">
        <v>2160</v>
      </c>
      <c r="I387" s="48">
        <v>7648.0</v>
      </c>
      <c r="J387" s="48"/>
      <c r="K387" s="48">
        <f t="shared" si="7"/>
        <v>321172</v>
      </c>
      <c r="L387" s="77" t="s">
        <v>45</v>
      </c>
      <c r="M387" s="77" t="s">
        <v>110</v>
      </c>
      <c r="N387" s="64"/>
      <c r="O387" s="77" t="s">
        <v>60</v>
      </c>
      <c r="P387" s="30" t="s">
        <v>57</v>
      </c>
      <c r="Q387" s="64" t="s">
        <v>58</v>
      </c>
      <c r="R387" s="30"/>
      <c r="S387" s="30"/>
      <c r="T387" s="30"/>
      <c r="U387" s="30" t="s">
        <v>75</v>
      </c>
      <c r="V387" s="30"/>
      <c r="W387" s="51" t="str">
        <f t="shared" si="17"/>
        <v>#NAME?</v>
      </c>
      <c r="X387" s="2"/>
      <c r="Y387" s="2"/>
      <c r="Z387" s="2"/>
      <c r="AA387" s="2"/>
      <c r="AB387" s="2"/>
      <c r="AC387" s="2"/>
      <c r="AD387" s="2"/>
      <c r="AE387" s="2"/>
    </row>
    <row r="388" ht="15.75" customHeight="1">
      <c r="A388" s="45">
        <v>45.0</v>
      </c>
      <c r="B388" s="45" t="str">
        <f t="shared" si="14"/>
        <v>#NAME?</v>
      </c>
      <c r="C388" s="45">
        <f t="shared" si="15"/>
        <v>4</v>
      </c>
      <c r="D388" s="75">
        <v>46127.0</v>
      </c>
      <c r="E388" s="75">
        <v>46127.0</v>
      </c>
      <c r="F388" s="45"/>
      <c r="G388" s="45" t="s">
        <v>2161</v>
      </c>
      <c r="H388" s="61" t="s">
        <v>2162</v>
      </c>
      <c r="I388" s="48">
        <v>5409.0</v>
      </c>
      <c r="J388" s="48"/>
      <c r="K388" s="48">
        <f t="shared" si="7"/>
        <v>328820</v>
      </c>
      <c r="L388" s="77" t="s">
        <v>45</v>
      </c>
      <c r="M388" s="77" t="s">
        <v>110</v>
      </c>
      <c r="N388" s="64"/>
      <c r="O388" s="77" t="s">
        <v>60</v>
      </c>
      <c r="P388" s="30" t="s">
        <v>57</v>
      </c>
      <c r="Q388" s="64" t="s">
        <v>58</v>
      </c>
      <c r="R388" s="30"/>
      <c r="S388" s="30"/>
      <c r="T388" s="30"/>
      <c r="U388" s="30" t="s">
        <v>75</v>
      </c>
      <c r="V388" s="30"/>
      <c r="W388" s="51" t="str">
        <f t="shared" si="17"/>
        <v>#NAME?</v>
      </c>
      <c r="X388" s="2"/>
      <c r="Y388" s="2"/>
      <c r="Z388" s="2"/>
      <c r="AA388" s="2"/>
      <c r="AB388" s="2"/>
      <c r="AC388" s="2"/>
      <c r="AD388" s="2"/>
      <c r="AE388" s="2"/>
    </row>
    <row r="389" ht="15.75" customHeight="1">
      <c r="A389" s="45">
        <v>44.0</v>
      </c>
      <c r="B389" s="45" t="str">
        <f t="shared" si="14"/>
        <v>#NAME?</v>
      </c>
      <c r="C389" s="45">
        <f t="shared" si="15"/>
        <v>4</v>
      </c>
      <c r="D389" s="75">
        <v>46127.0</v>
      </c>
      <c r="E389" s="75">
        <v>46127.0</v>
      </c>
      <c r="F389" s="45"/>
      <c r="G389" s="45" t="s">
        <v>2163</v>
      </c>
      <c r="H389" s="61" t="s">
        <v>2164</v>
      </c>
      <c r="I389" s="48">
        <v>20998.0</v>
      </c>
      <c r="J389" s="48"/>
      <c r="K389" s="48">
        <f t="shared" si="7"/>
        <v>334229</v>
      </c>
      <c r="L389" s="77" t="s">
        <v>45</v>
      </c>
      <c r="M389" s="77" t="s">
        <v>110</v>
      </c>
      <c r="N389" s="64"/>
      <c r="O389" s="77" t="s">
        <v>60</v>
      </c>
      <c r="P389" s="30" t="s">
        <v>57</v>
      </c>
      <c r="Q389" s="64" t="s">
        <v>58</v>
      </c>
      <c r="R389" s="30"/>
      <c r="S389" s="30"/>
      <c r="T389" s="30"/>
      <c r="U389" s="30" t="s">
        <v>75</v>
      </c>
      <c r="V389" s="30"/>
      <c r="W389" s="51" t="str">
        <f t="shared" si="17"/>
        <v>#NAME?</v>
      </c>
      <c r="X389" s="2"/>
      <c r="Y389" s="2"/>
      <c r="Z389" s="2"/>
      <c r="AA389" s="2"/>
      <c r="AB389" s="2"/>
      <c r="AC389" s="2"/>
      <c r="AD389" s="2"/>
      <c r="AE389" s="2"/>
    </row>
    <row r="390" ht="15.75" customHeight="1">
      <c r="A390" s="45">
        <v>43.0</v>
      </c>
      <c r="B390" s="45" t="str">
        <f t="shared" si="14"/>
        <v>#NAME?</v>
      </c>
      <c r="C390" s="45">
        <f t="shared" si="15"/>
        <v>4</v>
      </c>
      <c r="D390" s="75">
        <v>46127.0</v>
      </c>
      <c r="E390" s="75">
        <v>46127.0</v>
      </c>
      <c r="F390" s="45"/>
      <c r="G390" s="45" t="s">
        <v>2165</v>
      </c>
      <c r="H390" s="61" t="s">
        <v>2166</v>
      </c>
      <c r="I390" s="48">
        <v>9588.0</v>
      </c>
      <c r="J390" s="48"/>
      <c r="K390" s="48">
        <f t="shared" si="7"/>
        <v>355227</v>
      </c>
      <c r="L390" s="77" t="s">
        <v>45</v>
      </c>
      <c r="M390" s="77" t="s">
        <v>110</v>
      </c>
      <c r="N390" s="64"/>
      <c r="O390" s="77" t="s">
        <v>60</v>
      </c>
      <c r="P390" s="30" t="s">
        <v>57</v>
      </c>
      <c r="Q390" s="64" t="s">
        <v>58</v>
      </c>
      <c r="R390" s="30"/>
      <c r="S390" s="30"/>
      <c r="T390" s="30"/>
      <c r="U390" s="30" t="s">
        <v>75</v>
      </c>
      <c r="V390" s="30"/>
      <c r="W390" s="51" t="str">
        <f t="shared" si="17"/>
        <v>#NAME?</v>
      </c>
      <c r="X390" s="2"/>
      <c r="Y390" s="2"/>
      <c r="Z390" s="2"/>
      <c r="AA390" s="2"/>
      <c r="AB390" s="2"/>
      <c r="AC390" s="2"/>
      <c r="AD390" s="2"/>
      <c r="AE390" s="2"/>
    </row>
    <row r="391" ht="15.75" customHeight="1">
      <c r="A391" s="45">
        <v>42.0</v>
      </c>
      <c r="B391" s="45" t="str">
        <f t="shared" si="14"/>
        <v>#NAME?</v>
      </c>
      <c r="C391" s="45">
        <f t="shared" si="15"/>
        <v>4</v>
      </c>
      <c r="D391" s="75">
        <v>46127.0</v>
      </c>
      <c r="E391" s="75">
        <v>46127.0</v>
      </c>
      <c r="F391" s="45"/>
      <c r="G391" s="45" t="s">
        <v>2167</v>
      </c>
      <c r="H391" s="61" t="s">
        <v>2168</v>
      </c>
      <c r="I391" s="48">
        <v>29898.0</v>
      </c>
      <c r="J391" s="48"/>
      <c r="K391" s="48">
        <f t="shared" si="7"/>
        <v>364815</v>
      </c>
      <c r="L391" s="77" t="s">
        <v>45</v>
      </c>
      <c r="M391" s="77" t="s">
        <v>110</v>
      </c>
      <c r="N391" s="64"/>
      <c r="O391" s="77" t="s">
        <v>60</v>
      </c>
      <c r="P391" s="30" t="s">
        <v>57</v>
      </c>
      <c r="Q391" s="64" t="s">
        <v>58</v>
      </c>
      <c r="R391" s="30"/>
      <c r="S391" s="30"/>
      <c r="T391" s="30"/>
      <c r="U391" s="30" t="s">
        <v>75</v>
      </c>
      <c r="V391" s="30"/>
      <c r="W391" s="51" t="str">
        <f t="shared" si="17"/>
        <v>#NAME?</v>
      </c>
      <c r="X391" s="2"/>
      <c r="Y391" s="2"/>
      <c r="Z391" s="2"/>
      <c r="AA391" s="2"/>
      <c r="AB391" s="2"/>
      <c r="AC391" s="2"/>
      <c r="AD391" s="2"/>
      <c r="AE391" s="2"/>
    </row>
    <row r="392" ht="15.75" customHeight="1">
      <c r="A392" s="45">
        <v>41.0</v>
      </c>
      <c r="B392" s="45" t="str">
        <f t="shared" si="14"/>
        <v>#NAME?</v>
      </c>
      <c r="C392" s="45">
        <f t="shared" si="15"/>
        <v>4</v>
      </c>
      <c r="D392" s="75">
        <v>46127.0</v>
      </c>
      <c r="E392" s="75">
        <v>46127.0</v>
      </c>
      <c r="F392" s="45"/>
      <c r="G392" s="45" t="s">
        <v>2169</v>
      </c>
      <c r="H392" s="61" t="s">
        <v>2170</v>
      </c>
      <c r="I392" s="48">
        <v>6505.0</v>
      </c>
      <c r="J392" s="48"/>
      <c r="K392" s="48">
        <f t="shared" si="7"/>
        <v>394713</v>
      </c>
      <c r="L392" s="77" t="s">
        <v>45</v>
      </c>
      <c r="M392" s="77" t="s">
        <v>110</v>
      </c>
      <c r="N392" s="64"/>
      <c r="O392" s="77" t="s">
        <v>60</v>
      </c>
      <c r="P392" s="30" t="s">
        <v>57</v>
      </c>
      <c r="Q392" s="64" t="s">
        <v>58</v>
      </c>
      <c r="R392" s="30"/>
      <c r="S392" s="30"/>
      <c r="T392" s="30"/>
      <c r="U392" s="30" t="s">
        <v>75</v>
      </c>
      <c r="V392" s="30"/>
      <c r="W392" s="51" t="str">
        <f t="shared" si="17"/>
        <v>#NAME?</v>
      </c>
      <c r="X392" s="2"/>
      <c r="Y392" s="2"/>
      <c r="Z392" s="2"/>
      <c r="AA392" s="2"/>
      <c r="AB392" s="2"/>
      <c r="AC392" s="2"/>
      <c r="AD392" s="2"/>
      <c r="AE392" s="2"/>
    </row>
    <row r="393" ht="15.75" customHeight="1">
      <c r="A393" s="45">
        <v>40.0</v>
      </c>
      <c r="B393" s="45" t="str">
        <f t="shared" si="14"/>
        <v>#NAME?</v>
      </c>
      <c r="C393" s="45">
        <f t="shared" si="15"/>
        <v>4</v>
      </c>
      <c r="D393" s="75">
        <v>46127.0</v>
      </c>
      <c r="E393" s="75">
        <v>46127.0</v>
      </c>
      <c r="F393" s="45"/>
      <c r="G393" s="45" t="s">
        <v>2171</v>
      </c>
      <c r="H393" s="61" t="s">
        <v>2172</v>
      </c>
      <c r="I393" s="48">
        <v>11654.0</v>
      </c>
      <c r="J393" s="48"/>
      <c r="K393" s="48">
        <f t="shared" si="7"/>
        <v>401218</v>
      </c>
      <c r="L393" s="77" t="s">
        <v>45</v>
      </c>
      <c r="M393" s="77" t="s">
        <v>110</v>
      </c>
      <c r="N393" s="64"/>
      <c r="O393" s="77" t="s">
        <v>60</v>
      </c>
      <c r="P393" s="30" t="s">
        <v>57</v>
      </c>
      <c r="Q393" s="64" t="s">
        <v>58</v>
      </c>
      <c r="R393" s="30"/>
      <c r="S393" s="30"/>
      <c r="T393" s="30"/>
      <c r="U393" s="30" t="s">
        <v>75</v>
      </c>
      <c r="V393" s="30"/>
      <c r="W393" s="51" t="str">
        <f t="shared" si="17"/>
        <v>#NAME?</v>
      </c>
      <c r="X393" s="2"/>
      <c r="Y393" s="2"/>
      <c r="Z393" s="2"/>
      <c r="AA393" s="2"/>
      <c r="AB393" s="2"/>
      <c r="AC393" s="2"/>
      <c r="AD393" s="2"/>
      <c r="AE393" s="2"/>
    </row>
    <row r="394" ht="15.75" customHeight="1">
      <c r="A394" s="45">
        <v>39.0</v>
      </c>
      <c r="B394" s="45" t="str">
        <f t="shared" si="14"/>
        <v>#NAME?</v>
      </c>
      <c r="C394" s="45">
        <f t="shared" si="15"/>
        <v>4</v>
      </c>
      <c r="D394" s="75">
        <v>46127.0</v>
      </c>
      <c r="E394" s="75">
        <v>46127.0</v>
      </c>
      <c r="F394" s="45"/>
      <c r="G394" s="45" t="s">
        <v>2173</v>
      </c>
      <c r="H394" s="61" t="s">
        <v>2174</v>
      </c>
      <c r="I394" s="48">
        <v>721.0</v>
      </c>
      <c r="J394" s="48"/>
      <c r="K394" s="48">
        <f t="shared" si="7"/>
        <v>412872</v>
      </c>
      <c r="L394" s="77" t="s">
        <v>45</v>
      </c>
      <c r="M394" s="77" t="s">
        <v>110</v>
      </c>
      <c r="N394" s="64"/>
      <c r="O394" s="77" t="s">
        <v>60</v>
      </c>
      <c r="P394" s="30" t="s">
        <v>57</v>
      </c>
      <c r="Q394" s="64" t="s">
        <v>58</v>
      </c>
      <c r="R394" s="30"/>
      <c r="S394" s="30"/>
      <c r="T394" s="30"/>
      <c r="U394" s="30" t="s">
        <v>75</v>
      </c>
      <c r="V394" s="30"/>
      <c r="W394" s="51" t="str">
        <f t="shared" si="17"/>
        <v>#NAME?</v>
      </c>
      <c r="X394" s="2"/>
      <c r="Y394" s="2"/>
      <c r="Z394" s="2"/>
      <c r="AA394" s="2"/>
      <c r="AB394" s="2"/>
      <c r="AC394" s="2"/>
      <c r="AD394" s="2"/>
      <c r="AE394" s="2"/>
    </row>
    <row r="395" ht="15.75" customHeight="1">
      <c r="A395" s="45">
        <v>38.0</v>
      </c>
      <c r="B395" s="45" t="str">
        <f t="shared" si="14"/>
        <v>#NAME?</v>
      </c>
      <c r="C395" s="45">
        <f t="shared" si="15"/>
        <v>4</v>
      </c>
      <c r="D395" s="75">
        <v>46127.0</v>
      </c>
      <c r="E395" s="75">
        <v>46127.0</v>
      </c>
      <c r="F395" s="45"/>
      <c r="G395" s="45" t="s">
        <v>2175</v>
      </c>
      <c r="H395" s="61" t="s">
        <v>2176</v>
      </c>
      <c r="I395" s="48">
        <v>4326.0</v>
      </c>
      <c r="J395" s="48"/>
      <c r="K395" s="48">
        <f t="shared" si="7"/>
        <v>413593</v>
      </c>
      <c r="L395" s="77" t="s">
        <v>45</v>
      </c>
      <c r="M395" s="77" t="s">
        <v>110</v>
      </c>
      <c r="N395" s="64"/>
      <c r="O395" s="77" t="s">
        <v>60</v>
      </c>
      <c r="P395" s="30" t="s">
        <v>57</v>
      </c>
      <c r="Q395" s="64" t="s">
        <v>58</v>
      </c>
      <c r="R395" s="30"/>
      <c r="S395" s="30"/>
      <c r="T395" s="30"/>
      <c r="U395" s="30" t="s">
        <v>75</v>
      </c>
      <c r="V395" s="30"/>
      <c r="W395" s="51" t="str">
        <f t="shared" si="17"/>
        <v>#NAME?</v>
      </c>
      <c r="X395" s="2"/>
      <c r="Y395" s="2"/>
      <c r="Z395" s="2"/>
      <c r="AA395" s="2"/>
      <c r="AB395" s="2"/>
      <c r="AC395" s="2"/>
      <c r="AD395" s="2"/>
      <c r="AE395" s="2"/>
    </row>
    <row r="396" ht="15.75" customHeight="1">
      <c r="A396" s="45">
        <v>37.0</v>
      </c>
      <c r="B396" s="45" t="str">
        <f t="shared" si="14"/>
        <v>#NAME?</v>
      </c>
      <c r="C396" s="45">
        <f t="shared" si="15"/>
        <v>4</v>
      </c>
      <c r="D396" s="75">
        <v>46127.0</v>
      </c>
      <c r="E396" s="75">
        <v>46127.0</v>
      </c>
      <c r="F396" s="45"/>
      <c r="G396" s="45" t="s">
        <v>2177</v>
      </c>
      <c r="H396" s="61" t="s">
        <v>2178</v>
      </c>
      <c r="I396" s="48">
        <v>26998.0</v>
      </c>
      <c r="J396" s="48"/>
      <c r="K396" s="48">
        <f t="shared" si="7"/>
        <v>417919</v>
      </c>
      <c r="L396" s="77" t="s">
        <v>45</v>
      </c>
      <c r="M396" s="77" t="s">
        <v>67</v>
      </c>
      <c r="N396" s="64"/>
      <c r="O396" s="77" t="s">
        <v>60</v>
      </c>
      <c r="P396" s="30" t="s">
        <v>57</v>
      </c>
      <c r="Q396" s="64" t="s">
        <v>58</v>
      </c>
      <c r="R396" s="30"/>
      <c r="S396" s="30"/>
      <c r="T396" s="30"/>
      <c r="U396" s="30" t="s">
        <v>499</v>
      </c>
      <c r="V396" s="30"/>
      <c r="W396" s="51" t="str">
        <f t="shared" si="17"/>
        <v>#NAME?</v>
      </c>
      <c r="X396" s="2"/>
      <c r="Y396" s="2"/>
      <c r="Z396" s="2"/>
      <c r="AA396" s="2"/>
      <c r="AB396" s="2"/>
      <c r="AC396" s="2"/>
      <c r="AD396" s="2"/>
      <c r="AE396" s="2"/>
    </row>
    <row r="397" ht="15.75" customHeight="1">
      <c r="A397" s="45">
        <v>36.0</v>
      </c>
      <c r="B397" s="45" t="str">
        <f t="shared" si="14"/>
        <v>#NAME?</v>
      </c>
      <c r="C397" s="45">
        <f t="shared" si="15"/>
        <v>4</v>
      </c>
      <c r="D397" s="75">
        <v>46127.0</v>
      </c>
      <c r="E397" s="75">
        <v>46127.0</v>
      </c>
      <c r="F397" s="45"/>
      <c r="G397" s="45" t="s">
        <v>2179</v>
      </c>
      <c r="H397" s="61" t="s">
        <v>2180</v>
      </c>
      <c r="I397" s="48">
        <v>12579.0</v>
      </c>
      <c r="J397" s="48"/>
      <c r="K397" s="48">
        <f t="shared" si="7"/>
        <v>444917</v>
      </c>
      <c r="L397" s="77" t="s">
        <v>45</v>
      </c>
      <c r="M397" s="77" t="s">
        <v>110</v>
      </c>
      <c r="N397" s="64"/>
      <c r="O397" s="77" t="s">
        <v>60</v>
      </c>
      <c r="P397" s="30" t="s">
        <v>57</v>
      </c>
      <c r="Q397" s="64" t="s">
        <v>58</v>
      </c>
      <c r="R397" s="30"/>
      <c r="S397" s="30"/>
      <c r="T397" s="30"/>
      <c r="U397" s="30" t="s">
        <v>75</v>
      </c>
      <c r="V397" s="30"/>
      <c r="W397" s="51" t="str">
        <f t="shared" si="17"/>
        <v>#NAME?</v>
      </c>
      <c r="X397" s="2"/>
      <c r="Y397" s="2"/>
      <c r="Z397" s="2"/>
      <c r="AA397" s="2"/>
      <c r="AB397" s="2"/>
      <c r="AC397" s="2"/>
      <c r="AD397" s="2"/>
      <c r="AE397" s="2"/>
    </row>
    <row r="398" ht="15.75" customHeight="1">
      <c r="A398" s="45">
        <v>35.0</v>
      </c>
      <c r="B398" s="45" t="str">
        <f t="shared" si="14"/>
        <v>#NAME?</v>
      </c>
      <c r="C398" s="45">
        <f t="shared" si="15"/>
        <v>4</v>
      </c>
      <c r="D398" s="75">
        <v>46127.0</v>
      </c>
      <c r="E398" s="75">
        <v>46127.0</v>
      </c>
      <c r="F398" s="45"/>
      <c r="G398" s="45" t="s">
        <v>2181</v>
      </c>
      <c r="H398" s="61" t="s">
        <v>2182</v>
      </c>
      <c r="I398" s="48">
        <v>16764.0</v>
      </c>
      <c r="J398" s="48"/>
      <c r="K398" s="48">
        <f t="shared" si="7"/>
        <v>457496</v>
      </c>
      <c r="L398" s="77" t="s">
        <v>45</v>
      </c>
      <c r="M398" s="77" t="s">
        <v>110</v>
      </c>
      <c r="N398" s="64"/>
      <c r="O398" s="77" t="s">
        <v>60</v>
      </c>
      <c r="P398" s="30" t="s">
        <v>57</v>
      </c>
      <c r="Q398" s="64" t="s">
        <v>58</v>
      </c>
      <c r="R398" s="30"/>
      <c r="S398" s="30"/>
      <c r="T398" s="30"/>
      <c r="U398" s="30" t="s">
        <v>75</v>
      </c>
      <c r="V398" s="30"/>
      <c r="W398" s="51" t="str">
        <f t="shared" si="17"/>
        <v>#NAME?</v>
      </c>
      <c r="X398" s="2"/>
      <c r="Y398" s="2"/>
      <c r="Z398" s="2"/>
      <c r="AA398" s="2"/>
      <c r="AB398" s="2"/>
      <c r="AC398" s="2"/>
      <c r="AD398" s="2"/>
      <c r="AE398" s="2"/>
    </row>
    <row r="399" ht="15.75" customHeight="1">
      <c r="A399" s="45">
        <v>34.0</v>
      </c>
      <c r="B399" s="45" t="str">
        <f t="shared" si="14"/>
        <v>#NAME?</v>
      </c>
      <c r="C399" s="45">
        <f t="shared" si="15"/>
        <v>4</v>
      </c>
      <c r="D399" s="75">
        <v>46127.0</v>
      </c>
      <c r="E399" s="75">
        <v>46127.0</v>
      </c>
      <c r="F399" s="45"/>
      <c r="G399" s="45" t="s">
        <v>2183</v>
      </c>
      <c r="H399" s="61" t="s">
        <v>2184</v>
      </c>
      <c r="I399" s="48">
        <v>8904.0</v>
      </c>
      <c r="J399" s="48"/>
      <c r="K399" s="48">
        <f t="shared" si="7"/>
        <v>474260</v>
      </c>
      <c r="L399" s="77" t="s">
        <v>45</v>
      </c>
      <c r="M399" s="77" t="s">
        <v>110</v>
      </c>
      <c r="N399" s="64"/>
      <c r="O399" s="77" t="s">
        <v>60</v>
      </c>
      <c r="P399" s="30" t="s">
        <v>57</v>
      </c>
      <c r="Q399" s="64" t="s">
        <v>58</v>
      </c>
      <c r="R399" s="30"/>
      <c r="S399" s="30"/>
      <c r="T399" s="30"/>
      <c r="U399" s="30" t="s">
        <v>75</v>
      </c>
      <c r="V399" s="30"/>
      <c r="W399" s="51" t="str">
        <f t="shared" si="17"/>
        <v>#NAME?</v>
      </c>
      <c r="X399" s="2"/>
      <c r="Y399" s="2"/>
      <c r="Z399" s="2"/>
      <c r="AA399" s="2"/>
      <c r="AB399" s="2"/>
      <c r="AC399" s="2"/>
      <c r="AD399" s="2"/>
      <c r="AE399" s="2"/>
    </row>
    <row r="400" ht="15.75" customHeight="1">
      <c r="A400" s="45">
        <v>33.0</v>
      </c>
      <c r="B400" s="45" t="str">
        <f t="shared" si="14"/>
        <v>#NAME?</v>
      </c>
      <c r="C400" s="45">
        <f t="shared" si="15"/>
        <v>4</v>
      </c>
      <c r="D400" s="75">
        <v>46127.0</v>
      </c>
      <c r="E400" s="75">
        <v>46127.0</v>
      </c>
      <c r="F400" s="45"/>
      <c r="G400" s="45" t="s">
        <v>2185</v>
      </c>
      <c r="H400" s="61" t="s">
        <v>2186</v>
      </c>
      <c r="I400" s="48">
        <v>8732.0</v>
      </c>
      <c r="J400" s="48"/>
      <c r="K400" s="48">
        <f t="shared" si="7"/>
        <v>483164</v>
      </c>
      <c r="L400" s="77" t="s">
        <v>45</v>
      </c>
      <c r="M400" s="77" t="s">
        <v>110</v>
      </c>
      <c r="N400" s="64"/>
      <c r="O400" s="77" t="s">
        <v>60</v>
      </c>
      <c r="P400" s="30" t="s">
        <v>57</v>
      </c>
      <c r="Q400" s="64" t="s">
        <v>58</v>
      </c>
      <c r="R400" s="30"/>
      <c r="S400" s="30"/>
      <c r="T400" s="30"/>
      <c r="U400" s="30" t="s">
        <v>75</v>
      </c>
      <c r="V400" s="30"/>
      <c r="W400" s="51" t="str">
        <f t="shared" si="17"/>
        <v>#NAME?</v>
      </c>
      <c r="X400" s="2"/>
      <c r="Y400" s="2"/>
      <c r="Z400" s="2"/>
      <c r="AA400" s="2"/>
      <c r="AB400" s="2"/>
      <c r="AC400" s="2"/>
      <c r="AD400" s="2"/>
      <c r="AE400" s="2"/>
    </row>
    <row r="401" ht="15.75" customHeight="1">
      <c r="A401" s="45">
        <v>32.0</v>
      </c>
      <c r="B401" s="45" t="str">
        <f t="shared" si="14"/>
        <v>#NAME?</v>
      </c>
      <c r="C401" s="45">
        <f t="shared" si="15"/>
        <v>4</v>
      </c>
      <c r="D401" s="75">
        <v>46127.0</v>
      </c>
      <c r="E401" s="75">
        <v>46127.0</v>
      </c>
      <c r="F401" s="45"/>
      <c r="G401" s="45" t="s">
        <v>2187</v>
      </c>
      <c r="H401" s="61" t="s">
        <v>2188</v>
      </c>
      <c r="I401" s="48">
        <v>23298.0</v>
      </c>
      <c r="J401" s="48"/>
      <c r="K401" s="48">
        <f t="shared" si="7"/>
        <v>491896</v>
      </c>
      <c r="L401" s="77" t="s">
        <v>45</v>
      </c>
      <c r="M401" s="77" t="s">
        <v>110</v>
      </c>
      <c r="N401" s="64"/>
      <c r="O401" s="77" t="s">
        <v>60</v>
      </c>
      <c r="P401" s="30" t="s">
        <v>57</v>
      </c>
      <c r="Q401" s="64" t="s">
        <v>58</v>
      </c>
      <c r="R401" s="30"/>
      <c r="S401" s="30"/>
      <c r="T401" s="30"/>
      <c r="U401" s="30" t="s">
        <v>75</v>
      </c>
      <c r="V401" s="30"/>
      <c r="W401" s="51" t="str">
        <f t="shared" si="17"/>
        <v>#NAME?</v>
      </c>
      <c r="X401" s="2"/>
      <c r="Y401" s="2"/>
      <c r="Z401" s="2"/>
      <c r="AA401" s="2"/>
      <c r="AB401" s="2"/>
      <c r="AC401" s="2"/>
      <c r="AD401" s="2"/>
      <c r="AE401" s="2"/>
    </row>
    <row r="402" ht="15.75" customHeight="1">
      <c r="A402" s="45">
        <v>31.0</v>
      </c>
      <c r="B402" s="45" t="str">
        <f t="shared" si="14"/>
        <v>#NAME?</v>
      </c>
      <c r="C402" s="45">
        <f t="shared" si="15"/>
        <v>4</v>
      </c>
      <c r="D402" s="75">
        <v>46127.0</v>
      </c>
      <c r="E402" s="75">
        <v>46127.0</v>
      </c>
      <c r="F402" s="45"/>
      <c r="G402" s="45" t="s">
        <v>2189</v>
      </c>
      <c r="H402" s="61" t="s">
        <v>2190</v>
      </c>
      <c r="I402" s="48">
        <v>20680.0</v>
      </c>
      <c r="J402" s="48"/>
      <c r="K402" s="48">
        <f t="shared" si="7"/>
        <v>515194</v>
      </c>
      <c r="L402" s="77" t="s">
        <v>45</v>
      </c>
      <c r="M402" s="77" t="s">
        <v>110</v>
      </c>
      <c r="N402" s="64"/>
      <c r="O402" s="77" t="s">
        <v>60</v>
      </c>
      <c r="P402" s="30" t="s">
        <v>57</v>
      </c>
      <c r="Q402" s="64" t="s">
        <v>58</v>
      </c>
      <c r="R402" s="30"/>
      <c r="S402" s="30"/>
      <c r="T402" s="30"/>
      <c r="U402" s="30" t="s">
        <v>75</v>
      </c>
      <c r="V402" s="30"/>
      <c r="W402" s="51" t="str">
        <f t="shared" si="17"/>
        <v>#NAME?</v>
      </c>
      <c r="X402" s="2"/>
      <c r="Y402" s="2"/>
      <c r="Z402" s="2"/>
      <c r="AA402" s="2"/>
      <c r="AB402" s="2"/>
      <c r="AC402" s="2"/>
      <c r="AD402" s="2"/>
      <c r="AE402" s="2"/>
    </row>
    <row r="403" ht="15.75" customHeight="1">
      <c r="A403" s="45">
        <v>30.0</v>
      </c>
      <c r="B403" s="45" t="str">
        <f t="shared" si="14"/>
        <v>#NAME?</v>
      </c>
      <c r="C403" s="45">
        <f t="shared" si="15"/>
        <v>4</v>
      </c>
      <c r="D403" s="75">
        <v>46127.0</v>
      </c>
      <c r="E403" s="75">
        <v>46127.0</v>
      </c>
      <c r="F403" s="45"/>
      <c r="G403" s="45" t="s">
        <v>2191</v>
      </c>
      <c r="H403" s="61" t="s">
        <v>2192</v>
      </c>
      <c r="I403" s="48"/>
      <c r="J403" s="48">
        <v>500000.0</v>
      </c>
      <c r="K403" s="48">
        <f t="shared" si="7"/>
        <v>535874</v>
      </c>
      <c r="L403" s="77" t="s">
        <v>45</v>
      </c>
      <c r="M403" s="77" t="s">
        <v>47</v>
      </c>
      <c r="N403" s="64"/>
      <c r="O403" s="77" t="s">
        <v>60</v>
      </c>
      <c r="P403" s="30" t="s">
        <v>74</v>
      </c>
      <c r="Q403" s="64" t="s">
        <v>50</v>
      </c>
      <c r="R403" s="30"/>
      <c r="S403" s="30"/>
      <c r="T403" s="30"/>
      <c r="U403" s="30" t="s">
        <v>75</v>
      </c>
      <c r="V403" s="30"/>
      <c r="W403" s="51" t="str">
        <f t="shared" si="17"/>
        <v>#NAME?</v>
      </c>
      <c r="X403" s="2"/>
      <c r="Y403" s="2"/>
      <c r="Z403" s="2"/>
      <c r="AA403" s="2"/>
      <c r="AB403" s="2"/>
      <c r="AC403" s="2"/>
      <c r="AD403" s="2"/>
      <c r="AE403" s="2"/>
    </row>
    <row r="404" ht="15.75" customHeight="1">
      <c r="A404" s="45">
        <v>29.0</v>
      </c>
      <c r="B404" s="45" t="str">
        <f t="shared" si="14"/>
        <v>#NAME?</v>
      </c>
      <c r="C404" s="45">
        <f t="shared" si="15"/>
        <v>4</v>
      </c>
      <c r="D404" s="75">
        <v>46126.0</v>
      </c>
      <c r="E404" s="75">
        <v>46126.0</v>
      </c>
      <c r="F404" s="45"/>
      <c r="G404" s="45" t="s">
        <v>2193</v>
      </c>
      <c r="H404" s="61" t="s">
        <v>2194</v>
      </c>
      <c r="I404" s="48">
        <v>64546.0</v>
      </c>
      <c r="J404" s="48"/>
      <c r="K404" s="48">
        <f t="shared" si="7"/>
        <v>35874</v>
      </c>
      <c r="L404" s="77" t="s">
        <v>45</v>
      </c>
      <c r="M404" s="77" t="s">
        <v>67</v>
      </c>
      <c r="N404" s="64"/>
      <c r="O404" s="77" t="s">
        <v>60</v>
      </c>
      <c r="P404" s="30" t="s">
        <v>57</v>
      </c>
      <c r="Q404" s="64" t="s">
        <v>58</v>
      </c>
      <c r="R404" s="30"/>
      <c r="S404" s="30"/>
      <c r="T404" s="30"/>
      <c r="U404" s="30" t="s">
        <v>499</v>
      </c>
      <c r="V404" s="30"/>
      <c r="W404" s="51" t="str">
        <f t="shared" si="17"/>
        <v>#NAME?</v>
      </c>
      <c r="X404" s="2"/>
      <c r="Y404" s="2"/>
      <c r="Z404" s="2"/>
      <c r="AA404" s="2"/>
      <c r="AB404" s="2"/>
      <c r="AC404" s="2"/>
      <c r="AD404" s="2"/>
      <c r="AE404" s="2"/>
    </row>
    <row r="405" ht="15.75" customHeight="1">
      <c r="A405" s="45">
        <v>28.0</v>
      </c>
      <c r="B405" s="45" t="str">
        <f t="shared" si="14"/>
        <v>#NAME?</v>
      </c>
      <c r="C405" s="45">
        <f t="shared" si="15"/>
        <v>4</v>
      </c>
      <c r="D405" s="75">
        <v>46126.0</v>
      </c>
      <c r="E405" s="75">
        <v>46126.0</v>
      </c>
      <c r="F405" s="45"/>
      <c r="G405" s="45" t="s">
        <v>2195</v>
      </c>
      <c r="H405" s="61" t="s">
        <v>2196</v>
      </c>
      <c r="I405" s="48"/>
      <c r="J405" s="48">
        <v>100000.0</v>
      </c>
      <c r="K405" s="48">
        <f t="shared" si="7"/>
        <v>100420</v>
      </c>
      <c r="L405" s="77" t="s">
        <v>45</v>
      </c>
      <c r="M405" s="77" t="s">
        <v>47</v>
      </c>
      <c r="N405" s="64"/>
      <c r="O405" s="77" t="s">
        <v>60</v>
      </c>
      <c r="P405" s="30" t="s">
        <v>74</v>
      </c>
      <c r="Q405" s="64" t="s">
        <v>50</v>
      </c>
      <c r="R405" s="30"/>
      <c r="S405" s="30"/>
      <c r="T405" s="30"/>
      <c r="U405" s="30" t="s">
        <v>75</v>
      </c>
      <c r="V405" s="30"/>
      <c r="W405" s="51" t="str">
        <f t="shared" si="17"/>
        <v>#NAME?</v>
      </c>
      <c r="X405" s="2"/>
      <c r="Y405" s="2"/>
      <c r="Z405" s="2"/>
      <c r="AA405" s="2"/>
      <c r="AB405" s="2"/>
      <c r="AC405" s="2"/>
      <c r="AD405" s="2"/>
      <c r="AE405" s="2"/>
    </row>
    <row r="406" ht="15.75" customHeight="1">
      <c r="A406" s="45">
        <v>27.0</v>
      </c>
      <c r="B406" s="45" t="str">
        <f t="shared" si="14"/>
        <v>#NAME?</v>
      </c>
      <c r="C406" s="45">
        <f t="shared" si="15"/>
        <v>4</v>
      </c>
      <c r="D406" s="75">
        <v>46125.0</v>
      </c>
      <c r="E406" s="75">
        <v>46125.0</v>
      </c>
      <c r="F406" s="45"/>
      <c r="G406" s="45" t="s">
        <v>2197</v>
      </c>
      <c r="H406" s="61" t="s">
        <v>2198</v>
      </c>
      <c r="I406" s="48">
        <v>7425.0</v>
      </c>
      <c r="J406" s="48"/>
      <c r="K406" s="48">
        <f t="shared" si="7"/>
        <v>420</v>
      </c>
      <c r="L406" s="77" t="s">
        <v>45</v>
      </c>
      <c r="M406" s="77" t="s">
        <v>55</v>
      </c>
      <c r="N406" s="64"/>
      <c r="O406" s="77" t="s">
        <v>60</v>
      </c>
      <c r="P406" s="30" t="s">
        <v>57</v>
      </c>
      <c r="Q406" s="64" t="s">
        <v>58</v>
      </c>
      <c r="R406" s="30"/>
      <c r="S406" s="30"/>
      <c r="T406" s="30"/>
      <c r="U406" s="30" t="s">
        <v>156</v>
      </c>
      <c r="V406" s="30"/>
      <c r="W406" s="51" t="str">
        <f t="shared" si="17"/>
        <v>#NAME?</v>
      </c>
      <c r="X406" s="2"/>
      <c r="Y406" s="2"/>
      <c r="Z406" s="2"/>
      <c r="AA406" s="2"/>
      <c r="AB406" s="2"/>
      <c r="AC406" s="2"/>
      <c r="AD406" s="2"/>
      <c r="AE406" s="2"/>
    </row>
    <row r="407" ht="15.75" customHeight="1">
      <c r="A407" s="45">
        <v>26.0</v>
      </c>
      <c r="B407" s="45" t="str">
        <f t="shared" si="14"/>
        <v>#NAME?</v>
      </c>
      <c r="C407" s="45">
        <f t="shared" si="15"/>
        <v>4</v>
      </c>
      <c r="D407" s="75">
        <v>46125.0</v>
      </c>
      <c r="E407" s="75">
        <v>46125.0</v>
      </c>
      <c r="F407" s="45"/>
      <c r="G407" s="45" t="s">
        <v>2199</v>
      </c>
      <c r="H407" s="61" t="s">
        <v>2200</v>
      </c>
      <c r="I407" s="48">
        <v>4554.0</v>
      </c>
      <c r="J407" s="48"/>
      <c r="K407" s="48">
        <f t="shared" si="7"/>
        <v>7845</v>
      </c>
      <c r="L407" s="77" t="s">
        <v>45</v>
      </c>
      <c r="M407" s="77" t="s">
        <v>55</v>
      </c>
      <c r="N407" s="64"/>
      <c r="O407" s="77" t="s">
        <v>60</v>
      </c>
      <c r="P407" s="30" t="s">
        <v>57</v>
      </c>
      <c r="Q407" s="64" t="s">
        <v>58</v>
      </c>
      <c r="R407" s="30"/>
      <c r="S407" s="30"/>
      <c r="T407" s="30"/>
      <c r="U407" s="30" t="s">
        <v>156</v>
      </c>
      <c r="V407" s="30"/>
      <c r="W407" s="51" t="str">
        <f t="shared" si="17"/>
        <v>#NAME?</v>
      </c>
      <c r="X407" s="2"/>
      <c r="Y407" s="2"/>
      <c r="Z407" s="2"/>
      <c r="AA407" s="2"/>
      <c r="AB407" s="2"/>
      <c r="AC407" s="2"/>
      <c r="AD407" s="2"/>
      <c r="AE407" s="2"/>
    </row>
    <row r="408" ht="15.75" customHeight="1">
      <c r="A408" s="45">
        <v>25.0</v>
      </c>
      <c r="B408" s="45" t="str">
        <f t="shared" si="14"/>
        <v>#NAME?</v>
      </c>
      <c r="C408" s="45">
        <f t="shared" si="15"/>
        <v>4</v>
      </c>
      <c r="D408" s="75">
        <v>46125.0</v>
      </c>
      <c r="E408" s="75">
        <v>46125.0</v>
      </c>
      <c r="F408" s="45"/>
      <c r="G408" s="45" t="s">
        <v>2201</v>
      </c>
      <c r="H408" s="61" t="s">
        <v>2202</v>
      </c>
      <c r="I408" s="48">
        <v>34155.0</v>
      </c>
      <c r="J408" s="48"/>
      <c r="K408" s="48">
        <f t="shared" si="7"/>
        <v>12399</v>
      </c>
      <c r="L408" s="77" t="s">
        <v>45</v>
      </c>
      <c r="M408" s="77" t="s">
        <v>55</v>
      </c>
      <c r="N408" s="64"/>
      <c r="O408" s="77" t="s">
        <v>60</v>
      </c>
      <c r="P408" s="30" t="s">
        <v>57</v>
      </c>
      <c r="Q408" s="64" t="s">
        <v>58</v>
      </c>
      <c r="R408" s="30"/>
      <c r="S408" s="30"/>
      <c r="T408" s="30"/>
      <c r="U408" s="30" t="s">
        <v>156</v>
      </c>
      <c r="V408" s="30"/>
      <c r="W408" s="51" t="str">
        <f t="shared" si="17"/>
        <v>#NAME?</v>
      </c>
      <c r="X408" s="2"/>
      <c r="Y408" s="2"/>
      <c r="Z408" s="2"/>
      <c r="AA408" s="2"/>
      <c r="AB408" s="2"/>
      <c r="AC408" s="2"/>
      <c r="AD408" s="2"/>
      <c r="AE408" s="2"/>
    </row>
    <row r="409" ht="15.75" customHeight="1">
      <c r="A409" s="45">
        <v>24.0</v>
      </c>
      <c r="B409" s="45" t="str">
        <f t="shared" si="14"/>
        <v>#NAME?</v>
      </c>
      <c r="C409" s="45">
        <f t="shared" si="15"/>
        <v>4</v>
      </c>
      <c r="D409" s="75">
        <v>46125.0</v>
      </c>
      <c r="E409" s="75">
        <v>46125.0</v>
      </c>
      <c r="F409" s="45"/>
      <c r="G409" s="45" t="s">
        <v>2203</v>
      </c>
      <c r="H409" s="61" t="s">
        <v>2204</v>
      </c>
      <c r="I409" s="48">
        <v>9900.0</v>
      </c>
      <c r="J409" s="48"/>
      <c r="K409" s="48">
        <f t="shared" si="7"/>
        <v>46554</v>
      </c>
      <c r="L409" s="77" t="s">
        <v>45</v>
      </c>
      <c r="M409" s="77" t="s">
        <v>55</v>
      </c>
      <c r="N409" s="64"/>
      <c r="O409" s="77" t="s">
        <v>60</v>
      </c>
      <c r="P409" s="30" t="s">
        <v>57</v>
      </c>
      <c r="Q409" s="64" t="s">
        <v>58</v>
      </c>
      <c r="R409" s="30"/>
      <c r="S409" s="30"/>
      <c r="T409" s="30"/>
      <c r="U409" s="30" t="s">
        <v>156</v>
      </c>
      <c r="V409" s="30"/>
      <c r="W409" s="51" t="str">
        <f t="shared" si="17"/>
        <v>#NAME?</v>
      </c>
      <c r="X409" s="2"/>
      <c r="Y409" s="2"/>
      <c r="Z409" s="2"/>
      <c r="AA409" s="2"/>
      <c r="AB409" s="2"/>
      <c r="AC409" s="2"/>
      <c r="AD409" s="2"/>
      <c r="AE409" s="2"/>
    </row>
    <row r="410" ht="15.75" customHeight="1">
      <c r="A410" s="45">
        <v>23.0</v>
      </c>
      <c r="B410" s="45" t="str">
        <f t="shared" si="14"/>
        <v>#NAME?</v>
      </c>
      <c r="C410" s="45">
        <f t="shared" si="15"/>
        <v>4</v>
      </c>
      <c r="D410" s="75">
        <v>46125.0</v>
      </c>
      <c r="E410" s="75">
        <v>46125.0</v>
      </c>
      <c r="F410" s="45"/>
      <c r="G410" s="45" t="s">
        <v>2205</v>
      </c>
      <c r="H410" s="61" t="s">
        <v>2206</v>
      </c>
      <c r="I410" s="48">
        <v>49770.0</v>
      </c>
      <c r="J410" s="48"/>
      <c r="K410" s="48">
        <f t="shared" si="7"/>
        <v>56454</v>
      </c>
      <c r="L410" s="77" t="s">
        <v>45</v>
      </c>
      <c r="M410" s="77" t="s">
        <v>47</v>
      </c>
      <c r="N410" s="64"/>
      <c r="O410" s="77" t="s">
        <v>60</v>
      </c>
      <c r="P410" s="30" t="s">
        <v>47</v>
      </c>
      <c r="Q410" s="64" t="s">
        <v>50</v>
      </c>
      <c r="R410" s="30"/>
      <c r="S410" s="30"/>
      <c r="T410" s="30"/>
      <c r="U410" s="30" t="s">
        <v>75</v>
      </c>
      <c r="V410" s="30"/>
      <c r="W410" s="51" t="str">
        <f t="shared" si="17"/>
        <v>#NAME?</v>
      </c>
      <c r="X410" s="2"/>
      <c r="Y410" s="2"/>
      <c r="Z410" s="2"/>
      <c r="AA410" s="2"/>
      <c r="AB410" s="2"/>
      <c r="AC410" s="2"/>
      <c r="AD410" s="2"/>
      <c r="AE410" s="2"/>
    </row>
    <row r="411" ht="15.75" customHeight="1">
      <c r="A411" s="45">
        <v>22.0</v>
      </c>
      <c r="B411" s="45" t="str">
        <f t="shared" si="14"/>
        <v>#NAME?</v>
      </c>
      <c r="C411" s="45">
        <f t="shared" si="15"/>
        <v>4</v>
      </c>
      <c r="D411" s="75">
        <v>46125.0</v>
      </c>
      <c r="E411" s="75">
        <v>46125.0</v>
      </c>
      <c r="F411" s="45"/>
      <c r="G411" s="45" t="s">
        <v>2207</v>
      </c>
      <c r="H411" s="61" t="s">
        <v>2208</v>
      </c>
      <c r="I411" s="48">
        <v>2970.0</v>
      </c>
      <c r="J411" s="48"/>
      <c r="K411" s="48">
        <f t="shared" si="7"/>
        <v>106224</v>
      </c>
      <c r="L411" s="77" t="s">
        <v>45</v>
      </c>
      <c r="M411" s="77" t="s">
        <v>55</v>
      </c>
      <c r="N411" s="64"/>
      <c r="O411" s="77" t="s">
        <v>60</v>
      </c>
      <c r="P411" s="30" t="s">
        <v>57</v>
      </c>
      <c r="Q411" s="64" t="s">
        <v>58</v>
      </c>
      <c r="R411" s="30"/>
      <c r="S411" s="30"/>
      <c r="T411" s="30"/>
      <c r="U411" s="30" t="s">
        <v>156</v>
      </c>
      <c r="V411" s="30"/>
      <c r="W411" s="51" t="str">
        <f t="shared" si="17"/>
        <v>#NAME?</v>
      </c>
      <c r="X411" s="2"/>
      <c r="Y411" s="2"/>
      <c r="Z411" s="2"/>
      <c r="AA411" s="2"/>
      <c r="AB411" s="2"/>
      <c r="AC411" s="2"/>
      <c r="AD411" s="2"/>
      <c r="AE411" s="2"/>
    </row>
    <row r="412" ht="15.75" customHeight="1">
      <c r="A412" s="45">
        <v>21.0</v>
      </c>
      <c r="B412" s="45" t="str">
        <f t="shared" si="14"/>
        <v>#NAME?</v>
      </c>
      <c r="C412" s="45">
        <f t="shared" si="15"/>
        <v>4</v>
      </c>
      <c r="D412" s="75">
        <v>46125.0</v>
      </c>
      <c r="E412" s="75">
        <v>46125.0</v>
      </c>
      <c r="F412" s="45"/>
      <c r="G412" s="45" t="s">
        <v>2209</v>
      </c>
      <c r="H412" s="61" t="s">
        <v>2210</v>
      </c>
      <c r="I412" s="48">
        <v>20000.0</v>
      </c>
      <c r="J412" s="48"/>
      <c r="K412" s="48">
        <f t="shared" si="7"/>
        <v>109194</v>
      </c>
      <c r="L412" s="77" t="s">
        <v>45</v>
      </c>
      <c r="M412" s="77" t="s">
        <v>85</v>
      </c>
      <c r="N412" s="64"/>
      <c r="O412" s="77" t="s">
        <v>60</v>
      </c>
      <c r="P412" s="30" t="s">
        <v>57</v>
      </c>
      <c r="Q412" s="64" t="s">
        <v>58</v>
      </c>
      <c r="R412" s="30"/>
      <c r="S412" s="30"/>
      <c r="T412" s="30"/>
      <c r="U412" s="30" t="s">
        <v>1279</v>
      </c>
      <c r="V412" s="30"/>
      <c r="W412" s="51" t="str">
        <f t="shared" si="17"/>
        <v>#NAME?</v>
      </c>
      <c r="X412" s="2"/>
      <c r="Y412" s="2"/>
      <c r="Z412" s="2"/>
      <c r="AA412" s="2"/>
      <c r="AB412" s="2"/>
      <c r="AC412" s="2"/>
      <c r="AD412" s="2"/>
      <c r="AE412" s="2"/>
    </row>
    <row r="413" ht="15.75" customHeight="1">
      <c r="A413" s="45">
        <v>20.0</v>
      </c>
      <c r="B413" s="45" t="str">
        <f t="shared" si="14"/>
        <v>#NAME?</v>
      </c>
      <c r="C413" s="45">
        <f t="shared" si="15"/>
        <v>4</v>
      </c>
      <c r="D413" s="75">
        <v>46125.0</v>
      </c>
      <c r="E413" s="75">
        <v>46125.0</v>
      </c>
      <c r="F413" s="45"/>
      <c r="G413" s="45" t="s">
        <v>2211</v>
      </c>
      <c r="H413" s="61" t="s">
        <v>2212</v>
      </c>
      <c r="I413" s="48">
        <v>8469.0</v>
      </c>
      <c r="J413" s="48"/>
      <c r="K413" s="48">
        <f t="shared" si="7"/>
        <v>129194</v>
      </c>
      <c r="L413" s="77" t="s">
        <v>45</v>
      </c>
      <c r="M413" s="77" t="s">
        <v>55</v>
      </c>
      <c r="N413" s="64"/>
      <c r="O413" s="77" t="s">
        <v>60</v>
      </c>
      <c r="P413" s="30" t="s">
        <v>57</v>
      </c>
      <c r="Q413" s="64" t="s">
        <v>58</v>
      </c>
      <c r="R413" s="30"/>
      <c r="S413" s="30"/>
      <c r="T413" s="30"/>
      <c r="U413" s="30" t="s">
        <v>156</v>
      </c>
      <c r="V413" s="30"/>
      <c r="W413" s="51" t="str">
        <f t="shared" si="17"/>
        <v>#NAME?</v>
      </c>
      <c r="X413" s="2"/>
      <c r="Y413" s="2"/>
      <c r="Z413" s="2"/>
      <c r="AA413" s="2"/>
      <c r="AB413" s="2"/>
      <c r="AC413" s="2"/>
      <c r="AD413" s="2"/>
      <c r="AE413" s="2"/>
    </row>
    <row r="414" ht="15.75" customHeight="1">
      <c r="A414" s="45">
        <v>19.0</v>
      </c>
      <c r="B414" s="45" t="str">
        <f t="shared" si="14"/>
        <v>#NAME?</v>
      </c>
      <c r="C414" s="45">
        <f t="shared" si="15"/>
        <v>4</v>
      </c>
      <c r="D414" s="75">
        <v>46125.0</v>
      </c>
      <c r="E414" s="75">
        <v>46125.0</v>
      </c>
      <c r="F414" s="45"/>
      <c r="G414" s="45" t="s">
        <v>2213</v>
      </c>
      <c r="H414" s="61" t="s">
        <v>2214</v>
      </c>
      <c r="I414" s="48">
        <v>11880.0</v>
      </c>
      <c r="J414" s="48"/>
      <c r="K414" s="48">
        <f t="shared" si="7"/>
        <v>137663</v>
      </c>
      <c r="L414" s="77" t="s">
        <v>45</v>
      </c>
      <c r="M414" s="77" t="s">
        <v>55</v>
      </c>
      <c r="N414" s="64"/>
      <c r="O414" s="77" t="s">
        <v>60</v>
      </c>
      <c r="P414" s="30" t="s">
        <v>57</v>
      </c>
      <c r="Q414" s="64" t="s">
        <v>58</v>
      </c>
      <c r="R414" s="30"/>
      <c r="S414" s="30"/>
      <c r="T414" s="30"/>
      <c r="U414" s="30" t="s">
        <v>156</v>
      </c>
      <c r="V414" s="30"/>
      <c r="W414" s="51" t="str">
        <f t="shared" si="17"/>
        <v>#NAME?</v>
      </c>
      <c r="X414" s="2"/>
      <c r="Y414" s="2"/>
      <c r="Z414" s="2"/>
      <c r="AA414" s="2"/>
      <c r="AB414" s="2"/>
      <c r="AC414" s="2"/>
      <c r="AD414" s="2"/>
      <c r="AE414" s="2"/>
    </row>
    <row r="415" ht="15.75" customHeight="1">
      <c r="A415" s="45">
        <v>18.0</v>
      </c>
      <c r="B415" s="45" t="str">
        <f t="shared" si="14"/>
        <v>#NAME?</v>
      </c>
      <c r="C415" s="45">
        <f t="shared" si="15"/>
        <v>4</v>
      </c>
      <c r="D415" s="75">
        <v>46125.0</v>
      </c>
      <c r="E415" s="75">
        <v>46125.0</v>
      </c>
      <c r="F415" s="45"/>
      <c r="G415" s="45" t="s">
        <v>2215</v>
      </c>
      <c r="H415" s="61" t="s">
        <v>2216</v>
      </c>
      <c r="I415" s="48">
        <v>19899.0</v>
      </c>
      <c r="J415" s="48"/>
      <c r="K415" s="48">
        <f t="shared" si="7"/>
        <v>149543</v>
      </c>
      <c r="L415" s="77" t="s">
        <v>45</v>
      </c>
      <c r="M415" s="77" t="s">
        <v>55</v>
      </c>
      <c r="N415" s="64"/>
      <c r="O415" s="77" t="s">
        <v>60</v>
      </c>
      <c r="P415" s="30" t="s">
        <v>57</v>
      </c>
      <c r="Q415" s="64" t="s">
        <v>58</v>
      </c>
      <c r="R415" s="30"/>
      <c r="S415" s="30"/>
      <c r="T415" s="30"/>
      <c r="U415" s="30" t="s">
        <v>156</v>
      </c>
      <c r="V415" s="30"/>
      <c r="W415" s="51" t="str">
        <f t="shared" si="17"/>
        <v>#NAME?</v>
      </c>
      <c r="X415" s="2"/>
      <c r="Y415" s="2"/>
      <c r="Z415" s="2"/>
      <c r="AA415" s="2"/>
      <c r="AB415" s="2"/>
      <c r="AC415" s="2"/>
      <c r="AD415" s="2"/>
      <c r="AE415" s="2"/>
    </row>
    <row r="416" ht="15.75" customHeight="1">
      <c r="A416" s="45">
        <v>17.0</v>
      </c>
      <c r="B416" s="45" t="str">
        <f t="shared" si="14"/>
        <v>#NAME?</v>
      </c>
      <c r="C416" s="45">
        <f t="shared" si="15"/>
        <v>4</v>
      </c>
      <c r="D416" s="75">
        <v>46123.0</v>
      </c>
      <c r="E416" s="75">
        <v>46123.0</v>
      </c>
      <c r="F416" s="45"/>
      <c r="G416" s="45" t="s">
        <v>2217</v>
      </c>
      <c r="H416" s="61" t="s">
        <v>2218</v>
      </c>
      <c r="I416" s="48"/>
      <c r="J416" s="48">
        <v>150000.0</v>
      </c>
      <c r="K416" s="48">
        <f t="shared" si="7"/>
        <v>169442</v>
      </c>
      <c r="L416" s="77" t="s">
        <v>45</v>
      </c>
      <c r="M416" s="77" t="s">
        <v>47</v>
      </c>
      <c r="N416" s="64"/>
      <c r="O416" s="77" t="s">
        <v>60</v>
      </c>
      <c r="P416" s="30" t="s">
        <v>74</v>
      </c>
      <c r="Q416" s="64" t="s">
        <v>50</v>
      </c>
      <c r="R416" s="30"/>
      <c r="S416" s="30"/>
      <c r="T416" s="30"/>
      <c r="U416" s="30" t="s">
        <v>75</v>
      </c>
      <c r="V416" s="30"/>
      <c r="W416" s="51" t="str">
        <f t="shared" si="17"/>
        <v>#NAME?</v>
      </c>
      <c r="X416" s="2"/>
      <c r="Y416" s="2"/>
      <c r="Z416" s="2"/>
      <c r="AA416" s="2"/>
      <c r="AB416" s="2"/>
      <c r="AC416" s="2"/>
      <c r="AD416" s="2"/>
      <c r="AE416" s="2"/>
    </row>
    <row r="417" ht="15.75" customHeight="1">
      <c r="A417" s="45">
        <v>16.0</v>
      </c>
      <c r="B417" s="45" t="str">
        <f t="shared" si="14"/>
        <v>#NAME?</v>
      </c>
      <c r="C417" s="45">
        <f t="shared" si="15"/>
        <v>4</v>
      </c>
      <c r="D417" s="75">
        <v>46120.0</v>
      </c>
      <c r="E417" s="75">
        <v>46120.0</v>
      </c>
      <c r="F417" s="45"/>
      <c r="G417" s="45" t="s">
        <v>2219</v>
      </c>
      <c r="H417" s="61" t="s">
        <v>2220</v>
      </c>
      <c r="I417" s="48">
        <v>38682.0</v>
      </c>
      <c r="J417" s="48"/>
      <c r="K417" s="48">
        <f t="shared" si="7"/>
        <v>19442</v>
      </c>
      <c r="L417" s="77" t="s">
        <v>45</v>
      </c>
      <c r="M417" s="77" t="s">
        <v>67</v>
      </c>
      <c r="N417" s="64"/>
      <c r="O417" s="77" t="s">
        <v>60</v>
      </c>
      <c r="P417" s="30" t="s">
        <v>57</v>
      </c>
      <c r="Q417" s="64" t="s">
        <v>58</v>
      </c>
      <c r="R417" s="30"/>
      <c r="S417" s="30"/>
      <c r="T417" s="30"/>
      <c r="U417" s="30" t="s">
        <v>499</v>
      </c>
      <c r="V417" s="30"/>
      <c r="W417" s="51" t="str">
        <f t="shared" si="17"/>
        <v>#NAME?</v>
      </c>
      <c r="X417" s="2"/>
      <c r="Y417" s="2"/>
      <c r="Z417" s="2"/>
      <c r="AA417" s="2"/>
      <c r="AB417" s="2"/>
      <c r="AC417" s="2"/>
      <c r="AD417" s="2"/>
      <c r="AE417" s="2"/>
    </row>
    <row r="418" ht="15.75" customHeight="1">
      <c r="A418" s="45">
        <v>15.0</v>
      </c>
      <c r="B418" s="45" t="str">
        <f t="shared" si="14"/>
        <v>#NAME?</v>
      </c>
      <c r="C418" s="45">
        <f t="shared" si="15"/>
        <v>4</v>
      </c>
      <c r="D418" s="75">
        <v>46118.0</v>
      </c>
      <c r="E418" s="75">
        <v>46118.0</v>
      </c>
      <c r="F418" s="45"/>
      <c r="G418" s="45" t="s">
        <v>2221</v>
      </c>
      <c r="H418" s="61" t="s">
        <v>2222</v>
      </c>
      <c r="I418" s="48">
        <v>7080.0</v>
      </c>
      <c r="J418" s="48"/>
      <c r="K418" s="48">
        <f t="shared" si="7"/>
        <v>58124</v>
      </c>
      <c r="L418" s="77" t="s">
        <v>45</v>
      </c>
      <c r="M418" s="77" t="s">
        <v>67</v>
      </c>
      <c r="N418" s="64"/>
      <c r="O418" s="77" t="s">
        <v>60</v>
      </c>
      <c r="P418" s="30" t="s">
        <v>57</v>
      </c>
      <c r="Q418" s="64" t="s">
        <v>58</v>
      </c>
      <c r="R418" s="30"/>
      <c r="S418" s="30"/>
      <c r="T418" s="30"/>
      <c r="U418" s="30" t="s">
        <v>499</v>
      </c>
      <c r="V418" s="30"/>
      <c r="W418" s="51" t="str">
        <f t="shared" si="17"/>
        <v>#NAME?</v>
      </c>
      <c r="X418" s="2"/>
      <c r="Y418" s="2"/>
      <c r="Z418" s="2"/>
      <c r="AA418" s="2"/>
      <c r="AB418" s="2"/>
      <c r="AC418" s="2"/>
      <c r="AD418" s="2"/>
      <c r="AE418" s="2"/>
    </row>
    <row r="419" ht="15.75" customHeight="1">
      <c r="A419" s="45">
        <v>14.0</v>
      </c>
      <c r="B419" s="45" t="str">
        <f t="shared" si="14"/>
        <v>#NAME?</v>
      </c>
      <c r="C419" s="45">
        <f t="shared" si="15"/>
        <v>4</v>
      </c>
      <c r="D419" s="75">
        <v>46118.0</v>
      </c>
      <c r="E419" s="75">
        <v>46118.0</v>
      </c>
      <c r="F419" s="45"/>
      <c r="G419" s="45" t="s">
        <v>2223</v>
      </c>
      <c r="H419" s="61" t="s">
        <v>2224</v>
      </c>
      <c r="I419" s="48">
        <v>25000.0</v>
      </c>
      <c r="J419" s="48"/>
      <c r="K419" s="48">
        <f t="shared" si="7"/>
        <v>65204</v>
      </c>
      <c r="L419" s="77" t="s">
        <v>45</v>
      </c>
      <c r="M419" s="77" t="s">
        <v>110</v>
      </c>
      <c r="N419" s="64"/>
      <c r="O419" s="77" t="s">
        <v>60</v>
      </c>
      <c r="P419" s="30" t="s">
        <v>57</v>
      </c>
      <c r="Q419" s="64" t="s">
        <v>58</v>
      </c>
      <c r="R419" s="30"/>
      <c r="S419" s="30"/>
      <c r="T419" s="30"/>
      <c r="U419" s="30" t="s">
        <v>75</v>
      </c>
      <c r="V419" s="30"/>
      <c r="W419" s="51" t="str">
        <f t="shared" si="17"/>
        <v>#NAME?</v>
      </c>
      <c r="X419" s="2"/>
      <c r="Y419" s="2"/>
      <c r="Z419" s="2"/>
      <c r="AA419" s="2"/>
      <c r="AB419" s="2"/>
      <c r="AC419" s="2"/>
      <c r="AD419" s="2"/>
      <c r="AE419" s="2"/>
    </row>
    <row r="420" ht="15.75" customHeight="1">
      <c r="A420" s="45">
        <v>13.0</v>
      </c>
      <c r="B420" s="45" t="str">
        <f t="shared" si="14"/>
        <v>#NAME?</v>
      </c>
      <c r="C420" s="45">
        <f t="shared" si="15"/>
        <v>4</v>
      </c>
      <c r="D420" s="75">
        <v>46118.0</v>
      </c>
      <c r="E420" s="75">
        <v>46118.0</v>
      </c>
      <c r="F420" s="45"/>
      <c r="G420" s="45" t="s">
        <v>2225</v>
      </c>
      <c r="H420" s="61" t="s">
        <v>2226</v>
      </c>
      <c r="I420" s="48">
        <v>12803.0</v>
      </c>
      <c r="J420" s="48"/>
      <c r="K420" s="48">
        <f t="shared" si="7"/>
        <v>90204</v>
      </c>
      <c r="L420" s="77" t="s">
        <v>45</v>
      </c>
      <c r="M420" s="77" t="s">
        <v>67</v>
      </c>
      <c r="N420" s="64"/>
      <c r="O420" s="77" t="s">
        <v>60</v>
      </c>
      <c r="P420" s="30" t="s">
        <v>57</v>
      </c>
      <c r="Q420" s="64" t="s">
        <v>58</v>
      </c>
      <c r="R420" s="30"/>
      <c r="S420" s="30"/>
      <c r="T420" s="30"/>
      <c r="U420" s="30" t="s">
        <v>499</v>
      </c>
      <c r="V420" s="30"/>
      <c r="W420" s="51" t="str">
        <f t="shared" si="17"/>
        <v>#NAME?</v>
      </c>
      <c r="X420" s="2"/>
      <c r="Y420" s="2"/>
      <c r="Z420" s="2"/>
      <c r="AA420" s="2"/>
      <c r="AB420" s="2"/>
      <c r="AC420" s="2"/>
      <c r="AD420" s="2"/>
      <c r="AE420" s="2"/>
    </row>
    <row r="421" ht="15.75" customHeight="1">
      <c r="A421" s="45">
        <v>12.0</v>
      </c>
      <c r="B421" s="45" t="str">
        <f t="shared" si="14"/>
        <v>#NAME?</v>
      </c>
      <c r="C421" s="45">
        <f t="shared" si="15"/>
        <v>4</v>
      </c>
      <c r="D421" s="75">
        <v>46118.0</v>
      </c>
      <c r="E421" s="75">
        <v>46118.0</v>
      </c>
      <c r="F421" s="45"/>
      <c r="G421" s="45" t="s">
        <v>2227</v>
      </c>
      <c r="H421" s="61" t="s">
        <v>2228</v>
      </c>
      <c r="I421" s="48">
        <v>14514.0</v>
      </c>
      <c r="J421" s="48"/>
      <c r="K421" s="48">
        <f t="shared" si="7"/>
        <v>103007</v>
      </c>
      <c r="L421" s="77" t="s">
        <v>45</v>
      </c>
      <c r="M421" s="77" t="s">
        <v>67</v>
      </c>
      <c r="N421" s="64"/>
      <c r="O421" s="77" t="s">
        <v>60</v>
      </c>
      <c r="P421" s="30" t="s">
        <v>57</v>
      </c>
      <c r="Q421" s="64" t="s">
        <v>58</v>
      </c>
      <c r="R421" s="30"/>
      <c r="S421" s="30"/>
      <c r="T421" s="30"/>
      <c r="U421" s="30" t="s">
        <v>499</v>
      </c>
      <c r="V421" s="30"/>
      <c r="W421" s="51" t="str">
        <f t="shared" si="17"/>
        <v>#NAME?</v>
      </c>
      <c r="X421" s="2"/>
      <c r="Y421" s="2"/>
      <c r="Z421" s="2"/>
      <c r="AA421" s="2"/>
      <c r="AB421" s="2"/>
      <c r="AC421" s="2"/>
      <c r="AD421" s="2"/>
      <c r="AE421" s="2"/>
    </row>
    <row r="422" ht="15.75" customHeight="1">
      <c r="A422" s="45">
        <v>11.0</v>
      </c>
      <c r="B422" s="45" t="str">
        <f t="shared" si="14"/>
        <v>#NAME?</v>
      </c>
      <c r="C422" s="45">
        <f t="shared" si="15"/>
        <v>4</v>
      </c>
      <c r="D422" s="75">
        <v>46118.0</v>
      </c>
      <c r="E422" s="75">
        <v>46118.0</v>
      </c>
      <c r="F422" s="45"/>
      <c r="G422" s="45" t="s">
        <v>2229</v>
      </c>
      <c r="H422" s="61" t="s">
        <v>2230</v>
      </c>
      <c r="I422" s="48">
        <v>31860.0</v>
      </c>
      <c r="J422" s="48"/>
      <c r="K422" s="48">
        <f t="shared" si="7"/>
        <v>117521</v>
      </c>
      <c r="L422" s="77" t="s">
        <v>45</v>
      </c>
      <c r="M422" s="77" t="s">
        <v>67</v>
      </c>
      <c r="N422" s="64"/>
      <c r="O422" s="77" t="s">
        <v>60</v>
      </c>
      <c r="P422" s="30" t="s">
        <v>57</v>
      </c>
      <c r="Q422" s="64" t="s">
        <v>58</v>
      </c>
      <c r="R422" s="30"/>
      <c r="S422" s="30"/>
      <c r="T422" s="30"/>
      <c r="U422" s="30" t="s">
        <v>499</v>
      </c>
      <c r="V422" s="30"/>
      <c r="W422" s="51" t="str">
        <f t="shared" si="17"/>
        <v>#NAME?</v>
      </c>
      <c r="X422" s="2"/>
      <c r="Y422" s="2"/>
      <c r="Z422" s="2"/>
      <c r="AA422" s="2"/>
      <c r="AB422" s="2"/>
      <c r="AC422" s="2"/>
      <c r="AD422" s="2"/>
      <c r="AE422" s="2"/>
    </row>
    <row r="423" ht="15.75" customHeight="1">
      <c r="A423" s="45">
        <v>10.0</v>
      </c>
      <c r="B423" s="45" t="str">
        <f t="shared" si="14"/>
        <v>#NAME?</v>
      </c>
      <c r="C423" s="45">
        <f t="shared" si="15"/>
        <v>4</v>
      </c>
      <c r="D423" s="75">
        <v>46118.0</v>
      </c>
      <c r="E423" s="75">
        <v>46118.0</v>
      </c>
      <c r="F423" s="45"/>
      <c r="G423" s="45" t="s">
        <v>2231</v>
      </c>
      <c r="H423" s="61" t="s">
        <v>2232</v>
      </c>
      <c r="I423" s="48"/>
      <c r="J423" s="48">
        <v>100000.0</v>
      </c>
      <c r="K423" s="48">
        <f t="shared" si="7"/>
        <v>149381</v>
      </c>
      <c r="L423" s="77" t="s">
        <v>45</v>
      </c>
      <c r="M423" s="77" t="s">
        <v>47</v>
      </c>
      <c r="N423" s="64"/>
      <c r="O423" s="77" t="s">
        <v>60</v>
      </c>
      <c r="P423" s="30" t="s">
        <v>74</v>
      </c>
      <c r="Q423" s="64" t="s">
        <v>50</v>
      </c>
      <c r="R423" s="30"/>
      <c r="S423" s="30"/>
      <c r="T423" s="30"/>
      <c r="U423" s="30" t="s">
        <v>75</v>
      </c>
      <c r="V423" s="30"/>
      <c r="W423" s="51" t="str">
        <f t="shared" si="17"/>
        <v>#NAME?</v>
      </c>
      <c r="X423" s="2"/>
      <c r="Y423" s="2"/>
      <c r="Z423" s="2"/>
      <c r="AA423" s="2"/>
      <c r="AB423" s="2"/>
      <c r="AC423" s="2"/>
      <c r="AD423" s="2"/>
      <c r="AE423" s="2"/>
    </row>
    <row r="424" ht="15.75" customHeight="1">
      <c r="A424" s="45">
        <v>9.0</v>
      </c>
      <c r="B424" s="45" t="str">
        <f t="shared" si="14"/>
        <v>#NAME?</v>
      </c>
      <c r="C424" s="45">
        <f t="shared" si="15"/>
        <v>4</v>
      </c>
      <c r="D424" s="75">
        <v>46116.0</v>
      </c>
      <c r="E424" s="75">
        <v>46116.0</v>
      </c>
      <c r="F424" s="45"/>
      <c r="G424" s="45" t="s">
        <v>2233</v>
      </c>
      <c r="H424" s="61" t="s">
        <v>2234</v>
      </c>
      <c r="I424" s="48">
        <v>5940.0</v>
      </c>
      <c r="J424" s="48"/>
      <c r="K424" s="48">
        <f t="shared" si="7"/>
        <v>49381</v>
      </c>
      <c r="L424" s="77" t="s">
        <v>45</v>
      </c>
      <c r="M424" s="77" t="s">
        <v>55</v>
      </c>
      <c r="N424" s="64"/>
      <c r="O424" s="77" t="s">
        <v>60</v>
      </c>
      <c r="P424" s="30" t="s">
        <v>57</v>
      </c>
      <c r="Q424" s="64" t="s">
        <v>58</v>
      </c>
      <c r="R424" s="30"/>
      <c r="S424" s="30"/>
      <c r="T424" s="30"/>
      <c r="U424" s="30" t="s">
        <v>156</v>
      </c>
      <c r="V424" s="30"/>
      <c r="W424" s="51" t="str">
        <f t="shared" si="17"/>
        <v>#NAME?</v>
      </c>
      <c r="X424" s="2"/>
      <c r="Y424" s="2"/>
      <c r="Z424" s="2"/>
      <c r="AA424" s="2"/>
      <c r="AB424" s="2"/>
      <c r="AC424" s="2"/>
      <c r="AD424" s="2"/>
      <c r="AE424" s="2"/>
    </row>
    <row r="425" ht="15.75" customHeight="1">
      <c r="A425" s="45">
        <v>8.0</v>
      </c>
      <c r="B425" s="45" t="str">
        <f t="shared" si="14"/>
        <v>#NAME?</v>
      </c>
      <c r="C425" s="45">
        <f t="shared" si="15"/>
        <v>4</v>
      </c>
      <c r="D425" s="75">
        <v>46116.0</v>
      </c>
      <c r="E425" s="75">
        <v>46116.0</v>
      </c>
      <c r="F425" s="45"/>
      <c r="G425" s="45" t="s">
        <v>2235</v>
      </c>
      <c r="H425" s="61" t="s">
        <v>2236</v>
      </c>
      <c r="I425" s="48">
        <v>20000.0</v>
      </c>
      <c r="J425" s="48"/>
      <c r="K425" s="48">
        <f t="shared" si="7"/>
        <v>55321</v>
      </c>
      <c r="L425" s="77" t="s">
        <v>45</v>
      </c>
      <c r="M425" s="77" t="s">
        <v>85</v>
      </c>
      <c r="N425" s="64"/>
      <c r="O425" s="77" t="s">
        <v>60</v>
      </c>
      <c r="P425" s="30" t="s">
        <v>57</v>
      </c>
      <c r="Q425" s="64" t="s">
        <v>58</v>
      </c>
      <c r="R425" s="30"/>
      <c r="S425" s="30"/>
      <c r="T425" s="30"/>
      <c r="U425" s="30" t="s">
        <v>85</v>
      </c>
      <c r="V425" s="30"/>
      <c r="W425" s="51" t="str">
        <f t="shared" si="17"/>
        <v>#NAME?</v>
      </c>
      <c r="X425" s="2"/>
      <c r="Y425" s="2"/>
      <c r="Z425" s="2"/>
      <c r="AA425" s="2"/>
      <c r="AB425" s="2"/>
      <c r="AC425" s="2"/>
      <c r="AD425" s="2"/>
      <c r="AE425" s="2"/>
    </row>
    <row r="426" ht="15.75" customHeight="1">
      <c r="A426" s="45">
        <v>7.0</v>
      </c>
      <c r="B426" s="45" t="str">
        <f t="shared" si="14"/>
        <v>#NAME?</v>
      </c>
      <c r="C426" s="45">
        <f t="shared" si="15"/>
        <v>4</v>
      </c>
      <c r="D426" s="75">
        <v>46116.0</v>
      </c>
      <c r="E426" s="75">
        <v>46116.0</v>
      </c>
      <c r="F426" s="45"/>
      <c r="G426" s="45" t="s">
        <v>2237</v>
      </c>
      <c r="H426" s="61" t="s">
        <v>2238</v>
      </c>
      <c r="I426" s="48">
        <v>37125.0</v>
      </c>
      <c r="J426" s="48"/>
      <c r="K426" s="48">
        <f t="shared" si="7"/>
        <v>75321</v>
      </c>
      <c r="L426" s="77" t="s">
        <v>45</v>
      </c>
      <c r="M426" s="77" t="s">
        <v>55</v>
      </c>
      <c r="N426" s="64"/>
      <c r="O426" s="77" t="s">
        <v>60</v>
      </c>
      <c r="P426" s="30" t="s">
        <v>57</v>
      </c>
      <c r="Q426" s="64" t="s">
        <v>58</v>
      </c>
      <c r="R426" s="30"/>
      <c r="S426" s="30"/>
      <c r="T426" s="30"/>
      <c r="U426" s="30" t="s">
        <v>156</v>
      </c>
      <c r="V426" s="30"/>
      <c r="W426" s="51" t="str">
        <f t="shared" si="17"/>
        <v>#NAME?</v>
      </c>
      <c r="X426" s="2"/>
      <c r="Y426" s="2"/>
      <c r="Z426" s="2"/>
      <c r="AA426" s="2"/>
      <c r="AB426" s="2"/>
      <c r="AC426" s="2"/>
      <c r="AD426" s="2"/>
      <c r="AE426" s="2"/>
    </row>
    <row r="427" ht="15.75" customHeight="1">
      <c r="A427" s="45">
        <v>6.0</v>
      </c>
      <c r="B427" s="45" t="str">
        <f t="shared" si="14"/>
        <v>#NAME?</v>
      </c>
      <c r="C427" s="45">
        <f t="shared" si="15"/>
        <v>4</v>
      </c>
      <c r="D427" s="75">
        <v>46116.0</v>
      </c>
      <c r="E427" s="75">
        <v>46116.0</v>
      </c>
      <c r="F427" s="45"/>
      <c r="G427" s="45" t="s">
        <v>2239</v>
      </c>
      <c r="H427" s="61" t="s">
        <v>2240</v>
      </c>
      <c r="I427" s="48">
        <v>8910.0</v>
      </c>
      <c r="J427" s="48"/>
      <c r="K427" s="48">
        <f t="shared" si="7"/>
        <v>112446</v>
      </c>
      <c r="L427" s="77" t="s">
        <v>45</v>
      </c>
      <c r="M427" s="77" t="s">
        <v>55</v>
      </c>
      <c r="N427" s="64"/>
      <c r="O427" s="77" t="s">
        <v>60</v>
      </c>
      <c r="P427" s="30" t="s">
        <v>57</v>
      </c>
      <c r="Q427" s="64" t="s">
        <v>58</v>
      </c>
      <c r="R427" s="30"/>
      <c r="S427" s="30"/>
      <c r="T427" s="30"/>
      <c r="U427" s="30" t="s">
        <v>156</v>
      </c>
      <c r="V427" s="30"/>
      <c r="W427" s="51" t="str">
        <f t="shared" si="17"/>
        <v>#NAME?</v>
      </c>
      <c r="X427" s="2"/>
      <c r="Y427" s="2"/>
      <c r="Z427" s="2"/>
      <c r="AA427" s="2"/>
      <c r="AB427" s="2"/>
      <c r="AC427" s="2"/>
      <c r="AD427" s="2"/>
      <c r="AE427" s="2"/>
    </row>
    <row r="428" ht="15.75" customHeight="1">
      <c r="A428" s="45">
        <v>5.0</v>
      </c>
      <c r="B428" s="45" t="str">
        <f t="shared" si="14"/>
        <v>#NAME?</v>
      </c>
      <c r="C428" s="45">
        <f t="shared" si="15"/>
        <v>4</v>
      </c>
      <c r="D428" s="75">
        <v>46116.0</v>
      </c>
      <c r="E428" s="75">
        <v>46116.0</v>
      </c>
      <c r="F428" s="45"/>
      <c r="G428" s="45" t="s">
        <v>2241</v>
      </c>
      <c r="H428" s="61" t="s">
        <v>2242</v>
      </c>
      <c r="I428" s="48">
        <v>7425.0</v>
      </c>
      <c r="J428" s="48"/>
      <c r="K428" s="48">
        <f t="shared" si="7"/>
        <v>121356</v>
      </c>
      <c r="L428" s="77" t="s">
        <v>45</v>
      </c>
      <c r="M428" s="77" t="s">
        <v>55</v>
      </c>
      <c r="N428" s="64"/>
      <c r="O428" s="77" t="s">
        <v>60</v>
      </c>
      <c r="P428" s="30" t="s">
        <v>57</v>
      </c>
      <c r="Q428" s="64" t="s">
        <v>58</v>
      </c>
      <c r="R428" s="30"/>
      <c r="S428" s="30"/>
      <c r="T428" s="30"/>
      <c r="U428" s="30" t="s">
        <v>156</v>
      </c>
      <c r="V428" s="30"/>
      <c r="W428" s="51" t="str">
        <f t="shared" si="17"/>
        <v>#NAME?</v>
      </c>
      <c r="X428" s="2"/>
      <c r="Y428" s="2"/>
      <c r="Z428" s="2"/>
      <c r="AA428" s="2"/>
      <c r="AB428" s="2"/>
      <c r="AC428" s="2"/>
      <c r="AD428" s="2"/>
      <c r="AE428" s="2"/>
    </row>
    <row r="429" ht="15.75" customHeight="1">
      <c r="A429" s="45">
        <v>4.0</v>
      </c>
      <c r="B429" s="45" t="str">
        <f t="shared" si="14"/>
        <v>#NAME?</v>
      </c>
      <c r="C429" s="45">
        <f t="shared" si="15"/>
        <v>4</v>
      </c>
      <c r="D429" s="75">
        <v>46116.0</v>
      </c>
      <c r="E429" s="75">
        <v>46116.0</v>
      </c>
      <c r="F429" s="45"/>
      <c r="G429" s="45" t="s">
        <v>2243</v>
      </c>
      <c r="H429" s="61" t="s">
        <v>2244</v>
      </c>
      <c r="I429" s="48">
        <v>16335.0</v>
      </c>
      <c r="J429" s="48"/>
      <c r="K429" s="48">
        <f t="shared" si="7"/>
        <v>128781</v>
      </c>
      <c r="L429" s="77" t="s">
        <v>45</v>
      </c>
      <c r="M429" s="77" t="s">
        <v>55</v>
      </c>
      <c r="N429" s="64"/>
      <c r="O429" s="77" t="s">
        <v>60</v>
      </c>
      <c r="P429" s="30" t="s">
        <v>57</v>
      </c>
      <c r="Q429" s="64" t="s">
        <v>58</v>
      </c>
      <c r="R429" s="30"/>
      <c r="S429" s="30"/>
      <c r="T429" s="30"/>
      <c r="U429" s="30" t="s">
        <v>156</v>
      </c>
      <c r="V429" s="30"/>
      <c r="W429" s="51" t="str">
        <f t="shared" si="17"/>
        <v>#NAME?</v>
      </c>
      <c r="X429" s="2"/>
      <c r="Y429" s="2"/>
      <c r="Z429" s="2"/>
      <c r="AA429" s="2"/>
      <c r="AB429" s="2"/>
      <c r="AC429" s="2"/>
      <c r="AD429" s="2"/>
      <c r="AE429" s="2"/>
    </row>
    <row r="430" ht="15.75" customHeight="1">
      <c r="A430" s="45">
        <v>3.0</v>
      </c>
      <c r="B430" s="45" t="str">
        <f t="shared" si="14"/>
        <v>#NAME?</v>
      </c>
      <c r="C430" s="45">
        <f t="shared" si="15"/>
        <v>4</v>
      </c>
      <c r="D430" s="75">
        <v>46116.0</v>
      </c>
      <c r="E430" s="75">
        <v>46116.0</v>
      </c>
      <c r="F430" s="45"/>
      <c r="G430" s="45" t="s">
        <v>2245</v>
      </c>
      <c r="H430" s="61" t="s">
        <v>2246</v>
      </c>
      <c r="I430" s="48">
        <v>7425.0</v>
      </c>
      <c r="J430" s="48"/>
      <c r="K430" s="48">
        <f t="shared" si="7"/>
        <v>145116</v>
      </c>
      <c r="L430" s="77" t="s">
        <v>45</v>
      </c>
      <c r="M430" s="77" t="s">
        <v>55</v>
      </c>
      <c r="N430" s="64"/>
      <c r="O430" s="77" t="s">
        <v>60</v>
      </c>
      <c r="P430" s="30" t="s">
        <v>57</v>
      </c>
      <c r="Q430" s="64" t="s">
        <v>58</v>
      </c>
      <c r="R430" s="30"/>
      <c r="S430" s="30"/>
      <c r="T430" s="30"/>
      <c r="U430" s="30" t="s">
        <v>156</v>
      </c>
      <c r="V430" s="30"/>
      <c r="W430" s="51" t="str">
        <f t="shared" si="17"/>
        <v>#NAME?</v>
      </c>
      <c r="X430" s="2"/>
      <c r="Y430" s="2"/>
      <c r="Z430" s="2"/>
      <c r="AA430" s="2"/>
      <c r="AB430" s="2"/>
      <c r="AC430" s="2"/>
      <c r="AD430" s="2"/>
      <c r="AE430" s="2"/>
    </row>
    <row r="431" ht="15.75" customHeight="1">
      <c r="A431" s="45">
        <v>2.0</v>
      </c>
      <c r="B431" s="45" t="str">
        <f t="shared" si="14"/>
        <v>#NAME?</v>
      </c>
      <c r="C431" s="45">
        <f t="shared" si="15"/>
        <v>4</v>
      </c>
      <c r="D431" s="75">
        <v>46116.0</v>
      </c>
      <c r="E431" s="75">
        <v>46116.0</v>
      </c>
      <c r="F431" s="45"/>
      <c r="G431" s="45" t="s">
        <v>2247</v>
      </c>
      <c r="H431" s="61" t="s">
        <v>2248</v>
      </c>
      <c r="I431" s="48"/>
      <c r="J431" s="48">
        <v>110000.0</v>
      </c>
      <c r="K431" s="48">
        <f t="shared" si="7"/>
        <v>152541</v>
      </c>
      <c r="L431" s="77" t="s">
        <v>45</v>
      </c>
      <c r="M431" s="77" t="s">
        <v>47</v>
      </c>
      <c r="N431" s="64"/>
      <c r="O431" s="77" t="s">
        <v>60</v>
      </c>
      <c r="P431" s="30" t="s">
        <v>74</v>
      </c>
      <c r="Q431" s="64" t="s">
        <v>50</v>
      </c>
      <c r="R431" s="30"/>
      <c r="S431" s="30"/>
      <c r="T431" s="30"/>
      <c r="U431" s="30" t="s">
        <v>75</v>
      </c>
      <c r="V431" s="30"/>
      <c r="W431" s="51" t="str">
        <f t="shared" si="17"/>
        <v>#NAME?</v>
      </c>
      <c r="X431" s="2"/>
      <c r="Y431" s="2"/>
      <c r="Z431" s="2"/>
      <c r="AA431" s="2"/>
      <c r="AB431" s="2"/>
      <c r="AC431" s="2"/>
      <c r="AD431" s="2"/>
      <c r="AE431" s="2"/>
    </row>
    <row r="432" ht="15.75" customHeight="1">
      <c r="A432" s="45">
        <v>1.0</v>
      </c>
      <c r="B432" s="45">
        <v>1.0</v>
      </c>
      <c r="C432" s="45">
        <f t="shared" si="15"/>
        <v>4</v>
      </c>
      <c r="D432" s="75">
        <v>46113.0</v>
      </c>
      <c r="E432" s="75">
        <v>46113.0</v>
      </c>
      <c r="F432" s="45"/>
      <c r="G432" s="45" t="s">
        <v>2249</v>
      </c>
      <c r="H432" s="61"/>
      <c r="I432" s="48">
        <v>0.0</v>
      </c>
      <c r="J432" s="48">
        <v>42541.0</v>
      </c>
      <c r="K432" s="48">
        <f>J432</f>
        <v>42541</v>
      </c>
      <c r="L432" s="77"/>
      <c r="M432" s="77"/>
      <c r="N432" s="64"/>
      <c r="O432" s="77"/>
      <c r="P432" s="30" t="s">
        <v>516</v>
      </c>
      <c r="Q432" s="64"/>
      <c r="R432" s="30"/>
      <c r="S432" s="30"/>
      <c r="T432" s="30"/>
      <c r="U432" s="30"/>
      <c r="V432" s="30"/>
      <c r="W432" s="51"/>
      <c r="X432" s="2"/>
      <c r="Y432" s="2"/>
      <c r="Z432" s="2"/>
      <c r="AA432" s="2"/>
      <c r="AB432" s="2"/>
      <c r="AC432" s="2"/>
      <c r="AD432" s="2"/>
      <c r="AE432" s="2"/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B$432"/>
  <customSheetViews>
    <customSheetView guid="{349BE81A-EADF-4EC0-BA06-361C2A3477E7}" filter="1" showAutoFilter="1">
      <autoFilter ref="$A$2:$W$432">
        <filterColumn colId="9">
          <filters>
            <filter val="1,20,000.00"/>
            <filter val="3,00,000.00"/>
            <filter val="1,00,000.00"/>
            <filter val="5,00,000.00"/>
            <filter val="1,50,000.00"/>
            <filter val="1.00"/>
            <filter val="70,000.00"/>
            <filter val="6,00,000.00"/>
            <filter val="2,50,000.00"/>
            <filter val="90,000.00"/>
            <filter val="6,30,000.00"/>
            <filter val="1,10,000.00"/>
            <filter val="4,00,000.00"/>
            <filter val="20,000.00"/>
            <filter val="5,50,000.00"/>
            <filter val="4,20,000.00"/>
            <filter val="10,000.00"/>
            <filter val="7,00,000.00"/>
            <filter val="42,541.00"/>
            <filter val="9,00,000.00"/>
            <filter val="2,00,000.00"/>
            <filter val="30,000.00"/>
            <filter val="3,50,000.00"/>
          </filters>
        </filterColumn>
      </autoFilter>
      <extLst>
        <ext uri="GoogleSheetsCustomDataVersion1">
          <go:sheetsCustomData xmlns:go="http://customooxmlschemas.google.com/" filterViewId="1223215937"/>
        </ext>
      </extLst>
    </customSheetView>
  </customSheetViews>
  <conditionalFormatting sqref="K1:K432 N3:N15 X3:X71 X74:X76 X81:X83">
    <cfRule type="expression" dxfId="0" priority="1">
      <formula>O:O="Reco"</formula>
    </cfRule>
  </conditionalFormatting>
  <conditionalFormatting sqref="O148:O156">
    <cfRule type="expression" dxfId="2" priority="2">
      <formula>O:O="Reco"</formula>
    </cfRule>
  </conditionalFormatting>
  <conditionalFormatting sqref="K1:K432 N3:N15 X3:X71 X74:X76 X81:X83">
    <cfRule type="expression" dxfId="1" priority="3">
      <formula>O:O="Entry"</formula>
    </cfRule>
  </conditionalFormatting>
  <conditionalFormatting sqref="X3:X70 X72 X74:X75 X77 X80:X82 X84 AA3:AA15">
    <cfRule type="expression" dxfId="0" priority="4">
      <formula>O:O="Reco"</formula>
    </cfRule>
  </conditionalFormatting>
  <conditionalFormatting sqref="X3:X70 X72 X74:X75 X77 X80:X82 X84 AA3:AA15">
    <cfRule type="expression" dxfId="1" priority="5">
      <formula>O:O="Entry"</formula>
    </cfRule>
  </conditionalFormatting>
  <conditionalFormatting sqref="X3:X81 AA3:AA15">
    <cfRule type="expression" dxfId="1" priority="6">
      <formula>O:O="eNTRY"</formula>
    </cfRule>
  </conditionalFormatting>
  <conditionalFormatting sqref="X3:X81 AA3:AA15">
    <cfRule type="expression" dxfId="0" priority="7">
      <formula>O:O="Reco"</formula>
    </cfRule>
  </conditionalFormatting>
  <dataValidations>
    <dataValidation type="list" allowBlank="1" showErrorMessage="1" sqref="L3:M432 P3:Q432">
      <formula1>#REF!</formula1>
    </dataValidation>
    <dataValidation type="list" allowBlank="1" sqref="O3:O432">
      <formula1>"Reco,Suspense,Entry,Reverse Entry,Pending"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5.0"/>
    <col customWidth="1" min="2" max="3" width="6.0"/>
    <col customWidth="1" min="4" max="4" width="12.38"/>
    <col customWidth="1" min="5" max="5" width="11.13"/>
    <col customWidth="1" hidden="1" min="6" max="6" width="9.63"/>
    <col customWidth="1" min="7" max="7" width="46.88"/>
    <col customWidth="1" min="8" max="8" width="10.63"/>
    <col customWidth="1" min="9" max="9" width="9.63"/>
    <col customWidth="1" min="10" max="10" width="10.88"/>
    <col customWidth="1" min="11" max="11" width="11.63"/>
    <col customWidth="1" min="12" max="12" width="13.13"/>
    <col customWidth="1" min="13" max="13" width="14.38"/>
    <col customWidth="1" hidden="1" min="14" max="14" width="7.63"/>
    <col customWidth="1" min="15" max="15" width="7.63"/>
    <col customWidth="1" min="16" max="16" width="15.5"/>
    <col customWidth="1" min="17" max="17" width="10.13"/>
    <col customWidth="1" min="18" max="19" width="9.0" outlineLevel="1"/>
    <col customWidth="1" min="20" max="20" width="12.63" outlineLevel="1"/>
    <col customWidth="1" min="21" max="21" width="22.63"/>
    <col customWidth="1" min="22" max="22" width="14.63"/>
    <col customWidth="1" min="23" max="23" width="46.13"/>
    <col customWidth="1" min="24" max="24" width="8.38"/>
    <col customWidth="1" min="25" max="25" width="8.5"/>
    <col customWidth="1" min="26" max="29" width="10.38"/>
  </cols>
  <sheetData>
    <row r="1" ht="15.75" customHeight="1">
      <c r="A1" s="2" t="s">
        <v>0</v>
      </c>
      <c r="B1" s="2"/>
      <c r="C1" s="2"/>
      <c r="D1" s="2"/>
      <c r="E1" s="2"/>
      <c r="F1" s="3"/>
      <c r="G1" s="5" t="s">
        <v>3</v>
      </c>
      <c r="H1" s="4">
        <v>46258.0</v>
      </c>
      <c r="I1" s="7">
        <f t="shared" ref="I1:J1" si="1">SUBTOTAL(9,I14:I115)</f>
        <v>4142409</v>
      </c>
      <c r="J1" s="7">
        <f t="shared" si="1"/>
        <v>4523074</v>
      </c>
      <c r="K1" s="7">
        <f>J1-I1</f>
        <v>380665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1" t="str">
        <f>'YES Master 0264'!D2</f>
        <v>TXN DATE</v>
      </c>
      <c r="E2" s="11" t="str">
        <f>'YES Master 0264'!E2</f>
        <v>VALUE DATE</v>
      </c>
      <c r="F2" s="11" t="str">
        <f>'YES Master 0264'!F2</f>
        <v>TYPE</v>
      </c>
      <c r="G2" s="11" t="str">
        <f>'YES Master 0264'!G2</f>
        <v>DESCRIPTION</v>
      </c>
      <c r="H2" s="11" t="str">
        <f>'YES Master 0264'!H2</f>
        <v>REFERENCE</v>
      </c>
      <c r="I2" s="19" t="str">
        <f>'YES Master 0264'!I2</f>
        <v>DEBITS</v>
      </c>
      <c r="J2" s="19" t="str">
        <f>'YES Master 0264'!J2</f>
        <v>CREDITS</v>
      </c>
      <c r="K2" s="19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28" t="str">
        <f>'YES Master 0264'!P2</f>
        <v>TYPE FOR RERA IDW</v>
      </c>
      <c r="Q2" s="28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11" t="str">
        <f>'YES Master 0264'!W2</f>
        <v>NARRATION</v>
      </c>
      <c r="X2" s="26" t="s">
        <v>28</v>
      </c>
      <c r="Y2" s="26" t="s">
        <v>29</v>
      </c>
      <c r="Z2" s="26" t="s">
        <v>30</v>
      </c>
      <c r="AA2" s="26" t="s">
        <v>31</v>
      </c>
      <c r="AB2" s="26" t="s">
        <v>32</v>
      </c>
      <c r="AC2" s="26" t="s">
        <v>33</v>
      </c>
    </row>
    <row r="3" ht="15.75" customHeight="1">
      <c r="A3" s="34"/>
      <c r="B3" s="35"/>
      <c r="C3" s="34"/>
      <c r="D3" s="37"/>
      <c r="E3" s="37"/>
      <c r="F3" s="38"/>
      <c r="G3" s="35"/>
      <c r="H3" s="38"/>
      <c r="I3" s="39"/>
      <c r="J3" s="39"/>
      <c r="K3" s="39"/>
      <c r="L3" s="40"/>
      <c r="M3" s="40"/>
      <c r="N3" s="38"/>
      <c r="O3" s="38"/>
      <c r="P3" s="40"/>
      <c r="Q3" s="40"/>
      <c r="R3" s="38"/>
      <c r="S3" s="38"/>
      <c r="T3" s="38"/>
      <c r="U3" s="35"/>
      <c r="V3" s="38"/>
      <c r="W3" s="40"/>
      <c r="X3" s="1"/>
      <c r="Y3" s="1"/>
      <c r="Z3" s="1"/>
      <c r="AA3" s="1"/>
      <c r="AB3" s="1"/>
      <c r="AC3" s="1"/>
    </row>
    <row r="4" ht="15.75" customHeight="1">
      <c r="A4" s="34"/>
      <c r="B4" s="35"/>
      <c r="C4" s="34"/>
      <c r="D4" s="37"/>
      <c r="E4" s="37"/>
      <c r="F4" s="38"/>
      <c r="G4" s="35"/>
      <c r="H4" s="38"/>
      <c r="I4" s="39"/>
      <c r="J4" s="39"/>
      <c r="K4" s="39"/>
      <c r="L4" s="40"/>
      <c r="M4" s="40"/>
      <c r="N4" s="38"/>
      <c r="O4" s="38"/>
      <c r="P4" s="40"/>
      <c r="Q4" s="40"/>
      <c r="R4" s="38"/>
      <c r="S4" s="38"/>
      <c r="T4" s="38"/>
      <c r="U4" s="35"/>
      <c r="V4" s="38"/>
      <c r="W4" s="40"/>
      <c r="X4" s="1"/>
      <c r="Y4" s="1"/>
      <c r="Z4" s="1"/>
      <c r="AA4" s="1"/>
      <c r="AB4" s="1"/>
      <c r="AC4" s="1"/>
    </row>
    <row r="5" ht="15.75" customHeight="1">
      <c r="A5" s="45">
        <v>111.0</v>
      </c>
      <c r="B5" s="30" t="str">
        <f t="shared" ref="B5:B37" si="2">IFERROR("Q"&amp;(INT(MOD(C5-4,12)/3)+1),"")</f>
        <v>Q2</v>
      </c>
      <c r="C5" s="29">
        <f t="shared" ref="C5:C37" si="3">IFERROR(MONTH(DATEVALUE(D5)),"")</f>
        <v>8</v>
      </c>
      <c r="D5" s="31">
        <v>46256.0</v>
      </c>
      <c r="E5" s="31">
        <v>46256.0</v>
      </c>
      <c r="F5" s="36"/>
      <c r="G5" s="30" t="s">
        <v>34</v>
      </c>
      <c r="H5" s="36" t="s">
        <v>35</v>
      </c>
      <c r="I5" s="44">
        <v>18865.0</v>
      </c>
      <c r="J5" s="44"/>
      <c r="K5" s="55">
        <f t="shared" ref="K5:K30" si="4">IFERROR(K6+J5-I5,"")</f>
        <v>39503.2</v>
      </c>
      <c r="L5" s="30" t="s">
        <v>41</v>
      </c>
      <c r="M5" s="30" t="s">
        <v>42</v>
      </c>
      <c r="N5" s="36"/>
      <c r="O5" s="36"/>
      <c r="P5" s="30" t="s">
        <v>43</v>
      </c>
      <c r="Q5" s="30" t="s">
        <v>44</v>
      </c>
      <c r="R5" s="36"/>
      <c r="S5" s="36"/>
      <c r="T5" s="36"/>
      <c r="U5" s="36" t="s">
        <v>46</v>
      </c>
      <c r="V5" s="36"/>
      <c r="W5" s="30" t="str">
        <f t="shared" ref="W5:W34" si="5">_xludf.LET(ref, IF(ISBLANK(H5), "N/A", H5), apt, IF(TRIM(T5)="", "", " | Apt#: " &amp; T5), IF(ISBLANK(U5), "Remarks Compulsory For Narration", TRIM(IF(M5="Internal", IF(LEN(G5)-LEN(SUBSTITUTE(G5,"-",""))&gt;=3, IF(N(J5)&gt;0, "Internal Fund Transfer (From x" &amp; RIGHT(MID(G5, FIND("-", SUBSTITUTE(G5, "-", "-", 3)) + 1, LEN(G5)), 4) &amp; " to YES CR FREE 2477)", "Internal Fund Transfer (From YES CR FREE 2477 to x" &amp; RIGHT(MID(G5, FIND("-", SUBSTITUTE(G5, "-", "-", 3)) + 1, LEN(G5)), 4) &amp; ")") &amp; " | Ref: " &amp; ref &amp; " | Type: " &amp; P5 &amp; " | BU: " &amp; L5 &amp; " | Head: " &amp; M5, "Internal Transfer | Ref: " &amp; ref &amp; " | Type: " &amp; P5 &amp; " | BU: " &amp; L5 &amp; " | Head: " &amp; M5), IF(N(J5)&gt;0, IF(P5="Customer Collection", "Receipt Credit (Collection) " &amp; apt &amp; " | Ref: " &amp; ref &amp; " | From: " &amp; IF(ISNUMBER(SEARCH("SOHNA ROAD", G5)), "Sohna Road", "Party") &amp; " | BU: " &amp; L5, "Receipt Credit from x" &amp; RIGHT(MID(G5, FIND("-", SUBSTITUTE(G5, "-", "-", 3)) + 1, LEN(G5)), 4) &amp; " (Purpose: " &amp; IF(OR(ISBLANK(U5), U5="N/A"), L5, U5) &amp; ") " &amp; apt &amp; " | Ref: " &amp; ref &amp; " | BU: " &amp; L5 &amp; " | Head: " &amp; M5), "Payment Disbursement (Purpose: " &amp; IF(ISNUMBER(SEARCH("salary", M5)), "Salary", U5) &amp; ") | To: " &amp; IFERROR(MID(G5, FIND("/", G5, FIND("/", G5, FIND("/", G5, FIND("/", G5) + 1) + 1) + 1) + 1, FIND("/", G5, FIND("/", G5, FIND("/", G5, FIND("/", G5, FIND("/", G5) + 1) + 1) + 1) + 1) - FIND("/", G5, FIND("/", G5, FIND("/", G5) + 1) + 1) - 1), IFERROR(MID(G5, FIND("-", G5, FIND("-", G5, FIND("-", G5) + 1) + 1) + 1, FIND("-", G5, FIND("-", G5, FIND("-", G5, FIND("-", G5) + 1) + 1) + 1) - FIND("-", G5, FIND("-", G5, FIND("-", G5) + 1) + 1) - 1), G5)) &amp; " | Ref: " &amp; ref &amp; " | BU: " &amp; L5 &amp; " | Head: " &amp; M5 &amp; apt)))))</f>
        <v>#NAME?</v>
      </c>
      <c r="X5" s="44"/>
      <c r="Y5" s="29"/>
      <c r="Z5" s="1"/>
      <c r="AA5" s="1"/>
      <c r="AB5" s="1"/>
      <c r="AC5" s="1"/>
    </row>
    <row r="6" ht="15.75" customHeight="1">
      <c r="A6" s="45">
        <v>110.0</v>
      </c>
      <c r="B6" s="30" t="str">
        <f t="shared" si="2"/>
        <v>Q2</v>
      </c>
      <c r="C6" s="29">
        <f t="shared" si="3"/>
        <v>8</v>
      </c>
      <c r="D6" s="31">
        <v>46256.0</v>
      </c>
      <c r="E6" s="31">
        <v>46256.0</v>
      </c>
      <c r="F6" s="36"/>
      <c r="G6" s="30" t="s">
        <v>65</v>
      </c>
      <c r="H6" s="36" t="s">
        <v>73</v>
      </c>
      <c r="I6" s="44">
        <v>600000.0</v>
      </c>
      <c r="J6" s="44"/>
      <c r="K6" s="55">
        <f t="shared" si="4"/>
        <v>58368.2</v>
      </c>
      <c r="L6" s="30" t="s">
        <v>45</v>
      </c>
      <c r="M6" s="30" t="s">
        <v>47</v>
      </c>
      <c r="N6" s="36"/>
      <c r="O6" s="36"/>
      <c r="P6" s="30" t="s">
        <v>74</v>
      </c>
      <c r="Q6" s="30" t="s">
        <v>50</v>
      </c>
      <c r="R6" s="36"/>
      <c r="S6" s="36"/>
      <c r="T6" s="36"/>
      <c r="U6" s="36" t="s">
        <v>75</v>
      </c>
      <c r="V6" s="36"/>
      <c r="W6" s="30" t="str">
        <f t="shared" si="5"/>
        <v>#NAME?</v>
      </c>
      <c r="X6" s="44"/>
      <c r="Y6" s="29"/>
      <c r="Z6" s="1"/>
      <c r="AA6" s="1"/>
      <c r="AB6" s="1"/>
      <c r="AC6" s="1"/>
    </row>
    <row r="7" ht="15.75" customHeight="1">
      <c r="A7" s="45">
        <v>109.0</v>
      </c>
      <c r="B7" s="30" t="str">
        <f t="shared" si="2"/>
        <v>Q2</v>
      </c>
      <c r="C7" s="29">
        <f t="shared" si="3"/>
        <v>8</v>
      </c>
      <c r="D7" s="31">
        <v>46256.0</v>
      </c>
      <c r="E7" s="31">
        <v>46256.0</v>
      </c>
      <c r="F7" s="36"/>
      <c r="G7" s="30" t="s">
        <v>78</v>
      </c>
      <c r="H7" s="36" t="s">
        <v>79</v>
      </c>
      <c r="I7" s="44"/>
      <c r="J7" s="44">
        <v>600000.0</v>
      </c>
      <c r="K7" s="55">
        <f t="shared" si="4"/>
        <v>658368.2</v>
      </c>
      <c r="L7" s="30" t="s">
        <v>41</v>
      </c>
      <c r="M7" s="30" t="s">
        <v>81</v>
      </c>
      <c r="N7" s="36"/>
      <c r="O7" s="36"/>
      <c r="P7" s="30" t="s">
        <v>82</v>
      </c>
      <c r="Q7" s="30" t="s">
        <v>82</v>
      </c>
      <c r="R7" s="36"/>
      <c r="S7" s="36"/>
      <c r="T7" s="36"/>
      <c r="U7" s="36" t="s">
        <v>81</v>
      </c>
      <c r="V7" s="36"/>
      <c r="W7" s="30" t="str">
        <f t="shared" si="5"/>
        <v>#NAME?</v>
      </c>
      <c r="X7" s="44"/>
      <c r="Y7" s="29"/>
      <c r="Z7" s="1"/>
      <c r="AA7" s="1"/>
      <c r="AB7" s="1"/>
      <c r="AC7" s="1"/>
    </row>
    <row r="8" ht="15.75" customHeight="1">
      <c r="A8" s="45">
        <v>108.0</v>
      </c>
      <c r="B8" s="30" t="str">
        <f t="shared" si="2"/>
        <v>Q2</v>
      </c>
      <c r="C8" s="29">
        <f t="shared" si="3"/>
        <v>8</v>
      </c>
      <c r="D8" s="31">
        <v>46254.0</v>
      </c>
      <c r="E8" s="31">
        <v>46254.0</v>
      </c>
      <c r="F8" s="36" t="s">
        <v>37</v>
      </c>
      <c r="G8" s="30" t="s">
        <v>65</v>
      </c>
      <c r="H8" s="36" t="s">
        <v>86</v>
      </c>
      <c r="I8" s="44">
        <v>150000.0</v>
      </c>
      <c r="J8" s="44"/>
      <c r="K8" s="55">
        <f t="shared" si="4"/>
        <v>58368.2</v>
      </c>
      <c r="L8" s="30" t="s">
        <v>45</v>
      </c>
      <c r="M8" s="30" t="s">
        <v>47</v>
      </c>
      <c r="N8" s="36" t="s">
        <v>37</v>
      </c>
      <c r="O8" s="36" t="s">
        <v>37</v>
      </c>
      <c r="P8" s="30" t="s">
        <v>74</v>
      </c>
      <c r="Q8" s="30" t="s">
        <v>50</v>
      </c>
      <c r="R8" s="36" t="s">
        <v>37</v>
      </c>
      <c r="S8" s="36" t="s">
        <v>37</v>
      </c>
      <c r="T8" s="36" t="s">
        <v>37</v>
      </c>
      <c r="U8" s="36" t="s">
        <v>75</v>
      </c>
      <c r="V8" s="36" t="s">
        <v>37</v>
      </c>
      <c r="W8" s="30" t="str">
        <f t="shared" si="5"/>
        <v>#NAME?</v>
      </c>
      <c r="X8" s="44">
        <v>58368.2</v>
      </c>
      <c r="Y8" s="29">
        <f t="shared" ref="Y8:Y31" si="6">IFERROR(ROUND(X8-K8,2),"")</f>
        <v>0</v>
      </c>
      <c r="Z8" s="1"/>
      <c r="AA8" s="1"/>
      <c r="AB8" s="1"/>
      <c r="AC8" s="1"/>
    </row>
    <row r="9" ht="15.75" customHeight="1">
      <c r="A9" s="45">
        <v>107.0</v>
      </c>
      <c r="B9" s="30" t="str">
        <f t="shared" si="2"/>
        <v>Q2</v>
      </c>
      <c r="C9" s="29">
        <f t="shared" si="3"/>
        <v>8</v>
      </c>
      <c r="D9" s="31">
        <v>46254.0</v>
      </c>
      <c r="E9" s="31">
        <v>46254.0</v>
      </c>
      <c r="F9" s="36" t="s">
        <v>37</v>
      </c>
      <c r="G9" s="30" t="s">
        <v>89</v>
      </c>
      <c r="H9" s="36" t="s">
        <v>90</v>
      </c>
      <c r="I9" s="44">
        <v>24601.0</v>
      </c>
      <c r="J9" s="44"/>
      <c r="K9" s="55">
        <f t="shared" si="4"/>
        <v>208368.2</v>
      </c>
      <c r="L9" s="30" t="s">
        <v>45</v>
      </c>
      <c r="M9" s="30" t="s">
        <v>47</v>
      </c>
      <c r="N9" s="36" t="s">
        <v>37</v>
      </c>
      <c r="O9" s="36" t="s">
        <v>37</v>
      </c>
      <c r="P9" s="30" t="s">
        <v>47</v>
      </c>
      <c r="Q9" s="30" t="s">
        <v>50</v>
      </c>
      <c r="R9" s="36" t="s">
        <v>37</v>
      </c>
      <c r="S9" s="36" t="s">
        <v>37</v>
      </c>
      <c r="T9" s="36" t="s">
        <v>37</v>
      </c>
      <c r="U9" s="36" t="s">
        <v>93</v>
      </c>
      <c r="V9" s="36" t="s">
        <v>37</v>
      </c>
      <c r="W9" s="30" t="str">
        <f t="shared" si="5"/>
        <v>#NAME?</v>
      </c>
      <c r="X9" s="44">
        <v>82969.2</v>
      </c>
      <c r="Y9" s="29">
        <f t="shared" si="6"/>
        <v>-125399</v>
      </c>
      <c r="Z9" s="1"/>
      <c r="AA9" s="1"/>
      <c r="AB9" s="1"/>
      <c r="AC9" s="1"/>
    </row>
    <row r="10" ht="15.75" customHeight="1">
      <c r="A10" s="45">
        <v>106.0</v>
      </c>
      <c r="B10" s="30" t="str">
        <f t="shared" si="2"/>
        <v>Q2</v>
      </c>
      <c r="C10" s="29">
        <f t="shared" si="3"/>
        <v>8</v>
      </c>
      <c r="D10" s="31">
        <v>46254.0</v>
      </c>
      <c r="E10" s="31">
        <v>46254.0</v>
      </c>
      <c r="F10" s="36" t="s">
        <v>37</v>
      </c>
      <c r="G10" s="30" t="s">
        <v>99</v>
      </c>
      <c r="H10" s="36" t="s">
        <v>100</v>
      </c>
      <c r="I10" s="44">
        <v>39898.0</v>
      </c>
      <c r="J10" s="44"/>
      <c r="K10" s="55">
        <f t="shared" si="4"/>
        <v>232969.2</v>
      </c>
      <c r="L10" s="30" t="s">
        <v>41</v>
      </c>
      <c r="M10" s="30" t="s">
        <v>101</v>
      </c>
      <c r="N10" s="36" t="s">
        <v>37</v>
      </c>
      <c r="O10" s="36" t="s">
        <v>37</v>
      </c>
      <c r="P10" s="30" t="s">
        <v>43</v>
      </c>
      <c r="Q10" s="30" t="s">
        <v>44</v>
      </c>
      <c r="R10" s="36" t="s">
        <v>37</v>
      </c>
      <c r="S10" s="36" t="s">
        <v>37</v>
      </c>
      <c r="T10" s="36" t="s">
        <v>37</v>
      </c>
      <c r="U10" s="36" t="s">
        <v>103</v>
      </c>
      <c r="V10" s="36" t="s">
        <v>37</v>
      </c>
      <c r="W10" s="30" t="str">
        <f t="shared" si="5"/>
        <v>#NAME?</v>
      </c>
      <c r="X10" s="44">
        <v>232969.2</v>
      </c>
      <c r="Y10" s="29">
        <f t="shared" si="6"/>
        <v>0</v>
      </c>
      <c r="Z10" s="1"/>
      <c r="AA10" s="1"/>
      <c r="AB10" s="1"/>
      <c r="AC10" s="1"/>
    </row>
    <row r="11" ht="15.75" customHeight="1">
      <c r="A11" s="45">
        <v>105.0</v>
      </c>
      <c r="B11" s="30" t="str">
        <f t="shared" si="2"/>
        <v>Q2</v>
      </c>
      <c r="C11" s="29">
        <f t="shared" si="3"/>
        <v>8</v>
      </c>
      <c r="D11" s="31">
        <v>46254.0</v>
      </c>
      <c r="E11" s="31">
        <v>46254.0</v>
      </c>
      <c r="F11" s="36" t="s">
        <v>37</v>
      </c>
      <c r="G11" s="30" t="s">
        <v>107</v>
      </c>
      <c r="H11" s="36" t="s">
        <v>108</v>
      </c>
      <c r="I11" s="44">
        <v>49000.0</v>
      </c>
      <c r="J11" s="44"/>
      <c r="K11" s="55">
        <f t="shared" si="4"/>
        <v>272867.2</v>
      </c>
      <c r="L11" s="30" t="s">
        <v>41</v>
      </c>
      <c r="M11" s="30" t="s">
        <v>67</v>
      </c>
      <c r="N11" s="36" t="s">
        <v>37</v>
      </c>
      <c r="O11" s="36" t="s">
        <v>37</v>
      </c>
      <c r="P11" s="30" t="s">
        <v>43</v>
      </c>
      <c r="Q11" s="30" t="s">
        <v>44</v>
      </c>
      <c r="R11" s="36" t="s">
        <v>37</v>
      </c>
      <c r="S11" s="36" t="s">
        <v>37</v>
      </c>
      <c r="T11" s="36" t="s">
        <v>37</v>
      </c>
      <c r="U11" s="36" t="s">
        <v>112</v>
      </c>
      <c r="V11" s="36" t="s">
        <v>37</v>
      </c>
      <c r="W11" s="30" t="str">
        <f t="shared" si="5"/>
        <v>#NAME?</v>
      </c>
      <c r="X11" s="44">
        <v>272867.2</v>
      </c>
      <c r="Y11" s="29">
        <f t="shared" si="6"/>
        <v>0</v>
      </c>
      <c r="Z11" s="1"/>
      <c r="AA11" s="1"/>
      <c r="AB11" s="1"/>
      <c r="AC11" s="1"/>
    </row>
    <row r="12" ht="15.75" customHeight="1">
      <c r="A12" s="45">
        <v>104.0</v>
      </c>
      <c r="B12" s="30" t="str">
        <f t="shared" si="2"/>
        <v>Q2</v>
      </c>
      <c r="C12" s="29">
        <f t="shared" si="3"/>
        <v>8</v>
      </c>
      <c r="D12" s="31">
        <v>46254.0</v>
      </c>
      <c r="E12" s="31">
        <v>46254.0</v>
      </c>
      <c r="F12" s="36" t="s">
        <v>37</v>
      </c>
      <c r="G12" s="30" t="s">
        <v>115</v>
      </c>
      <c r="H12" s="36" t="s">
        <v>116</v>
      </c>
      <c r="I12" s="44">
        <v>22500.0</v>
      </c>
      <c r="J12" s="44"/>
      <c r="K12" s="55">
        <f t="shared" si="4"/>
        <v>321867.2</v>
      </c>
      <c r="L12" s="30" t="s">
        <v>41</v>
      </c>
      <c r="M12" s="30" t="s">
        <v>118</v>
      </c>
      <c r="N12" s="36" t="s">
        <v>37</v>
      </c>
      <c r="O12" s="36" t="s">
        <v>37</v>
      </c>
      <c r="P12" s="30" t="s">
        <v>43</v>
      </c>
      <c r="Q12" s="30" t="s">
        <v>44</v>
      </c>
      <c r="R12" s="36" t="s">
        <v>37</v>
      </c>
      <c r="S12" s="36" t="s">
        <v>37</v>
      </c>
      <c r="T12" s="36" t="s">
        <v>37</v>
      </c>
      <c r="U12" s="36" t="s">
        <v>119</v>
      </c>
      <c r="V12" s="36" t="s">
        <v>37</v>
      </c>
      <c r="W12" s="30" t="str">
        <f t="shared" si="5"/>
        <v>#NAME?</v>
      </c>
      <c r="X12" s="44">
        <v>321867.2</v>
      </c>
      <c r="Y12" s="29">
        <f t="shared" si="6"/>
        <v>0</v>
      </c>
      <c r="Z12" s="1"/>
      <c r="AA12" s="1"/>
      <c r="AB12" s="1"/>
      <c r="AC12" s="1"/>
    </row>
    <row r="13" ht="15.75" customHeight="1">
      <c r="A13" s="45">
        <v>103.0</v>
      </c>
      <c r="B13" s="30" t="str">
        <f t="shared" si="2"/>
        <v>Q2</v>
      </c>
      <c r="C13" s="29">
        <f t="shared" si="3"/>
        <v>8</v>
      </c>
      <c r="D13" s="31">
        <v>46254.0</v>
      </c>
      <c r="E13" s="31">
        <v>46254.0</v>
      </c>
      <c r="F13" s="36" t="s">
        <v>37</v>
      </c>
      <c r="G13" s="30" t="s">
        <v>122</v>
      </c>
      <c r="H13" s="36" t="s">
        <v>123</v>
      </c>
      <c r="I13" s="44">
        <v>36298.0</v>
      </c>
      <c r="J13" s="44"/>
      <c r="K13" s="55">
        <f t="shared" si="4"/>
        <v>344367.2</v>
      </c>
      <c r="L13" s="30" t="s">
        <v>41</v>
      </c>
      <c r="M13" s="30" t="s">
        <v>101</v>
      </c>
      <c r="N13" s="36" t="s">
        <v>37</v>
      </c>
      <c r="O13" s="36" t="s">
        <v>37</v>
      </c>
      <c r="P13" s="30" t="s">
        <v>43</v>
      </c>
      <c r="Q13" s="30" t="s">
        <v>44</v>
      </c>
      <c r="R13" s="36" t="s">
        <v>37</v>
      </c>
      <c r="S13" s="36" t="s">
        <v>37</v>
      </c>
      <c r="T13" s="36" t="s">
        <v>37</v>
      </c>
      <c r="U13" s="36" t="s">
        <v>103</v>
      </c>
      <c r="V13" s="36" t="s">
        <v>37</v>
      </c>
      <c r="W13" s="30" t="str">
        <f t="shared" si="5"/>
        <v>#NAME?</v>
      </c>
      <c r="X13" s="44">
        <v>358165.2</v>
      </c>
      <c r="Y13" s="29">
        <f t="shared" si="6"/>
        <v>13798</v>
      </c>
      <c r="Z13" s="1"/>
      <c r="AA13" s="1"/>
      <c r="AB13" s="1"/>
      <c r="AC13" s="1"/>
    </row>
    <row r="14" ht="15.75" customHeight="1">
      <c r="A14" s="45">
        <v>102.0</v>
      </c>
      <c r="B14" s="30" t="str">
        <f t="shared" si="2"/>
        <v>Q2</v>
      </c>
      <c r="C14" s="29">
        <f t="shared" si="3"/>
        <v>8</v>
      </c>
      <c r="D14" s="31">
        <v>46254.0</v>
      </c>
      <c r="E14" s="31">
        <v>46254.0</v>
      </c>
      <c r="F14" s="36" t="s">
        <v>37</v>
      </c>
      <c r="G14" s="30" t="s">
        <v>130</v>
      </c>
      <c r="H14" s="36" t="s">
        <v>131</v>
      </c>
      <c r="I14" s="44">
        <v>24898.0</v>
      </c>
      <c r="J14" s="44"/>
      <c r="K14" s="55">
        <f t="shared" si="4"/>
        <v>380665.2</v>
      </c>
      <c r="L14" s="30" t="s">
        <v>41</v>
      </c>
      <c r="M14" s="30" t="s">
        <v>101</v>
      </c>
      <c r="N14" s="36" t="s">
        <v>37</v>
      </c>
      <c r="O14" s="36" t="s">
        <v>37</v>
      </c>
      <c r="P14" s="30" t="s">
        <v>43</v>
      </c>
      <c r="Q14" s="30" t="s">
        <v>44</v>
      </c>
      <c r="R14" s="36" t="s">
        <v>37</v>
      </c>
      <c r="S14" s="36" t="s">
        <v>37</v>
      </c>
      <c r="T14" s="36" t="s">
        <v>37</v>
      </c>
      <c r="U14" s="36" t="s">
        <v>103</v>
      </c>
      <c r="V14" s="36" t="s">
        <v>37</v>
      </c>
      <c r="W14" s="30" t="str">
        <f t="shared" si="5"/>
        <v>#NAME?</v>
      </c>
      <c r="X14" s="44">
        <v>383063.2</v>
      </c>
      <c r="Y14" s="29">
        <f t="shared" si="6"/>
        <v>2398</v>
      </c>
      <c r="Z14" s="1"/>
      <c r="AA14" s="1"/>
      <c r="AB14" s="1"/>
      <c r="AC14" s="1"/>
    </row>
    <row r="15" ht="15.75" customHeight="1">
      <c r="A15" s="45">
        <v>101.0</v>
      </c>
      <c r="B15" s="30" t="str">
        <f t="shared" si="2"/>
        <v>Q2</v>
      </c>
      <c r="C15" s="29">
        <f t="shared" si="3"/>
        <v>8</v>
      </c>
      <c r="D15" s="31">
        <v>46254.0</v>
      </c>
      <c r="E15" s="31">
        <v>46254.0</v>
      </c>
      <c r="F15" s="36" t="s">
        <v>37</v>
      </c>
      <c r="G15" s="30" t="s">
        <v>139</v>
      </c>
      <c r="H15" s="36" t="s">
        <v>140</v>
      </c>
      <c r="I15" s="44">
        <v>72500.0</v>
      </c>
      <c r="J15" s="44"/>
      <c r="K15" s="55">
        <f t="shared" si="4"/>
        <v>405563.2</v>
      </c>
      <c r="L15" s="30" t="s">
        <v>41</v>
      </c>
      <c r="M15" s="30" t="s">
        <v>118</v>
      </c>
      <c r="N15" s="36" t="s">
        <v>37</v>
      </c>
      <c r="O15" s="36" t="s">
        <v>37</v>
      </c>
      <c r="P15" s="30" t="s">
        <v>43</v>
      </c>
      <c r="Q15" s="30" t="s">
        <v>44</v>
      </c>
      <c r="R15" s="36" t="s">
        <v>37</v>
      </c>
      <c r="S15" s="36" t="s">
        <v>37</v>
      </c>
      <c r="T15" s="36" t="s">
        <v>37</v>
      </c>
      <c r="U15" s="36" t="s">
        <v>119</v>
      </c>
      <c r="V15" s="36" t="s">
        <v>37</v>
      </c>
      <c r="W15" s="30" t="str">
        <f t="shared" si="5"/>
        <v>#NAME?</v>
      </c>
      <c r="X15" s="44">
        <v>405563.2</v>
      </c>
      <c r="Y15" s="29">
        <f t="shared" si="6"/>
        <v>0</v>
      </c>
      <c r="Z15" s="1"/>
      <c r="AA15" s="1"/>
      <c r="AB15" s="1"/>
      <c r="AC15" s="1"/>
    </row>
    <row r="16" ht="15.75" customHeight="1">
      <c r="A16" s="45">
        <v>100.0</v>
      </c>
      <c r="B16" s="30" t="str">
        <f t="shared" si="2"/>
        <v>Q2</v>
      </c>
      <c r="C16" s="29">
        <f t="shared" si="3"/>
        <v>8</v>
      </c>
      <c r="D16" s="31">
        <v>46254.0</v>
      </c>
      <c r="E16" s="31">
        <v>46254.0</v>
      </c>
      <c r="F16" s="36" t="s">
        <v>37</v>
      </c>
      <c r="G16" s="30" t="s">
        <v>145</v>
      </c>
      <c r="H16" s="36" t="s">
        <v>146</v>
      </c>
      <c r="I16" s="44">
        <v>15343.0</v>
      </c>
      <c r="J16" s="44"/>
      <c r="K16" s="55">
        <f t="shared" si="4"/>
        <v>478063.2</v>
      </c>
      <c r="L16" s="30" t="s">
        <v>41</v>
      </c>
      <c r="M16" s="30" t="s">
        <v>101</v>
      </c>
      <c r="N16" s="36" t="s">
        <v>37</v>
      </c>
      <c r="O16" s="36" t="s">
        <v>37</v>
      </c>
      <c r="P16" s="30" t="s">
        <v>43</v>
      </c>
      <c r="Q16" s="30" t="s">
        <v>44</v>
      </c>
      <c r="R16" s="36" t="s">
        <v>37</v>
      </c>
      <c r="S16" s="36" t="s">
        <v>37</v>
      </c>
      <c r="T16" s="36" t="s">
        <v>37</v>
      </c>
      <c r="U16" s="36" t="s">
        <v>103</v>
      </c>
      <c r="V16" s="36" t="s">
        <v>37</v>
      </c>
      <c r="W16" s="30" t="str">
        <f t="shared" si="5"/>
        <v>#NAME?</v>
      </c>
      <c r="X16" s="44">
        <v>420906.2</v>
      </c>
      <c r="Y16" s="29">
        <f t="shared" si="6"/>
        <v>-57157</v>
      </c>
      <c r="Z16" s="1"/>
      <c r="AA16" s="1"/>
      <c r="AB16" s="1"/>
      <c r="AC16" s="1"/>
    </row>
    <row r="17" ht="15.75" customHeight="1">
      <c r="A17" s="45">
        <v>99.0</v>
      </c>
      <c r="B17" s="30" t="str">
        <f t="shared" si="2"/>
        <v>Q2</v>
      </c>
      <c r="C17" s="29">
        <f t="shared" si="3"/>
        <v>8</v>
      </c>
      <c r="D17" s="31">
        <v>46254.0</v>
      </c>
      <c r="E17" s="31">
        <v>46254.0</v>
      </c>
      <c r="F17" s="36" t="s">
        <v>37</v>
      </c>
      <c r="G17" s="30" t="s">
        <v>151</v>
      </c>
      <c r="H17" s="36" t="s">
        <v>152</v>
      </c>
      <c r="I17" s="44">
        <v>36298.0</v>
      </c>
      <c r="J17" s="44"/>
      <c r="K17" s="55">
        <f t="shared" si="4"/>
        <v>493406.2</v>
      </c>
      <c r="L17" s="30" t="s">
        <v>41</v>
      </c>
      <c r="M17" s="30" t="s">
        <v>101</v>
      </c>
      <c r="N17" s="36" t="s">
        <v>37</v>
      </c>
      <c r="O17" s="36" t="s">
        <v>37</v>
      </c>
      <c r="P17" s="30" t="s">
        <v>43</v>
      </c>
      <c r="Q17" s="30" t="s">
        <v>44</v>
      </c>
      <c r="R17" s="36" t="s">
        <v>37</v>
      </c>
      <c r="S17" s="36" t="s">
        <v>37</v>
      </c>
      <c r="T17" s="36" t="s">
        <v>37</v>
      </c>
      <c r="U17" s="36" t="s">
        <v>103</v>
      </c>
      <c r="V17" s="36" t="s">
        <v>37</v>
      </c>
      <c r="W17" s="30" t="str">
        <f t="shared" si="5"/>
        <v>#NAME?</v>
      </c>
      <c r="X17" s="44">
        <v>493406.2</v>
      </c>
      <c r="Y17" s="29">
        <f t="shared" si="6"/>
        <v>0</v>
      </c>
      <c r="Z17" s="1"/>
      <c r="AA17" s="1"/>
      <c r="AB17" s="1"/>
      <c r="AC17" s="1"/>
    </row>
    <row r="18" ht="15.75" customHeight="1">
      <c r="A18" s="45">
        <v>98.0</v>
      </c>
      <c r="B18" s="30" t="str">
        <f t="shared" si="2"/>
        <v>Q2</v>
      </c>
      <c r="C18" s="29">
        <f t="shared" si="3"/>
        <v>8</v>
      </c>
      <c r="D18" s="31">
        <v>46254.0</v>
      </c>
      <c r="E18" s="31">
        <v>46254.0</v>
      </c>
      <c r="F18" s="36" t="s">
        <v>37</v>
      </c>
      <c r="G18" s="30" t="s">
        <v>158</v>
      </c>
      <c r="H18" s="36" t="s">
        <v>159</v>
      </c>
      <c r="I18" s="44"/>
      <c r="J18" s="44">
        <v>300000.0</v>
      </c>
      <c r="K18" s="55">
        <f t="shared" si="4"/>
        <v>529704.2</v>
      </c>
      <c r="L18" s="30" t="s">
        <v>45</v>
      </c>
      <c r="M18" s="30" t="s">
        <v>81</v>
      </c>
      <c r="N18" s="36" t="s">
        <v>37</v>
      </c>
      <c r="O18" s="36" t="s">
        <v>37</v>
      </c>
      <c r="P18" s="30" t="s">
        <v>82</v>
      </c>
      <c r="Q18" s="30" t="s">
        <v>82</v>
      </c>
      <c r="R18" s="36" t="s">
        <v>37</v>
      </c>
      <c r="S18" s="36" t="s">
        <v>37</v>
      </c>
      <c r="T18" s="36" t="s">
        <v>37</v>
      </c>
      <c r="U18" s="36" t="s">
        <v>81</v>
      </c>
      <c r="V18" s="36" t="s">
        <v>37</v>
      </c>
      <c r="W18" s="30" t="str">
        <f t="shared" si="5"/>
        <v>#NAME?</v>
      </c>
      <c r="X18" s="44">
        <v>529704.2</v>
      </c>
      <c r="Y18" s="29">
        <f t="shared" si="6"/>
        <v>0</v>
      </c>
      <c r="Z18" s="1"/>
      <c r="AA18" s="1"/>
      <c r="AB18" s="1"/>
      <c r="AC18" s="1"/>
    </row>
    <row r="19" ht="15.75" customHeight="1">
      <c r="A19" s="45">
        <v>97.0</v>
      </c>
      <c r="B19" s="30" t="str">
        <f t="shared" si="2"/>
        <v>Q2</v>
      </c>
      <c r="C19" s="29">
        <f t="shared" si="3"/>
        <v>8</v>
      </c>
      <c r="D19" s="52" t="s">
        <v>36</v>
      </c>
      <c r="E19" s="52" t="s">
        <v>36</v>
      </c>
      <c r="F19" s="36" t="s">
        <v>37</v>
      </c>
      <c r="G19" s="30" t="s">
        <v>56</v>
      </c>
      <c r="H19" s="36" t="s">
        <v>37</v>
      </c>
      <c r="I19" s="44"/>
      <c r="J19" s="44">
        <v>49426.0</v>
      </c>
      <c r="K19" s="55">
        <f t="shared" si="4"/>
        <v>229704.2</v>
      </c>
      <c r="L19" s="30" t="s">
        <v>45</v>
      </c>
      <c r="M19" s="30" t="s">
        <v>47</v>
      </c>
      <c r="N19" s="36" t="s">
        <v>37</v>
      </c>
      <c r="O19" s="36" t="s">
        <v>37</v>
      </c>
      <c r="P19" s="30" t="s">
        <v>51</v>
      </c>
      <c r="Q19" s="30" t="s">
        <v>50</v>
      </c>
      <c r="R19" s="36" t="s">
        <v>37</v>
      </c>
      <c r="S19" s="36" t="s">
        <v>37</v>
      </c>
      <c r="T19" s="36" t="s">
        <v>37</v>
      </c>
      <c r="U19" s="36" t="s">
        <v>75</v>
      </c>
      <c r="V19" s="36" t="s">
        <v>37</v>
      </c>
      <c r="W19" s="30" t="str">
        <f t="shared" si="5"/>
        <v>#NAME?</v>
      </c>
      <c r="X19" s="44">
        <v>229704.2</v>
      </c>
      <c r="Y19" s="29">
        <f t="shared" si="6"/>
        <v>0</v>
      </c>
      <c r="Z19" s="1"/>
      <c r="AA19" s="1"/>
      <c r="AB19" s="1"/>
      <c r="AC19" s="1"/>
    </row>
    <row r="20" ht="15.75" customHeight="1">
      <c r="A20" s="45">
        <v>96.0</v>
      </c>
      <c r="B20" s="30" t="str">
        <f t="shared" si="2"/>
        <v>Q2</v>
      </c>
      <c r="C20" s="29">
        <f t="shared" si="3"/>
        <v>8</v>
      </c>
      <c r="D20" s="31">
        <v>46248.0</v>
      </c>
      <c r="E20" s="31">
        <v>46248.0</v>
      </c>
      <c r="F20" s="36"/>
      <c r="G20" s="30" t="s">
        <v>164</v>
      </c>
      <c r="H20" s="36" t="s">
        <v>165</v>
      </c>
      <c r="I20" s="44">
        <v>6700.0</v>
      </c>
      <c r="J20" s="44"/>
      <c r="K20" s="55">
        <f t="shared" si="4"/>
        <v>180278.2</v>
      </c>
      <c r="L20" s="30" t="s">
        <v>41</v>
      </c>
      <c r="M20" s="30" t="s">
        <v>85</v>
      </c>
      <c r="N20" s="36"/>
      <c r="O20" s="36" t="s">
        <v>48</v>
      </c>
      <c r="P20" s="30" t="s">
        <v>43</v>
      </c>
      <c r="Q20" s="30" t="s">
        <v>44</v>
      </c>
      <c r="R20" s="36"/>
      <c r="S20" s="36"/>
      <c r="T20" s="36"/>
      <c r="U20" s="30" t="s">
        <v>85</v>
      </c>
      <c r="V20" s="36"/>
      <c r="W20" s="30" t="str">
        <f t="shared" si="5"/>
        <v>#NAME?</v>
      </c>
      <c r="X20" s="44">
        <v>180278.2</v>
      </c>
      <c r="Y20" s="29">
        <f t="shared" si="6"/>
        <v>0</v>
      </c>
      <c r="Z20" s="1"/>
      <c r="AA20" s="1"/>
      <c r="AB20" s="1"/>
      <c r="AC20" s="1"/>
    </row>
    <row r="21" ht="15.75" customHeight="1">
      <c r="A21" s="45">
        <v>95.0</v>
      </c>
      <c r="B21" s="30" t="str">
        <f t="shared" si="2"/>
        <v>Q2</v>
      </c>
      <c r="C21" s="29">
        <f t="shared" si="3"/>
        <v>8</v>
      </c>
      <c r="D21" s="31">
        <v>46248.0</v>
      </c>
      <c r="E21" s="31">
        <v>46248.0</v>
      </c>
      <c r="F21" s="36"/>
      <c r="G21" s="30" t="s">
        <v>168</v>
      </c>
      <c r="H21" s="36" t="s">
        <v>169</v>
      </c>
      <c r="I21" s="44">
        <v>26334.0</v>
      </c>
      <c r="J21" s="44"/>
      <c r="K21" s="55">
        <f t="shared" si="4"/>
        <v>186978.2</v>
      </c>
      <c r="L21" s="30" t="s">
        <v>41</v>
      </c>
      <c r="M21" s="30" t="s">
        <v>85</v>
      </c>
      <c r="N21" s="36"/>
      <c r="O21" s="36" t="s">
        <v>60</v>
      </c>
      <c r="P21" s="30" t="s">
        <v>43</v>
      </c>
      <c r="Q21" s="30" t="s">
        <v>44</v>
      </c>
      <c r="R21" s="36"/>
      <c r="S21" s="36"/>
      <c r="T21" s="36"/>
      <c r="U21" s="30" t="s">
        <v>103</v>
      </c>
      <c r="V21" s="36"/>
      <c r="W21" s="30" t="str">
        <f t="shared" si="5"/>
        <v>#NAME?</v>
      </c>
      <c r="X21" s="44">
        <v>186978.2</v>
      </c>
      <c r="Y21" s="29">
        <f t="shared" si="6"/>
        <v>0</v>
      </c>
      <c r="Z21" s="1"/>
      <c r="AA21" s="1"/>
      <c r="AB21" s="1"/>
      <c r="AC21" s="1"/>
    </row>
    <row r="22" ht="15.75" customHeight="1">
      <c r="A22" s="45">
        <v>94.0</v>
      </c>
      <c r="B22" s="30" t="str">
        <f t="shared" si="2"/>
        <v>Q2</v>
      </c>
      <c r="C22" s="29">
        <f t="shared" si="3"/>
        <v>8</v>
      </c>
      <c r="D22" s="31">
        <v>46248.0</v>
      </c>
      <c r="E22" s="31">
        <v>46248.0</v>
      </c>
      <c r="F22" s="36"/>
      <c r="G22" s="30" t="s">
        <v>175</v>
      </c>
      <c r="H22" s="36" t="s">
        <v>177</v>
      </c>
      <c r="I22" s="44">
        <v>30229.0</v>
      </c>
      <c r="J22" s="44"/>
      <c r="K22" s="55">
        <f t="shared" si="4"/>
        <v>213312.2</v>
      </c>
      <c r="L22" s="30" t="s">
        <v>41</v>
      </c>
      <c r="M22" s="30" t="s">
        <v>101</v>
      </c>
      <c r="N22" s="36"/>
      <c r="O22" s="36" t="s">
        <v>60</v>
      </c>
      <c r="P22" s="30" t="s">
        <v>43</v>
      </c>
      <c r="Q22" s="30" t="s">
        <v>44</v>
      </c>
      <c r="R22" s="36"/>
      <c r="S22" s="36"/>
      <c r="T22" s="36"/>
      <c r="U22" s="30" t="s">
        <v>103</v>
      </c>
      <c r="V22" s="36"/>
      <c r="W22" s="30" t="str">
        <f t="shared" si="5"/>
        <v>#NAME?</v>
      </c>
      <c r="X22" s="44">
        <v>213312.2</v>
      </c>
      <c r="Y22" s="29">
        <f t="shared" si="6"/>
        <v>0</v>
      </c>
      <c r="Z22" s="1"/>
      <c r="AA22" s="1"/>
      <c r="AB22" s="1"/>
      <c r="AC22" s="1"/>
    </row>
    <row r="23" ht="15.75" customHeight="1">
      <c r="A23" s="45">
        <v>93.0</v>
      </c>
      <c r="B23" s="30" t="str">
        <f t="shared" si="2"/>
        <v>Q2</v>
      </c>
      <c r="C23" s="29">
        <f t="shared" si="3"/>
        <v>8</v>
      </c>
      <c r="D23" s="31">
        <v>46248.0</v>
      </c>
      <c r="E23" s="31">
        <v>46248.0</v>
      </c>
      <c r="F23" s="36"/>
      <c r="G23" s="30" t="s">
        <v>183</v>
      </c>
      <c r="H23" s="36" t="s">
        <v>184</v>
      </c>
      <c r="I23" s="44">
        <v>6713.0</v>
      </c>
      <c r="J23" s="44"/>
      <c r="K23" s="55">
        <f t="shared" si="4"/>
        <v>243541.2</v>
      </c>
      <c r="L23" s="30" t="s">
        <v>41</v>
      </c>
      <c r="M23" s="30" t="s">
        <v>67</v>
      </c>
      <c r="N23" s="36"/>
      <c r="O23" s="36" t="s">
        <v>60</v>
      </c>
      <c r="P23" s="30" t="s">
        <v>43</v>
      </c>
      <c r="Q23" s="30" t="s">
        <v>44</v>
      </c>
      <c r="R23" s="36"/>
      <c r="S23" s="36"/>
      <c r="T23" s="36"/>
      <c r="U23" s="30" t="s">
        <v>186</v>
      </c>
      <c r="V23" s="36"/>
      <c r="W23" s="30" t="str">
        <f t="shared" si="5"/>
        <v>#NAME?</v>
      </c>
      <c r="X23" s="44">
        <v>243541.2</v>
      </c>
      <c r="Y23" s="29">
        <f t="shared" si="6"/>
        <v>0</v>
      </c>
      <c r="Z23" s="1"/>
      <c r="AA23" s="1"/>
      <c r="AB23" s="1"/>
      <c r="AC23" s="1"/>
    </row>
    <row r="24" ht="15.75" customHeight="1">
      <c r="A24" s="45">
        <v>92.0</v>
      </c>
      <c r="B24" s="30" t="str">
        <f t="shared" si="2"/>
        <v>Q2</v>
      </c>
      <c r="C24" s="29">
        <f t="shared" si="3"/>
        <v>8</v>
      </c>
      <c r="D24" s="31">
        <v>46248.0</v>
      </c>
      <c r="E24" s="31">
        <v>46248.0</v>
      </c>
      <c r="F24" s="36"/>
      <c r="G24" s="30" t="s">
        <v>188</v>
      </c>
      <c r="H24" s="36" t="s">
        <v>189</v>
      </c>
      <c r="I24" s="44">
        <v>11300.0</v>
      </c>
      <c r="J24" s="44"/>
      <c r="K24" s="55">
        <f t="shared" si="4"/>
        <v>250254.2</v>
      </c>
      <c r="L24" s="30" t="s">
        <v>41</v>
      </c>
      <c r="M24" s="30" t="s">
        <v>47</v>
      </c>
      <c r="N24" s="36"/>
      <c r="O24" s="36" t="s">
        <v>60</v>
      </c>
      <c r="P24" s="30" t="s">
        <v>47</v>
      </c>
      <c r="Q24" s="30" t="s">
        <v>50</v>
      </c>
      <c r="R24" s="36"/>
      <c r="S24" s="36"/>
      <c r="T24" s="36"/>
      <c r="U24" s="30" t="s">
        <v>190</v>
      </c>
      <c r="V24" s="36"/>
      <c r="W24" s="30" t="str">
        <f t="shared" si="5"/>
        <v>#NAME?</v>
      </c>
      <c r="X24" s="44">
        <v>250254.2</v>
      </c>
      <c r="Y24" s="29">
        <f t="shared" si="6"/>
        <v>0</v>
      </c>
      <c r="Z24" s="1"/>
      <c r="AA24" s="1"/>
      <c r="AB24" s="1"/>
      <c r="AC24" s="1"/>
    </row>
    <row r="25" ht="15.75" customHeight="1">
      <c r="A25" s="45">
        <v>91.0</v>
      </c>
      <c r="B25" s="30" t="str">
        <f t="shared" si="2"/>
        <v>Q2</v>
      </c>
      <c r="C25" s="29">
        <f t="shared" si="3"/>
        <v>8</v>
      </c>
      <c r="D25" s="31">
        <v>46248.0</v>
      </c>
      <c r="E25" s="31">
        <v>46248.0</v>
      </c>
      <c r="F25" s="36"/>
      <c r="G25" s="30" t="s">
        <v>195</v>
      </c>
      <c r="H25" s="36" t="s">
        <v>196</v>
      </c>
      <c r="I25" s="44">
        <v>620.0</v>
      </c>
      <c r="J25" s="44"/>
      <c r="K25" s="55">
        <f t="shared" si="4"/>
        <v>261554.2</v>
      </c>
      <c r="L25" s="30" t="s">
        <v>41</v>
      </c>
      <c r="M25" s="30" t="s">
        <v>47</v>
      </c>
      <c r="N25" s="36"/>
      <c r="O25" s="36" t="s">
        <v>60</v>
      </c>
      <c r="P25" s="30" t="s">
        <v>47</v>
      </c>
      <c r="Q25" s="30" t="s">
        <v>50</v>
      </c>
      <c r="R25" s="36"/>
      <c r="S25" s="36"/>
      <c r="T25" s="36"/>
      <c r="U25" s="30" t="s">
        <v>197</v>
      </c>
      <c r="V25" s="36"/>
      <c r="W25" s="30" t="str">
        <f t="shared" si="5"/>
        <v>#NAME?</v>
      </c>
      <c r="X25" s="44">
        <v>250874.2</v>
      </c>
      <c r="Y25" s="29">
        <f t="shared" si="6"/>
        <v>-10680</v>
      </c>
      <c r="Z25" s="1"/>
      <c r="AA25" s="1"/>
      <c r="AB25" s="1"/>
      <c r="AC25" s="1"/>
    </row>
    <row r="26" ht="15.75" customHeight="1">
      <c r="A26" s="45">
        <v>90.0</v>
      </c>
      <c r="B26" s="30" t="str">
        <f t="shared" si="2"/>
        <v>Q2</v>
      </c>
      <c r="C26" s="29">
        <f t="shared" si="3"/>
        <v>8</v>
      </c>
      <c r="D26" s="31">
        <v>46248.0</v>
      </c>
      <c r="E26" s="31">
        <v>46248.0</v>
      </c>
      <c r="F26" s="36"/>
      <c r="G26" s="30" t="s">
        <v>199</v>
      </c>
      <c r="H26" s="36" t="s">
        <v>200</v>
      </c>
      <c r="I26" s="44"/>
      <c r="J26" s="44">
        <v>1.0</v>
      </c>
      <c r="K26" s="55">
        <f t="shared" si="4"/>
        <v>262174.2</v>
      </c>
      <c r="L26" s="30" t="s">
        <v>41</v>
      </c>
      <c r="M26" s="30" t="s">
        <v>47</v>
      </c>
      <c r="N26" s="36"/>
      <c r="O26" s="36" t="s">
        <v>60</v>
      </c>
      <c r="P26" s="30" t="s">
        <v>47</v>
      </c>
      <c r="Q26" s="30" t="s">
        <v>50</v>
      </c>
      <c r="R26" s="36"/>
      <c r="S26" s="36"/>
      <c r="T26" s="36"/>
      <c r="U26" s="30" t="s">
        <v>75</v>
      </c>
      <c r="V26" s="36"/>
      <c r="W26" s="30" t="str">
        <f t="shared" si="5"/>
        <v>#NAME?</v>
      </c>
      <c r="X26" s="44">
        <v>262174.2</v>
      </c>
      <c r="Y26" s="29">
        <f t="shared" si="6"/>
        <v>0</v>
      </c>
      <c r="Z26" s="1"/>
      <c r="AA26" s="1"/>
      <c r="AB26" s="1"/>
      <c r="AC26" s="1"/>
    </row>
    <row r="27" ht="15.75" customHeight="1">
      <c r="A27" s="45">
        <v>89.0</v>
      </c>
      <c r="B27" s="30" t="str">
        <f t="shared" si="2"/>
        <v>Q2</v>
      </c>
      <c r="C27" s="29">
        <f t="shared" si="3"/>
        <v>8</v>
      </c>
      <c r="D27" s="52" t="s">
        <v>69</v>
      </c>
      <c r="E27" s="52" t="s">
        <v>69</v>
      </c>
      <c r="F27" s="36" t="s">
        <v>37</v>
      </c>
      <c r="G27" s="30" t="s">
        <v>56</v>
      </c>
      <c r="H27" s="36" t="s">
        <v>37</v>
      </c>
      <c r="I27" s="44"/>
      <c r="J27" s="44">
        <v>45000.0</v>
      </c>
      <c r="K27" s="55">
        <f t="shared" si="4"/>
        <v>262173.2</v>
      </c>
      <c r="L27" s="30" t="s">
        <v>45</v>
      </c>
      <c r="M27" s="30" t="s">
        <v>47</v>
      </c>
      <c r="N27" s="36" t="s">
        <v>37</v>
      </c>
      <c r="O27" s="36" t="s">
        <v>60</v>
      </c>
      <c r="P27" s="30" t="s">
        <v>51</v>
      </c>
      <c r="Q27" s="30" t="s">
        <v>50</v>
      </c>
      <c r="R27" s="36" t="s">
        <v>37</v>
      </c>
      <c r="S27" s="36" t="s">
        <v>37</v>
      </c>
      <c r="T27" s="36" t="s">
        <v>37</v>
      </c>
      <c r="U27" s="30"/>
      <c r="V27" s="36" t="s">
        <v>37</v>
      </c>
      <c r="W27" s="30" t="str">
        <f t="shared" si="5"/>
        <v>#NAME?</v>
      </c>
      <c r="X27" s="44">
        <v>262173.2</v>
      </c>
      <c r="Y27" s="29">
        <f t="shared" si="6"/>
        <v>0</v>
      </c>
      <c r="Z27" s="1"/>
      <c r="AA27" s="1"/>
      <c r="AB27" s="1"/>
      <c r="AC27" s="1"/>
    </row>
    <row r="28" ht="15.75" customHeight="1">
      <c r="A28" s="45">
        <v>88.0</v>
      </c>
      <c r="B28" s="30" t="str">
        <f t="shared" si="2"/>
        <v>Q2</v>
      </c>
      <c r="C28" s="29">
        <f t="shared" si="3"/>
        <v>8</v>
      </c>
      <c r="D28" s="52" t="s">
        <v>207</v>
      </c>
      <c r="E28" s="52" t="s">
        <v>207</v>
      </c>
      <c r="F28" s="36" t="s">
        <v>37</v>
      </c>
      <c r="G28" s="30" t="s">
        <v>208</v>
      </c>
      <c r="H28" s="36" t="s">
        <v>37</v>
      </c>
      <c r="I28" s="44">
        <v>50000.0</v>
      </c>
      <c r="J28" s="44"/>
      <c r="K28" s="55">
        <f t="shared" si="4"/>
        <v>217173.2</v>
      </c>
      <c r="L28" s="30" t="s">
        <v>211</v>
      </c>
      <c r="M28" s="30" t="s">
        <v>47</v>
      </c>
      <c r="N28" s="36" t="s">
        <v>37</v>
      </c>
      <c r="O28" s="36" t="s">
        <v>60</v>
      </c>
      <c r="P28" s="30" t="s">
        <v>213</v>
      </c>
      <c r="Q28" s="30" t="s">
        <v>50</v>
      </c>
      <c r="R28" s="36" t="s">
        <v>37</v>
      </c>
      <c r="S28" s="36" t="s">
        <v>37</v>
      </c>
      <c r="T28" s="36" t="s">
        <v>37</v>
      </c>
      <c r="U28" s="30" t="s">
        <v>75</v>
      </c>
      <c r="V28" s="36" t="s">
        <v>37</v>
      </c>
      <c r="W28" s="30" t="str">
        <f t="shared" si="5"/>
        <v>#NAME?</v>
      </c>
      <c r="X28" s="44">
        <v>217173.2</v>
      </c>
      <c r="Y28" s="29">
        <f t="shared" si="6"/>
        <v>0</v>
      </c>
      <c r="Z28" s="1"/>
      <c r="AA28" s="1"/>
      <c r="AB28" s="1"/>
      <c r="AC28" s="1"/>
    </row>
    <row r="29" ht="15.75" customHeight="1">
      <c r="A29" s="45">
        <v>87.0</v>
      </c>
      <c r="B29" s="30" t="str">
        <f t="shared" si="2"/>
        <v>Q2</v>
      </c>
      <c r="C29" s="29">
        <f t="shared" si="3"/>
        <v>8</v>
      </c>
      <c r="D29" s="52" t="s">
        <v>77</v>
      </c>
      <c r="E29" s="52" t="s">
        <v>77</v>
      </c>
      <c r="F29" s="36" t="s">
        <v>37</v>
      </c>
      <c r="G29" s="30" t="s">
        <v>215</v>
      </c>
      <c r="H29" s="36" t="s">
        <v>37</v>
      </c>
      <c r="I29" s="44">
        <v>75000.0</v>
      </c>
      <c r="J29" s="44"/>
      <c r="K29" s="55">
        <f t="shared" si="4"/>
        <v>267173.2</v>
      </c>
      <c r="L29" s="30" t="s">
        <v>45</v>
      </c>
      <c r="M29" s="30" t="s">
        <v>47</v>
      </c>
      <c r="N29" s="36" t="s">
        <v>37</v>
      </c>
      <c r="O29" s="36" t="s">
        <v>60</v>
      </c>
      <c r="P29" s="30" t="s">
        <v>47</v>
      </c>
      <c r="Q29" s="30" t="s">
        <v>50</v>
      </c>
      <c r="R29" s="36" t="s">
        <v>37</v>
      </c>
      <c r="S29" s="36" t="s">
        <v>37</v>
      </c>
      <c r="T29" s="36" t="s">
        <v>37</v>
      </c>
      <c r="U29" s="30" t="s">
        <v>216</v>
      </c>
      <c r="V29" s="36" t="s">
        <v>37</v>
      </c>
      <c r="W29" s="30" t="str">
        <f t="shared" si="5"/>
        <v>#NAME?</v>
      </c>
      <c r="X29" s="44">
        <v>267173.2</v>
      </c>
      <c r="Y29" s="29">
        <f t="shared" si="6"/>
        <v>0</v>
      </c>
      <c r="Z29" s="1"/>
      <c r="AA29" s="1"/>
      <c r="AB29" s="1"/>
      <c r="AC29" s="1"/>
    </row>
    <row r="30" ht="15.75" customHeight="1">
      <c r="A30" s="45">
        <v>86.0</v>
      </c>
      <c r="B30" s="30" t="str">
        <f t="shared" si="2"/>
        <v>Q2</v>
      </c>
      <c r="C30" s="29">
        <f t="shared" si="3"/>
        <v>8</v>
      </c>
      <c r="D30" s="52" t="s">
        <v>77</v>
      </c>
      <c r="E30" s="52" t="s">
        <v>77</v>
      </c>
      <c r="F30" s="36" t="s">
        <v>37</v>
      </c>
      <c r="G30" s="30" t="s">
        <v>56</v>
      </c>
      <c r="H30" s="36" t="s">
        <v>37</v>
      </c>
      <c r="I30" s="44"/>
      <c r="J30" s="44">
        <v>85127.0</v>
      </c>
      <c r="K30" s="55">
        <f t="shared" si="4"/>
        <v>342173.2</v>
      </c>
      <c r="L30" s="30" t="s">
        <v>45</v>
      </c>
      <c r="M30" s="30" t="s">
        <v>47</v>
      </c>
      <c r="N30" s="36" t="s">
        <v>37</v>
      </c>
      <c r="O30" s="36" t="s">
        <v>60</v>
      </c>
      <c r="P30" s="30" t="s">
        <v>51</v>
      </c>
      <c r="Q30" s="30" t="s">
        <v>50</v>
      </c>
      <c r="R30" s="36" t="s">
        <v>37</v>
      </c>
      <c r="S30" s="36" t="s">
        <v>37</v>
      </c>
      <c r="T30" s="36" t="s">
        <v>37</v>
      </c>
      <c r="U30" s="30" t="s">
        <v>75</v>
      </c>
      <c r="V30" s="36" t="s">
        <v>37</v>
      </c>
      <c r="W30" s="30" t="str">
        <f t="shared" si="5"/>
        <v>#NAME?</v>
      </c>
      <c r="X30" s="44">
        <v>342173.2</v>
      </c>
      <c r="Y30" s="29">
        <f t="shared" si="6"/>
        <v>0</v>
      </c>
      <c r="Z30" s="1"/>
      <c r="AA30" s="1"/>
      <c r="AB30" s="1"/>
      <c r="AC30" s="1"/>
    </row>
    <row r="31" ht="15.75" customHeight="1">
      <c r="A31" s="45">
        <v>85.0</v>
      </c>
      <c r="B31" s="30" t="str">
        <f t="shared" si="2"/>
        <v>Q2</v>
      </c>
      <c r="C31" s="29">
        <f t="shared" si="3"/>
        <v>8</v>
      </c>
      <c r="D31" s="52" t="s">
        <v>77</v>
      </c>
      <c r="E31" s="52" t="s">
        <v>77</v>
      </c>
      <c r="F31" s="36" t="s">
        <v>37</v>
      </c>
      <c r="G31" s="30" t="s">
        <v>224</v>
      </c>
      <c r="H31" s="36" t="s">
        <v>37</v>
      </c>
      <c r="I31" s="44"/>
      <c r="J31" s="44">
        <v>1.0</v>
      </c>
      <c r="K31" s="44">
        <f>X31</f>
        <v>257046.2</v>
      </c>
      <c r="L31" s="30" t="s">
        <v>45</v>
      </c>
      <c r="M31" s="30" t="s">
        <v>47</v>
      </c>
      <c r="N31" s="36" t="s">
        <v>37</v>
      </c>
      <c r="O31" s="36" t="s">
        <v>60</v>
      </c>
      <c r="P31" s="30" t="s">
        <v>47</v>
      </c>
      <c r="Q31" s="30" t="s">
        <v>50</v>
      </c>
      <c r="R31" s="36" t="s">
        <v>37</v>
      </c>
      <c r="S31" s="36" t="s">
        <v>37</v>
      </c>
      <c r="T31" s="36" t="s">
        <v>37</v>
      </c>
      <c r="U31" s="30" t="s">
        <v>75</v>
      </c>
      <c r="V31" s="36" t="s">
        <v>37</v>
      </c>
      <c r="W31" s="30" t="str">
        <f t="shared" si="5"/>
        <v>#NAME?</v>
      </c>
      <c r="X31" s="44">
        <v>257046.2</v>
      </c>
      <c r="Y31" s="29">
        <f t="shared" si="6"/>
        <v>0</v>
      </c>
      <c r="Z31" s="1"/>
      <c r="AA31" s="1"/>
      <c r="AB31" s="1"/>
      <c r="AC31" s="1"/>
    </row>
    <row r="32" ht="15.75" customHeight="1">
      <c r="A32" s="45">
        <v>84.0</v>
      </c>
      <c r="B32" s="30" t="str">
        <f t="shared" si="2"/>
        <v>Q2</v>
      </c>
      <c r="C32" s="29">
        <f t="shared" si="3"/>
        <v>8</v>
      </c>
      <c r="D32" s="52" t="s">
        <v>109</v>
      </c>
      <c r="E32" s="52" t="s">
        <v>109</v>
      </c>
      <c r="F32" s="36" t="s">
        <v>37</v>
      </c>
      <c r="G32" s="30" t="s">
        <v>233</v>
      </c>
      <c r="H32" s="36" t="s">
        <v>37</v>
      </c>
      <c r="I32" s="44">
        <v>97500.0</v>
      </c>
      <c r="J32" s="44"/>
      <c r="K32" s="72">
        <f t="shared" ref="K32:K114" si="7">K33+J32-I32</f>
        <v>257045</v>
      </c>
      <c r="L32" s="30" t="s">
        <v>41</v>
      </c>
      <c r="M32" s="30" t="s">
        <v>118</v>
      </c>
      <c r="N32" s="36" t="s">
        <v>37</v>
      </c>
      <c r="O32" s="36" t="s">
        <v>60</v>
      </c>
      <c r="P32" s="30" t="s">
        <v>43</v>
      </c>
      <c r="Q32" s="30" t="s">
        <v>44</v>
      </c>
      <c r="R32" s="36" t="s">
        <v>37</v>
      </c>
      <c r="S32" s="36" t="s">
        <v>37</v>
      </c>
      <c r="T32" s="36" t="s">
        <v>37</v>
      </c>
      <c r="U32" s="30" t="s">
        <v>235</v>
      </c>
      <c r="V32" s="36" t="s">
        <v>37</v>
      </c>
      <c r="W32" s="30" t="str">
        <f t="shared" si="5"/>
        <v>#NAME?</v>
      </c>
      <c r="X32" s="44">
        <v>257045.2</v>
      </c>
      <c r="Y32" s="73">
        <f t="shared" ref="Y32:Y37" si="8">X32-K32</f>
        <v>0.2</v>
      </c>
      <c r="Z32" s="1"/>
      <c r="AA32" s="1"/>
      <c r="AB32" s="1"/>
      <c r="AC32" s="1"/>
    </row>
    <row r="33" ht="15.75" customHeight="1">
      <c r="A33" s="45">
        <v>83.0</v>
      </c>
      <c r="B33" s="30" t="str">
        <f t="shared" si="2"/>
        <v>Q2</v>
      </c>
      <c r="C33" s="29">
        <f t="shared" si="3"/>
        <v>8</v>
      </c>
      <c r="D33" s="52" t="s">
        <v>109</v>
      </c>
      <c r="E33" s="52" t="s">
        <v>109</v>
      </c>
      <c r="F33" s="36" t="s">
        <v>37</v>
      </c>
      <c r="G33" s="30" t="s">
        <v>56</v>
      </c>
      <c r="H33" s="36" t="s">
        <v>37</v>
      </c>
      <c r="I33" s="44"/>
      <c r="J33" s="44">
        <v>99576.0</v>
      </c>
      <c r="K33" s="72">
        <f t="shared" si="7"/>
        <v>354545</v>
      </c>
      <c r="L33" s="30" t="s">
        <v>45</v>
      </c>
      <c r="M33" s="30" t="s">
        <v>47</v>
      </c>
      <c r="N33" s="36" t="s">
        <v>37</v>
      </c>
      <c r="O33" s="36" t="s">
        <v>60</v>
      </c>
      <c r="P33" s="30" t="s">
        <v>51</v>
      </c>
      <c r="Q33" s="30" t="s">
        <v>50</v>
      </c>
      <c r="R33" s="36" t="s">
        <v>37</v>
      </c>
      <c r="S33" s="36" t="s">
        <v>37</v>
      </c>
      <c r="T33" s="36" t="s">
        <v>37</v>
      </c>
      <c r="U33" s="30" t="s">
        <v>75</v>
      </c>
      <c r="V33" s="36" t="s">
        <v>37</v>
      </c>
      <c r="W33" s="30" t="str">
        <f t="shared" si="5"/>
        <v>#NAME?</v>
      </c>
      <c r="X33" s="44">
        <v>354545.2</v>
      </c>
      <c r="Y33" s="73">
        <f t="shared" si="8"/>
        <v>0.2</v>
      </c>
      <c r="Z33" s="1"/>
      <c r="AA33" s="1"/>
      <c r="AB33" s="1"/>
      <c r="AC33" s="1"/>
    </row>
    <row r="34" ht="15.75" customHeight="1">
      <c r="A34" s="45">
        <v>82.0</v>
      </c>
      <c r="B34" s="30" t="str">
        <f t="shared" si="2"/>
        <v>Q2</v>
      </c>
      <c r="C34" s="29">
        <f t="shared" si="3"/>
        <v>8</v>
      </c>
      <c r="D34" s="52" t="s">
        <v>109</v>
      </c>
      <c r="E34" s="52" t="s">
        <v>109</v>
      </c>
      <c r="F34" s="36" t="s">
        <v>37</v>
      </c>
      <c r="G34" s="30" t="s">
        <v>245</v>
      </c>
      <c r="H34" s="36" t="s">
        <v>37</v>
      </c>
      <c r="I34" s="44">
        <v>4885.0</v>
      </c>
      <c r="J34" s="44"/>
      <c r="K34" s="72">
        <f t="shared" si="7"/>
        <v>254969</v>
      </c>
      <c r="L34" s="30" t="s">
        <v>41</v>
      </c>
      <c r="M34" s="30" t="s">
        <v>67</v>
      </c>
      <c r="N34" s="36" t="s">
        <v>37</v>
      </c>
      <c r="O34" s="36" t="s">
        <v>60</v>
      </c>
      <c r="P34" s="30" t="s">
        <v>43</v>
      </c>
      <c r="Q34" s="30" t="s">
        <v>44</v>
      </c>
      <c r="R34" s="36" t="s">
        <v>37</v>
      </c>
      <c r="S34" s="36" t="s">
        <v>37</v>
      </c>
      <c r="T34" s="36" t="s">
        <v>37</v>
      </c>
      <c r="U34" s="30" t="s">
        <v>248</v>
      </c>
      <c r="V34" s="36" t="s">
        <v>37</v>
      </c>
      <c r="W34" s="30" t="str">
        <f t="shared" si="5"/>
        <v>#NAME?</v>
      </c>
      <c r="X34" s="44">
        <v>254969.2</v>
      </c>
      <c r="Y34" s="73">
        <f t="shared" si="8"/>
        <v>0.2</v>
      </c>
      <c r="Z34" s="1"/>
      <c r="AA34" s="1"/>
      <c r="AB34" s="1"/>
      <c r="AC34" s="1"/>
    </row>
    <row r="35" ht="15.75" customHeight="1">
      <c r="A35" s="45">
        <v>81.0</v>
      </c>
      <c r="B35" s="30" t="str">
        <f t="shared" si="2"/>
        <v>Q2</v>
      </c>
      <c r="C35" s="29">
        <f t="shared" si="3"/>
        <v>8</v>
      </c>
      <c r="D35" s="54" t="s">
        <v>109</v>
      </c>
      <c r="E35" s="52" t="s">
        <v>109</v>
      </c>
      <c r="F35" s="36" t="s">
        <v>37</v>
      </c>
      <c r="G35" s="30" t="s">
        <v>56</v>
      </c>
      <c r="H35" s="36" t="s">
        <v>37</v>
      </c>
      <c r="I35" s="44"/>
      <c r="J35" s="44">
        <v>68240.0</v>
      </c>
      <c r="K35" s="72">
        <f t="shared" si="7"/>
        <v>259854</v>
      </c>
      <c r="L35" s="30" t="s">
        <v>45</v>
      </c>
      <c r="M35" s="30" t="s">
        <v>47</v>
      </c>
      <c r="N35" s="36" t="s">
        <v>37</v>
      </c>
      <c r="O35" s="36" t="s">
        <v>60</v>
      </c>
      <c r="P35" s="30" t="s">
        <v>51</v>
      </c>
      <c r="Q35" s="30" t="s">
        <v>50</v>
      </c>
      <c r="R35" s="36" t="s">
        <v>37</v>
      </c>
      <c r="S35" s="36" t="s">
        <v>37</v>
      </c>
      <c r="T35" s="36" t="s">
        <v>37</v>
      </c>
      <c r="U35" s="30" t="s">
        <v>75</v>
      </c>
      <c r="V35" s="36" t="s">
        <v>37</v>
      </c>
      <c r="W35" s="30" t="str">
        <f t="shared" ref="W35:W91" si="9">_xludf.LET(ref, IF(ISBLANK(H35), "N/A", H35), apt, IF(ISBLANK(T35), "", " | Apt: " &amp; T35), IF(ISBLANK(U35), "Remarks Compulsory For Narration", TRIM(IF(M35="Internal", IF(LEN(G35)-LEN(SUBSTITUTE(G35,"-",""))&gt;=3, IF(N(J35)&gt;0, "Internal Fund Transfer (From x" &amp; RIGHT(MID(G35, FIND("-", SUBSTITUTE(G35, "-", "-", 3)) + 1, LEN(G35)), 4) &amp; " to YES CR FREE 2477)", "Internal Fund Transfer (From YES CR FREE 2477 to x" &amp; RIGHT(MID(G35, FIND("-", SUBSTITUTE(G35, "-", "-", 3)) + 1, LEN(G35)), 4) &amp; ")") &amp; " | Ref: " &amp; ref &amp; " | Type: " &amp; P35 &amp; " | BU: " &amp; L35 &amp; " | Head: " &amp; M35, "Internal Transfer | Ref: " &amp; ref &amp; " | Type: " &amp; P35 &amp; " | BU: " &amp; L35 &amp; " | Head: " &amp; M35), IF(N(J35)&gt;0, IF(P35="Customer Collection", "Receipt Credit (Collection) " &amp; apt &amp; " | Ref: " &amp; ref &amp; " | From: " &amp; IF(ISNUMBER(SEARCH("SOHNA ROAD", G35)), "Sohna Road", "Party") &amp; " | BU: " &amp; L35, "Receipt Credit from x" &amp; RIGHT(MID(G35, FIND("-", SUBSTITUTE(G35, "-", "-", 3)) + 1, LEN(G35)), 4) &amp; " (Purpose: " &amp; IF(OR(ISBLANK(U35), U35="N/A"), L35, U35) &amp; ") " &amp; apt &amp; " | Ref: " &amp; ref &amp; " | BU: " &amp; L35 &amp; " | Head: " &amp; M35), "Payment Disbursement (Purpose: " &amp; IF(ISNUMBER(SEARCH("salary", M35)), "Salary", U35) &amp; ") | To: " &amp; IFERROR(MID(G35, FIND("/", G35, FIND("/", G35, FIND("/", G35, FIND("/", G35) + 1) + 1) + 1) + 1, FIND("/", G35, FIND("/", G35, FIND("/", G35, FIND("/", G35, FIND("/", G35) + 1) + 1) + 1) + 1) - FIND("/", G35, FIND("/", G35, FIND("/", G35) + 1) + 1) - 1), IFERROR(MID(G35, FIND("-", G35, FIND("-", G35, FIND("-", G35) + 1) + 1) + 1, FIND("-", G35, FIND("-", G35, FIND("-", G35, FIND("-", G35) + 1) + 1) + 1) - FIND("-", G35, FIND("-", G35, FIND("-", G35) + 1) + 1) - 1), G35)) &amp; " | Ref: " &amp; ref &amp; " | BU: " &amp; L35 &amp; " | Head: " &amp; M35 &amp; apt)))))</f>
        <v>#NAME?</v>
      </c>
      <c r="X35" s="44">
        <v>259854.2</v>
      </c>
      <c r="Y35" s="73">
        <f t="shared" si="8"/>
        <v>0.2</v>
      </c>
      <c r="Z35" s="2"/>
      <c r="AA35" s="2"/>
      <c r="AB35" s="2"/>
      <c r="AC35" s="2"/>
    </row>
    <row r="36" ht="15.75" customHeight="1">
      <c r="A36" s="45">
        <v>80.0</v>
      </c>
      <c r="B36" s="30" t="str">
        <f t="shared" si="2"/>
        <v>Q2</v>
      </c>
      <c r="C36" s="29">
        <f t="shared" si="3"/>
        <v>8</v>
      </c>
      <c r="D36" s="54" t="s">
        <v>126</v>
      </c>
      <c r="E36" s="52" t="s">
        <v>126</v>
      </c>
      <c r="F36" s="36" t="s">
        <v>37</v>
      </c>
      <c r="G36" s="30" t="s">
        <v>127</v>
      </c>
      <c r="H36" s="30" t="s">
        <v>254</v>
      </c>
      <c r="I36" s="44"/>
      <c r="J36" s="44">
        <v>103199.0</v>
      </c>
      <c r="K36" s="72">
        <f t="shared" si="7"/>
        <v>191614</v>
      </c>
      <c r="L36" s="30" t="s">
        <v>45</v>
      </c>
      <c r="M36" s="30" t="s">
        <v>47</v>
      </c>
      <c r="N36" s="36" t="s">
        <v>37</v>
      </c>
      <c r="O36" s="36" t="s">
        <v>60</v>
      </c>
      <c r="P36" s="30" t="s">
        <v>51</v>
      </c>
      <c r="Q36" s="30" t="s">
        <v>50</v>
      </c>
      <c r="R36" s="36" t="s">
        <v>37</v>
      </c>
      <c r="S36" s="36" t="s">
        <v>37</v>
      </c>
      <c r="T36" s="36" t="s">
        <v>37</v>
      </c>
      <c r="U36" s="30" t="s">
        <v>75</v>
      </c>
      <c r="V36" s="36" t="s">
        <v>37</v>
      </c>
      <c r="W36" s="30" t="str">
        <f t="shared" si="9"/>
        <v>#NAME?</v>
      </c>
      <c r="X36" s="44">
        <v>191614.2</v>
      </c>
      <c r="Y36" s="73">
        <f t="shared" si="8"/>
        <v>0.2</v>
      </c>
      <c r="Z36" s="2"/>
      <c r="AA36" s="2"/>
      <c r="AB36" s="2"/>
      <c r="AC36" s="2"/>
    </row>
    <row r="37" ht="15.75" customHeight="1">
      <c r="A37" s="45">
        <v>79.0</v>
      </c>
      <c r="B37" s="30" t="str">
        <f t="shared" si="2"/>
        <v>Q2</v>
      </c>
      <c r="C37" s="29">
        <f t="shared" si="3"/>
        <v>8</v>
      </c>
      <c r="D37" s="52" t="s">
        <v>134</v>
      </c>
      <c r="E37" s="52" t="s">
        <v>134</v>
      </c>
      <c r="F37" s="36" t="s">
        <v>37</v>
      </c>
      <c r="G37" s="30" t="s">
        <v>127</v>
      </c>
      <c r="H37" s="30" t="s">
        <v>273</v>
      </c>
      <c r="I37" s="44"/>
      <c r="J37" s="44">
        <v>20479.0</v>
      </c>
      <c r="K37" s="72">
        <f t="shared" si="7"/>
        <v>88415</v>
      </c>
      <c r="L37" s="30" t="s">
        <v>45</v>
      </c>
      <c r="M37" s="30" t="s">
        <v>47</v>
      </c>
      <c r="N37" s="36" t="s">
        <v>37</v>
      </c>
      <c r="O37" s="36" t="s">
        <v>60</v>
      </c>
      <c r="P37" s="30" t="s">
        <v>51</v>
      </c>
      <c r="Q37" s="30" t="s">
        <v>50</v>
      </c>
      <c r="R37" s="36" t="s">
        <v>37</v>
      </c>
      <c r="S37" s="36" t="s">
        <v>37</v>
      </c>
      <c r="T37" s="36" t="s">
        <v>37</v>
      </c>
      <c r="U37" s="30" t="s">
        <v>75</v>
      </c>
      <c r="V37" s="36" t="s">
        <v>37</v>
      </c>
      <c r="W37" s="30" t="str">
        <f t="shared" si="9"/>
        <v>#NAME?</v>
      </c>
      <c r="X37" s="44">
        <v>88415.2</v>
      </c>
      <c r="Y37" s="73">
        <f t="shared" si="8"/>
        <v>0.2</v>
      </c>
      <c r="Z37" s="2"/>
      <c r="AA37" s="2"/>
      <c r="AB37" s="2"/>
      <c r="AC37" s="2"/>
    </row>
    <row r="38" ht="15.75" customHeight="1">
      <c r="A38" s="45">
        <v>78.0</v>
      </c>
      <c r="B38" s="45" t="str">
        <f t="shared" ref="B38:B114" si="10">IF(D38="","?",_xludf.IFS(
    MONTH(D38)&lt;=3,"Q4",
    MONTH(D38)&lt;=6,"Q1",
    MONTH(D38)&lt;=9,"Q2",
    TRUE,"Q3"
))</f>
        <v>#NAME?</v>
      </c>
      <c r="C38" s="45">
        <f t="shared" ref="C38:C115" si="11">MONTH(D38)</f>
        <v>7</v>
      </c>
      <c r="D38" s="75">
        <v>46233.0</v>
      </c>
      <c r="E38" s="75">
        <v>46233.0</v>
      </c>
      <c r="F38" s="45"/>
      <c r="G38" s="45" t="s">
        <v>127</v>
      </c>
      <c r="H38" s="61" t="s">
        <v>280</v>
      </c>
      <c r="I38" s="76"/>
      <c r="J38" s="76">
        <v>30000.0</v>
      </c>
      <c r="K38" s="72">
        <f t="shared" si="7"/>
        <v>67936</v>
      </c>
      <c r="L38" s="77" t="s">
        <v>45</v>
      </c>
      <c r="M38" s="77" t="s">
        <v>47</v>
      </c>
      <c r="N38" s="64"/>
      <c r="O38" s="77" t="s">
        <v>60</v>
      </c>
      <c r="P38" s="30" t="s">
        <v>51</v>
      </c>
      <c r="Q38" s="77" t="s">
        <v>50</v>
      </c>
      <c r="R38" s="30"/>
      <c r="S38" s="30"/>
      <c r="T38" s="30"/>
      <c r="U38" s="30" t="s">
        <v>75</v>
      </c>
      <c r="V38" s="30"/>
      <c r="W38" s="30" t="str">
        <f t="shared" si="9"/>
        <v>#NAME?</v>
      </c>
      <c r="X38" s="44"/>
      <c r="Y38" s="2"/>
      <c r="Z38" s="78"/>
      <c r="AA38" s="78"/>
      <c r="AB38" s="78"/>
      <c r="AC38" s="78"/>
    </row>
    <row r="39" ht="15.75" customHeight="1">
      <c r="A39" s="45">
        <v>77.0</v>
      </c>
      <c r="B39" s="45" t="str">
        <f t="shared" si="10"/>
        <v>#NAME?</v>
      </c>
      <c r="C39" s="45">
        <f t="shared" si="11"/>
        <v>7</v>
      </c>
      <c r="D39" s="75">
        <v>46226.0</v>
      </c>
      <c r="E39" s="75">
        <v>46226.0</v>
      </c>
      <c r="F39" s="45"/>
      <c r="G39" s="45" t="s">
        <v>286</v>
      </c>
      <c r="H39" s="61" t="s">
        <v>287</v>
      </c>
      <c r="I39" s="76">
        <v>17076.0</v>
      </c>
      <c r="J39" s="76"/>
      <c r="K39" s="72">
        <f t="shared" si="7"/>
        <v>37936</v>
      </c>
      <c r="L39" s="77" t="s">
        <v>41</v>
      </c>
      <c r="M39" s="77" t="s">
        <v>42</v>
      </c>
      <c r="N39" s="64"/>
      <c r="O39" s="77" t="s">
        <v>60</v>
      </c>
      <c r="P39" s="30" t="s">
        <v>43</v>
      </c>
      <c r="Q39" s="77" t="s">
        <v>44</v>
      </c>
      <c r="R39" s="30"/>
      <c r="S39" s="30"/>
      <c r="T39" s="30"/>
      <c r="U39" s="30" t="s">
        <v>290</v>
      </c>
      <c r="V39" s="30"/>
      <c r="W39" s="30" t="str">
        <f t="shared" si="9"/>
        <v>#NAME?</v>
      </c>
      <c r="X39" s="2"/>
      <c r="Y39" s="2"/>
      <c r="Z39" s="2"/>
      <c r="AA39" s="2"/>
      <c r="AB39" s="2"/>
      <c r="AC39" s="2"/>
    </row>
    <row r="40" ht="15.75" customHeight="1">
      <c r="A40" s="45">
        <v>76.0</v>
      </c>
      <c r="B40" s="45" t="str">
        <f t="shared" si="10"/>
        <v>#NAME?</v>
      </c>
      <c r="C40" s="45">
        <f t="shared" si="11"/>
        <v>7</v>
      </c>
      <c r="D40" s="75">
        <v>46226.0</v>
      </c>
      <c r="E40" s="75">
        <v>46226.0</v>
      </c>
      <c r="F40" s="45"/>
      <c r="G40" s="45" t="s">
        <v>127</v>
      </c>
      <c r="H40" s="61" t="s">
        <v>295</v>
      </c>
      <c r="I40" s="76"/>
      <c r="J40" s="76">
        <v>14700.0</v>
      </c>
      <c r="K40" s="72">
        <f t="shared" si="7"/>
        <v>55012</v>
      </c>
      <c r="L40" s="77" t="s">
        <v>45</v>
      </c>
      <c r="M40" s="77" t="s">
        <v>47</v>
      </c>
      <c r="N40" s="64"/>
      <c r="O40" s="77" t="s">
        <v>60</v>
      </c>
      <c r="P40" s="30" t="s">
        <v>51</v>
      </c>
      <c r="Q40" s="77" t="s">
        <v>50</v>
      </c>
      <c r="R40" s="30"/>
      <c r="S40" s="30"/>
      <c r="T40" s="30"/>
      <c r="U40" s="30" t="s">
        <v>75</v>
      </c>
      <c r="V40" s="30"/>
      <c r="W40" s="30" t="str">
        <f t="shared" si="9"/>
        <v>#NAME?</v>
      </c>
      <c r="X40" s="2"/>
      <c r="Y40" s="2"/>
      <c r="Z40" s="2"/>
      <c r="AA40" s="2"/>
      <c r="AB40" s="2"/>
      <c r="AC40" s="2"/>
    </row>
    <row r="41" ht="15.75" customHeight="1">
      <c r="A41" s="45">
        <v>75.0</v>
      </c>
      <c r="B41" s="45" t="str">
        <f t="shared" si="10"/>
        <v>#NAME?</v>
      </c>
      <c r="C41" s="45">
        <f t="shared" si="11"/>
        <v>7</v>
      </c>
      <c r="D41" s="75">
        <v>46225.0</v>
      </c>
      <c r="E41" s="75">
        <v>46225.0</v>
      </c>
      <c r="F41" s="45"/>
      <c r="G41" s="45" t="s">
        <v>298</v>
      </c>
      <c r="H41" s="61" t="s">
        <v>299</v>
      </c>
      <c r="I41" s="76">
        <v>2731.0</v>
      </c>
      <c r="J41" s="76"/>
      <c r="K41" s="72">
        <f t="shared" si="7"/>
        <v>40312</v>
      </c>
      <c r="L41" s="77" t="s">
        <v>41</v>
      </c>
      <c r="M41" s="77" t="s">
        <v>47</v>
      </c>
      <c r="N41" s="64"/>
      <c r="O41" s="77" t="s">
        <v>60</v>
      </c>
      <c r="P41" s="30" t="s">
        <v>47</v>
      </c>
      <c r="Q41" s="77" t="s">
        <v>50</v>
      </c>
      <c r="R41" s="30"/>
      <c r="S41" s="30"/>
      <c r="T41" s="30"/>
      <c r="U41" s="30" t="s">
        <v>75</v>
      </c>
      <c r="V41" s="30"/>
      <c r="W41" s="30" t="str">
        <f t="shared" si="9"/>
        <v>#NAME?</v>
      </c>
      <c r="X41" s="2"/>
      <c r="Y41" s="2"/>
      <c r="Z41" s="2"/>
      <c r="AA41" s="2"/>
      <c r="AB41" s="2"/>
      <c r="AC41" s="2"/>
    </row>
    <row r="42" ht="15.75" customHeight="1">
      <c r="A42" s="45">
        <v>74.0</v>
      </c>
      <c r="B42" s="45" t="str">
        <f t="shared" si="10"/>
        <v>#NAME?</v>
      </c>
      <c r="C42" s="45">
        <f t="shared" si="11"/>
        <v>7</v>
      </c>
      <c r="D42" s="75">
        <v>46225.0</v>
      </c>
      <c r="E42" s="75">
        <v>46225.0</v>
      </c>
      <c r="F42" s="45"/>
      <c r="G42" s="45" t="s">
        <v>127</v>
      </c>
      <c r="H42" s="61" t="s">
        <v>304</v>
      </c>
      <c r="I42" s="76"/>
      <c r="J42" s="76">
        <v>27435.0</v>
      </c>
      <c r="K42" s="72">
        <f t="shared" si="7"/>
        <v>43043</v>
      </c>
      <c r="L42" s="77" t="s">
        <v>45</v>
      </c>
      <c r="M42" s="77" t="s">
        <v>47</v>
      </c>
      <c r="N42" s="64"/>
      <c r="O42" s="77" t="s">
        <v>60</v>
      </c>
      <c r="P42" s="30" t="s">
        <v>51</v>
      </c>
      <c r="Q42" s="77" t="s">
        <v>50</v>
      </c>
      <c r="R42" s="30"/>
      <c r="S42" s="30"/>
      <c r="T42" s="30"/>
      <c r="U42" s="30" t="s">
        <v>75</v>
      </c>
      <c r="V42" s="30"/>
      <c r="W42" s="30" t="str">
        <f t="shared" si="9"/>
        <v>#NAME?</v>
      </c>
      <c r="X42" s="2"/>
      <c r="Y42" s="2"/>
      <c r="Z42" s="2"/>
      <c r="AA42" s="2"/>
      <c r="AB42" s="2"/>
      <c r="AC42" s="2"/>
    </row>
    <row r="43" ht="15.75" customHeight="1">
      <c r="A43" s="45">
        <v>73.0</v>
      </c>
      <c r="B43" s="45" t="str">
        <f t="shared" si="10"/>
        <v>#NAME?</v>
      </c>
      <c r="C43" s="45">
        <f t="shared" si="11"/>
        <v>7</v>
      </c>
      <c r="D43" s="75">
        <v>46224.0</v>
      </c>
      <c r="E43" s="75">
        <v>46224.0</v>
      </c>
      <c r="F43" s="45"/>
      <c r="G43" s="45" t="s">
        <v>307</v>
      </c>
      <c r="H43" s="61" t="s">
        <v>308</v>
      </c>
      <c r="I43" s="76">
        <v>150000.0</v>
      </c>
      <c r="J43" s="76"/>
      <c r="K43" s="72">
        <f t="shared" si="7"/>
        <v>15608</v>
      </c>
      <c r="L43" s="77" t="s">
        <v>211</v>
      </c>
      <c r="M43" s="77" t="s">
        <v>47</v>
      </c>
      <c r="N43" s="64"/>
      <c r="O43" s="77" t="s">
        <v>60</v>
      </c>
      <c r="P43" s="79" t="s">
        <v>47</v>
      </c>
      <c r="Q43" s="77" t="s">
        <v>50</v>
      </c>
      <c r="R43" s="30"/>
      <c r="S43" s="30"/>
      <c r="T43" s="30"/>
      <c r="U43" s="30" t="s">
        <v>75</v>
      </c>
      <c r="V43" s="30"/>
      <c r="W43" s="30" t="str">
        <f t="shared" si="9"/>
        <v>#NAME?</v>
      </c>
      <c r="X43" s="2"/>
      <c r="Y43" s="2"/>
      <c r="Z43" s="2"/>
      <c r="AA43" s="2"/>
      <c r="AB43" s="2"/>
      <c r="AC43" s="2"/>
    </row>
    <row r="44" ht="15.75" customHeight="1">
      <c r="A44" s="45">
        <v>72.0</v>
      </c>
      <c r="B44" s="45" t="str">
        <f t="shared" si="10"/>
        <v>#NAME?</v>
      </c>
      <c r="C44" s="45">
        <f t="shared" si="11"/>
        <v>7</v>
      </c>
      <c r="D44" s="75">
        <v>46223.0</v>
      </c>
      <c r="E44" s="75">
        <v>46223.0</v>
      </c>
      <c r="F44" s="45"/>
      <c r="G44" s="45" t="s">
        <v>312</v>
      </c>
      <c r="H44" s="61" t="s">
        <v>313</v>
      </c>
      <c r="I44" s="76"/>
      <c r="J44" s="76">
        <v>100000.0</v>
      </c>
      <c r="K44" s="72">
        <f t="shared" si="7"/>
        <v>165608</v>
      </c>
      <c r="L44" s="77" t="s">
        <v>45</v>
      </c>
      <c r="M44" s="77" t="s">
        <v>47</v>
      </c>
      <c r="N44" s="64"/>
      <c r="O44" s="77" t="s">
        <v>60</v>
      </c>
      <c r="P44" s="30" t="s">
        <v>74</v>
      </c>
      <c r="Q44" s="77" t="s">
        <v>50</v>
      </c>
      <c r="R44" s="30"/>
      <c r="S44" s="30"/>
      <c r="T44" s="30"/>
      <c r="U44" s="30" t="s">
        <v>75</v>
      </c>
      <c r="V44" s="30"/>
      <c r="W44" s="30" t="str">
        <f t="shared" si="9"/>
        <v>#NAME?</v>
      </c>
      <c r="X44" s="2"/>
      <c r="Y44" s="2"/>
      <c r="Z44" s="2"/>
      <c r="AA44" s="2"/>
      <c r="AB44" s="2"/>
      <c r="AC44" s="2"/>
    </row>
    <row r="45" ht="15.75" customHeight="1">
      <c r="A45" s="45">
        <v>71.0</v>
      </c>
      <c r="B45" s="45" t="str">
        <f t="shared" si="10"/>
        <v>#NAME?</v>
      </c>
      <c r="C45" s="45">
        <f t="shared" si="11"/>
        <v>7</v>
      </c>
      <c r="D45" s="75">
        <v>46223.0</v>
      </c>
      <c r="E45" s="75">
        <v>46223.0</v>
      </c>
      <c r="F45" s="45"/>
      <c r="G45" s="45" t="s">
        <v>318</v>
      </c>
      <c r="H45" s="61" t="s">
        <v>319</v>
      </c>
      <c r="I45" s="76">
        <v>47810.0</v>
      </c>
      <c r="J45" s="76"/>
      <c r="K45" s="72">
        <f t="shared" si="7"/>
        <v>65608</v>
      </c>
      <c r="L45" s="77" t="s">
        <v>41</v>
      </c>
      <c r="M45" s="77" t="s">
        <v>47</v>
      </c>
      <c r="N45" s="64"/>
      <c r="O45" s="77" t="s">
        <v>60</v>
      </c>
      <c r="P45" s="30" t="s">
        <v>47</v>
      </c>
      <c r="Q45" s="77" t="s">
        <v>50</v>
      </c>
      <c r="R45" s="30"/>
      <c r="S45" s="30"/>
      <c r="T45" s="30"/>
      <c r="U45" s="30" t="s">
        <v>75</v>
      </c>
      <c r="V45" s="30"/>
      <c r="W45" s="30" t="str">
        <f t="shared" si="9"/>
        <v>#NAME?</v>
      </c>
      <c r="X45" s="2"/>
      <c r="Y45" s="2"/>
      <c r="Z45" s="2"/>
      <c r="AA45" s="2"/>
      <c r="AB45" s="2"/>
      <c r="AC45" s="2"/>
    </row>
    <row r="46" ht="15.75" customHeight="1">
      <c r="A46" s="45">
        <v>70.0</v>
      </c>
      <c r="B46" s="45" t="str">
        <f t="shared" si="10"/>
        <v>#NAME?</v>
      </c>
      <c r="C46" s="45">
        <f t="shared" si="11"/>
        <v>7</v>
      </c>
      <c r="D46" s="75">
        <v>46221.0</v>
      </c>
      <c r="E46" s="75">
        <v>46221.0</v>
      </c>
      <c r="F46" s="45"/>
      <c r="G46" s="45" t="s">
        <v>127</v>
      </c>
      <c r="H46" s="61" t="s">
        <v>321</v>
      </c>
      <c r="I46" s="76"/>
      <c r="J46" s="76">
        <v>7500.0</v>
      </c>
      <c r="K46" s="72">
        <f t="shared" si="7"/>
        <v>113418</v>
      </c>
      <c r="L46" s="77" t="s">
        <v>45</v>
      </c>
      <c r="M46" s="77" t="s">
        <v>47</v>
      </c>
      <c r="N46" s="64"/>
      <c r="O46" s="77" t="s">
        <v>60</v>
      </c>
      <c r="P46" s="30" t="s">
        <v>61</v>
      </c>
      <c r="Q46" s="77" t="s">
        <v>50</v>
      </c>
      <c r="R46" s="30"/>
      <c r="S46" s="30"/>
      <c r="T46" s="30"/>
      <c r="U46" s="30" t="s">
        <v>75</v>
      </c>
      <c r="V46" s="30"/>
      <c r="W46" s="30" t="str">
        <f t="shared" si="9"/>
        <v>#NAME?</v>
      </c>
      <c r="X46" s="2"/>
      <c r="Y46" s="2"/>
      <c r="Z46" s="2"/>
      <c r="AA46" s="2"/>
      <c r="AB46" s="2"/>
      <c r="AC46" s="2"/>
    </row>
    <row r="47" ht="15.75" customHeight="1">
      <c r="A47" s="45">
        <v>69.0</v>
      </c>
      <c r="B47" s="45" t="str">
        <f t="shared" si="10"/>
        <v>#NAME?</v>
      </c>
      <c r="C47" s="45">
        <f t="shared" si="11"/>
        <v>7</v>
      </c>
      <c r="D47" s="75">
        <v>46221.0</v>
      </c>
      <c r="E47" s="75">
        <v>46221.0</v>
      </c>
      <c r="F47" s="45"/>
      <c r="G47" s="45" t="s">
        <v>323</v>
      </c>
      <c r="H47" s="61" t="s">
        <v>324</v>
      </c>
      <c r="I47" s="76">
        <v>39898.0</v>
      </c>
      <c r="J47" s="76"/>
      <c r="K47" s="72">
        <f t="shared" si="7"/>
        <v>105918</v>
      </c>
      <c r="L47" s="77" t="s">
        <v>41</v>
      </c>
      <c r="M47" s="77" t="s">
        <v>101</v>
      </c>
      <c r="N47" s="64"/>
      <c r="O47" s="77" t="s">
        <v>60</v>
      </c>
      <c r="P47" s="30" t="s">
        <v>43</v>
      </c>
      <c r="Q47" s="77" t="s">
        <v>44</v>
      </c>
      <c r="R47" s="30"/>
      <c r="S47" s="30"/>
      <c r="T47" s="30"/>
      <c r="U47" s="30" t="s">
        <v>103</v>
      </c>
      <c r="V47" s="30"/>
      <c r="W47" s="30" t="str">
        <f t="shared" si="9"/>
        <v>#NAME?</v>
      </c>
      <c r="X47" s="2"/>
      <c r="Y47" s="2"/>
      <c r="Z47" s="2"/>
      <c r="AA47" s="2"/>
      <c r="AB47" s="2"/>
      <c r="AC47" s="2"/>
    </row>
    <row r="48" ht="15.75" customHeight="1">
      <c r="A48" s="45">
        <v>68.0</v>
      </c>
      <c r="B48" s="45" t="str">
        <f t="shared" si="10"/>
        <v>#NAME?</v>
      </c>
      <c r="C48" s="45">
        <f t="shared" si="11"/>
        <v>7</v>
      </c>
      <c r="D48" s="75">
        <v>46221.0</v>
      </c>
      <c r="E48" s="75">
        <v>46221.0</v>
      </c>
      <c r="F48" s="45"/>
      <c r="G48" s="45" t="s">
        <v>331</v>
      </c>
      <c r="H48" s="61" t="s">
        <v>332</v>
      </c>
      <c r="I48" s="76">
        <v>15343.0</v>
      </c>
      <c r="J48" s="76"/>
      <c r="K48" s="72">
        <f t="shared" si="7"/>
        <v>145816</v>
      </c>
      <c r="L48" s="77" t="s">
        <v>41</v>
      </c>
      <c r="M48" s="77" t="s">
        <v>101</v>
      </c>
      <c r="N48" s="64"/>
      <c r="O48" s="77" t="s">
        <v>60</v>
      </c>
      <c r="P48" s="30" t="s">
        <v>43</v>
      </c>
      <c r="Q48" s="77" t="s">
        <v>44</v>
      </c>
      <c r="R48" s="30"/>
      <c r="S48" s="30"/>
      <c r="T48" s="30"/>
      <c r="U48" s="30" t="s">
        <v>103</v>
      </c>
      <c r="V48" s="30"/>
      <c r="W48" s="30" t="str">
        <f t="shared" si="9"/>
        <v>#NAME?</v>
      </c>
      <c r="X48" s="2"/>
      <c r="Y48" s="2"/>
      <c r="Z48" s="2"/>
      <c r="AA48" s="2"/>
      <c r="AB48" s="2"/>
      <c r="AC48" s="2"/>
    </row>
    <row r="49" ht="15.75" customHeight="1">
      <c r="A49" s="45">
        <v>67.0</v>
      </c>
      <c r="B49" s="45" t="str">
        <f t="shared" si="10"/>
        <v>#NAME?</v>
      </c>
      <c r="C49" s="45">
        <f t="shared" si="11"/>
        <v>7</v>
      </c>
      <c r="D49" s="75">
        <v>46221.0</v>
      </c>
      <c r="E49" s="75">
        <v>46221.0</v>
      </c>
      <c r="F49" s="45"/>
      <c r="G49" s="45" t="s">
        <v>336</v>
      </c>
      <c r="H49" s="61" t="s">
        <v>337</v>
      </c>
      <c r="I49" s="76">
        <v>36298.0</v>
      </c>
      <c r="J49" s="76"/>
      <c r="K49" s="72">
        <f t="shared" si="7"/>
        <v>161159</v>
      </c>
      <c r="L49" s="77" t="s">
        <v>41</v>
      </c>
      <c r="M49" s="77" t="s">
        <v>101</v>
      </c>
      <c r="N49" s="64"/>
      <c r="O49" s="77" t="s">
        <v>60</v>
      </c>
      <c r="P49" s="30" t="s">
        <v>43</v>
      </c>
      <c r="Q49" s="77" t="s">
        <v>44</v>
      </c>
      <c r="R49" s="30"/>
      <c r="S49" s="30"/>
      <c r="T49" s="30"/>
      <c r="U49" s="30" t="s">
        <v>103</v>
      </c>
      <c r="V49" s="30"/>
      <c r="W49" s="30" t="str">
        <f t="shared" si="9"/>
        <v>#NAME?</v>
      </c>
      <c r="X49" s="2"/>
      <c r="Y49" s="2"/>
      <c r="Z49" s="2"/>
      <c r="AA49" s="2"/>
      <c r="AB49" s="2"/>
      <c r="AC49" s="2"/>
    </row>
    <row r="50" ht="15.75" customHeight="1">
      <c r="A50" s="45">
        <v>66.0</v>
      </c>
      <c r="B50" s="45" t="str">
        <f t="shared" si="10"/>
        <v>#NAME?</v>
      </c>
      <c r="C50" s="45">
        <f t="shared" si="11"/>
        <v>7</v>
      </c>
      <c r="D50" s="75">
        <v>46221.0</v>
      </c>
      <c r="E50" s="75">
        <v>46221.0</v>
      </c>
      <c r="F50" s="45"/>
      <c r="G50" s="45" t="s">
        <v>340</v>
      </c>
      <c r="H50" s="61" t="s">
        <v>342</v>
      </c>
      <c r="I50" s="76">
        <v>72500.0</v>
      </c>
      <c r="J50" s="76"/>
      <c r="K50" s="72">
        <f t="shared" si="7"/>
        <v>197457</v>
      </c>
      <c r="L50" s="77" t="s">
        <v>41</v>
      </c>
      <c r="M50" s="77" t="s">
        <v>118</v>
      </c>
      <c r="N50" s="64"/>
      <c r="O50" s="77" t="s">
        <v>60</v>
      </c>
      <c r="P50" s="30" t="s">
        <v>43</v>
      </c>
      <c r="Q50" s="77" t="s">
        <v>44</v>
      </c>
      <c r="R50" s="30"/>
      <c r="S50" s="30"/>
      <c r="T50" s="30"/>
      <c r="U50" s="30" t="s">
        <v>119</v>
      </c>
      <c r="V50" s="30"/>
      <c r="W50" s="30" t="str">
        <f t="shared" si="9"/>
        <v>#NAME?</v>
      </c>
      <c r="X50" s="2"/>
      <c r="Y50" s="2"/>
      <c r="Z50" s="2"/>
      <c r="AA50" s="2"/>
      <c r="AB50" s="2"/>
      <c r="AC50" s="2"/>
    </row>
    <row r="51" ht="15.75" customHeight="1">
      <c r="A51" s="45">
        <v>65.0</v>
      </c>
      <c r="B51" s="45" t="str">
        <f t="shared" si="10"/>
        <v>#NAME?</v>
      </c>
      <c r="C51" s="45">
        <f t="shared" si="11"/>
        <v>7</v>
      </c>
      <c r="D51" s="75">
        <v>46221.0</v>
      </c>
      <c r="E51" s="75">
        <v>46221.0</v>
      </c>
      <c r="F51" s="45"/>
      <c r="G51" s="45" t="s">
        <v>346</v>
      </c>
      <c r="H51" s="61" t="s">
        <v>347</v>
      </c>
      <c r="I51" s="76">
        <v>24898.0</v>
      </c>
      <c r="J51" s="76"/>
      <c r="K51" s="72">
        <f t="shared" si="7"/>
        <v>269957</v>
      </c>
      <c r="L51" s="77" t="s">
        <v>41</v>
      </c>
      <c r="M51" s="77" t="s">
        <v>101</v>
      </c>
      <c r="N51" s="64"/>
      <c r="O51" s="77" t="s">
        <v>60</v>
      </c>
      <c r="P51" s="30" t="s">
        <v>43</v>
      </c>
      <c r="Q51" s="77" t="s">
        <v>44</v>
      </c>
      <c r="R51" s="30"/>
      <c r="S51" s="30"/>
      <c r="T51" s="30"/>
      <c r="U51" s="30" t="s">
        <v>103</v>
      </c>
      <c r="V51" s="30"/>
      <c r="W51" s="30" t="str">
        <f t="shared" si="9"/>
        <v>#NAME?</v>
      </c>
      <c r="X51" s="2"/>
      <c r="Y51" s="2"/>
      <c r="Z51" s="2"/>
      <c r="AA51" s="2"/>
      <c r="AB51" s="2"/>
      <c r="AC51" s="2"/>
    </row>
    <row r="52" ht="15.75" customHeight="1">
      <c r="A52" s="45">
        <v>64.0</v>
      </c>
      <c r="B52" s="45" t="str">
        <f t="shared" si="10"/>
        <v>#NAME?</v>
      </c>
      <c r="C52" s="45">
        <f t="shared" si="11"/>
        <v>7</v>
      </c>
      <c r="D52" s="75">
        <v>46221.0</v>
      </c>
      <c r="E52" s="75">
        <v>46221.0</v>
      </c>
      <c r="F52" s="45"/>
      <c r="G52" s="45" t="s">
        <v>351</v>
      </c>
      <c r="H52" s="61" t="s">
        <v>352</v>
      </c>
      <c r="I52" s="76">
        <v>31298.0</v>
      </c>
      <c r="J52" s="76"/>
      <c r="K52" s="72">
        <f t="shared" si="7"/>
        <v>294855</v>
      </c>
      <c r="L52" s="77" t="s">
        <v>41</v>
      </c>
      <c r="M52" s="77" t="s">
        <v>101</v>
      </c>
      <c r="N52" s="64"/>
      <c r="O52" s="77" t="s">
        <v>60</v>
      </c>
      <c r="P52" s="30" t="s">
        <v>43</v>
      </c>
      <c r="Q52" s="77" t="s">
        <v>44</v>
      </c>
      <c r="R52" s="30"/>
      <c r="S52" s="30"/>
      <c r="T52" s="30"/>
      <c r="U52" s="30" t="s">
        <v>103</v>
      </c>
      <c r="V52" s="30"/>
      <c r="W52" s="30" t="str">
        <f t="shared" si="9"/>
        <v>#NAME?</v>
      </c>
      <c r="X52" s="2"/>
      <c r="Y52" s="2"/>
      <c r="Z52" s="2"/>
      <c r="AA52" s="2"/>
      <c r="AB52" s="2"/>
      <c r="AC52" s="2"/>
    </row>
    <row r="53" ht="15.75" customHeight="1">
      <c r="A53" s="45">
        <v>63.0</v>
      </c>
      <c r="B53" s="45" t="str">
        <f t="shared" si="10"/>
        <v>#NAME?</v>
      </c>
      <c r="C53" s="45">
        <f t="shared" si="11"/>
        <v>7</v>
      </c>
      <c r="D53" s="75">
        <v>46221.0</v>
      </c>
      <c r="E53" s="75">
        <v>46221.0</v>
      </c>
      <c r="F53" s="45"/>
      <c r="G53" s="45" t="s">
        <v>359</v>
      </c>
      <c r="H53" s="61" t="s">
        <v>360</v>
      </c>
      <c r="I53" s="76">
        <v>8454.0</v>
      </c>
      <c r="J53" s="76"/>
      <c r="K53" s="72">
        <f t="shared" si="7"/>
        <v>326153</v>
      </c>
      <c r="L53" s="77" t="s">
        <v>41</v>
      </c>
      <c r="M53" s="77" t="s">
        <v>101</v>
      </c>
      <c r="N53" s="64"/>
      <c r="O53" s="77" t="s">
        <v>60</v>
      </c>
      <c r="P53" s="30" t="s">
        <v>43</v>
      </c>
      <c r="Q53" s="77" t="s">
        <v>44</v>
      </c>
      <c r="R53" s="30"/>
      <c r="S53" s="30"/>
      <c r="T53" s="30"/>
      <c r="U53" s="30" t="s">
        <v>103</v>
      </c>
      <c r="V53" s="30"/>
      <c r="W53" s="30" t="str">
        <f t="shared" si="9"/>
        <v>#NAME?</v>
      </c>
      <c r="X53" s="2"/>
      <c r="Y53" s="2"/>
      <c r="Z53" s="2"/>
      <c r="AA53" s="2"/>
      <c r="AB53" s="2"/>
      <c r="AC53" s="2"/>
    </row>
    <row r="54" ht="15.75" customHeight="1">
      <c r="A54" s="45">
        <v>62.0</v>
      </c>
      <c r="B54" s="45" t="str">
        <f t="shared" si="10"/>
        <v>#NAME?</v>
      </c>
      <c r="C54" s="45">
        <f t="shared" si="11"/>
        <v>7</v>
      </c>
      <c r="D54" s="75">
        <v>46221.0</v>
      </c>
      <c r="E54" s="75">
        <v>46221.0</v>
      </c>
      <c r="F54" s="45"/>
      <c r="G54" s="45" t="s">
        <v>365</v>
      </c>
      <c r="H54" s="61" t="s">
        <v>366</v>
      </c>
      <c r="I54" s="76">
        <v>36298.0</v>
      </c>
      <c r="J54" s="76"/>
      <c r="K54" s="72">
        <f t="shared" si="7"/>
        <v>334607</v>
      </c>
      <c r="L54" s="77" t="s">
        <v>41</v>
      </c>
      <c r="M54" s="77" t="s">
        <v>101</v>
      </c>
      <c r="N54" s="64"/>
      <c r="O54" s="77" t="s">
        <v>60</v>
      </c>
      <c r="P54" s="30" t="s">
        <v>43</v>
      </c>
      <c r="Q54" s="77" t="s">
        <v>44</v>
      </c>
      <c r="R54" s="30"/>
      <c r="S54" s="30"/>
      <c r="T54" s="30"/>
      <c r="U54" s="30" t="s">
        <v>103</v>
      </c>
      <c r="V54" s="30"/>
      <c r="W54" s="30" t="str">
        <f t="shared" si="9"/>
        <v>#NAME?</v>
      </c>
      <c r="X54" s="2"/>
      <c r="Y54" s="2"/>
      <c r="Z54" s="2"/>
      <c r="AA54" s="2"/>
      <c r="AB54" s="2"/>
      <c r="AC54" s="2"/>
    </row>
    <row r="55" ht="15.75" customHeight="1">
      <c r="A55" s="45">
        <v>61.0</v>
      </c>
      <c r="B55" s="45" t="str">
        <f t="shared" si="10"/>
        <v>#NAME?</v>
      </c>
      <c r="C55" s="45">
        <f t="shared" si="11"/>
        <v>7</v>
      </c>
      <c r="D55" s="75">
        <v>46221.0</v>
      </c>
      <c r="E55" s="75">
        <v>46221.0</v>
      </c>
      <c r="F55" s="45"/>
      <c r="G55" s="45" t="s">
        <v>372</v>
      </c>
      <c r="H55" s="61" t="s">
        <v>373</v>
      </c>
      <c r="I55" s="76">
        <v>29898.0</v>
      </c>
      <c r="J55" s="76"/>
      <c r="K55" s="72">
        <f t="shared" si="7"/>
        <v>370905</v>
      </c>
      <c r="L55" s="77" t="s">
        <v>41</v>
      </c>
      <c r="M55" s="77" t="s">
        <v>101</v>
      </c>
      <c r="N55" s="64"/>
      <c r="O55" s="77" t="s">
        <v>60</v>
      </c>
      <c r="P55" s="30" t="s">
        <v>43</v>
      </c>
      <c r="Q55" s="77" t="s">
        <v>44</v>
      </c>
      <c r="R55" s="30"/>
      <c r="S55" s="30"/>
      <c r="T55" s="30"/>
      <c r="U55" s="30" t="s">
        <v>103</v>
      </c>
      <c r="V55" s="30"/>
      <c r="W55" s="30" t="str">
        <f t="shared" si="9"/>
        <v>#NAME?</v>
      </c>
      <c r="X55" s="2"/>
      <c r="Y55" s="2"/>
      <c r="Z55" s="2"/>
      <c r="AA55" s="2"/>
      <c r="AB55" s="2"/>
      <c r="AC55" s="2"/>
    </row>
    <row r="56" ht="15.75" customHeight="1">
      <c r="A56" s="45">
        <v>60.0</v>
      </c>
      <c r="B56" s="45" t="str">
        <f t="shared" si="10"/>
        <v>#NAME?</v>
      </c>
      <c r="C56" s="45">
        <f t="shared" si="11"/>
        <v>7</v>
      </c>
      <c r="D56" s="75">
        <v>46221.0</v>
      </c>
      <c r="E56" s="75">
        <v>46221.0</v>
      </c>
      <c r="F56" s="45"/>
      <c r="G56" s="45" t="s">
        <v>382</v>
      </c>
      <c r="H56" s="61" t="s">
        <v>383</v>
      </c>
      <c r="I56" s="76">
        <v>22500.0</v>
      </c>
      <c r="J56" s="76"/>
      <c r="K56" s="72">
        <f t="shared" si="7"/>
        <v>400803</v>
      </c>
      <c r="L56" s="77" t="s">
        <v>41</v>
      </c>
      <c r="M56" s="77" t="s">
        <v>118</v>
      </c>
      <c r="N56" s="64"/>
      <c r="O56" s="77" t="s">
        <v>60</v>
      </c>
      <c r="P56" s="30" t="s">
        <v>43</v>
      </c>
      <c r="Q56" s="77" t="s">
        <v>44</v>
      </c>
      <c r="R56" s="30"/>
      <c r="S56" s="30"/>
      <c r="T56" s="30"/>
      <c r="U56" s="30" t="s">
        <v>119</v>
      </c>
      <c r="V56" s="30"/>
      <c r="W56" s="30" t="str">
        <f t="shared" si="9"/>
        <v>#NAME?</v>
      </c>
      <c r="X56" s="2"/>
      <c r="Y56" s="2"/>
      <c r="Z56" s="2"/>
      <c r="AA56" s="2"/>
      <c r="AB56" s="2"/>
      <c r="AC56" s="2"/>
    </row>
    <row r="57" ht="15.75" customHeight="1">
      <c r="A57" s="45">
        <v>59.0</v>
      </c>
      <c r="B57" s="45" t="str">
        <f t="shared" si="10"/>
        <v>#NAME?</v>
      </c>
      <c r="C57" s="45">
        <f t="shared" si="11"/>
        <v>7</v>
      </c>
      <c r="D57" s="75">
        <v>46221.0</v>
      </c>
      <c r="E57" s="75">
        <v>46221.0</v>
      </c>
      <c r="F57" s="45"/>
      <c r="G57" s="45" t="s">
        <v>312</v>
      </c>
      <c r="H57" s="61" t="s">
        <v>385</v>
      </c>
      <c r="I57" s="76"/>
      <c r="J57" s="76">
        <v>200000.0</v>
      </c>
      <c r="K57" s="72">
        <f t="shared" si="7"/>
        <v>423303</v>
      </c>
      <c r="L57" s="77" t="s">
        <v>45</v>
      </c>
      <c r="M57" s="77" t="s">
        <v>47</v>
      </c>
      <c r="N57" s="64"/>
      <c r="O57" s="77" t="s">
        <v>60</v>
      </c>
      <c r="P57" s="30" t="s">
        <v>74</v>
      </c>
      <c r="Q57" s="77" t="s">
        <v>50</v>
      </c>
      <c r="R57" s="30"/>
      <c r="S57" s="30"/>
      <c r="T57" s="30"/>
      <c r="U57" s="30" t="s">
        <v>75</v>
      </c>
      <c r="V57" s="30"/>
      <c r="W57" s="30" t="str">
        <f t="shared" si="9"/>
        <v>#NAME?</v>
      </c>
      <c r="X57" s="2"/>
      <c r="Y57" s="2"/>
      <c r="Z57" s="2"/>
      <c r="AA57" s="2"/>
      <c r="AB57" s="2"/>
      <c r="AC57" s="2"/>
    </row>
    <row r="58" ht="15.75" customHeight="1">
      <c r="A58" s="45">
        <v>58.0</v>
      </c>
      <c r="B58" s="45" t="str">
        <f t="shared" si="10"/>
        <v>#NAME?</v>
      </c>
      <c r="C58" s="45">
        <f t="shared" si="11"/>
        <v>7</v>
      </c>
      <c r="D58" s="75">
        <v>46218.0</v>
      </c>
      <c r="E58" s="75">
        <v>46218.0</v>
      </c>
      <c r="F58" s="45"/>
      <c r="G58" s="45" t="s">
        <v>388</v>
      </c>
      <c r="H58" s="61" t="s">
        <v>389</v>
      </c>
      <c r="I58" s="76"/>
      <c r="J58" s="76">
        <v>1.0</v>
      </c>
      <c r="K58" s="72">
        <f t="shared" si="7"/>
        <v>223303</v>
      </c>
      <c r="L58" s="77" t="s">
        <v>41</v>
      </c>
      <c r="M58" s="77" t="s">
        <v>47</v>
      </c>
      <c r="N58" s="64"/>
      <c r="O58" s="77" t="s">
        <v>60</v>
      </c>
      <c r="P58" s="30" t="s">
        <v>47</v>
      </c>
      <c r="Q58" s="77" t="s">
        <v>50</v>
      </c>
      <c r="R58" s="30"/>
      <c r="S58" s="30"/>
      <c r="T58" s="30"/>
      <c r="U58" s="30" t="s">
        <v>75</v>
      </c>
      <c r="V58" s="30"/>
      <c r="W58" s="30" t="str">
        <f t="shared" si="9"/>
        <v>#NAME?</v>
      </c>
      <c r="X58" s="2"/>
      <c r="Y58" s="2"/>
      <c r="Z58" s="2"/>
      <c r="AA58" s="2"/>
      <c r="AB58" s="2"/>
      <c r="AC58" s="2"/>
    </row>
    <row r="59" ht="15.75" customHeight="1">
      <c r="A59" s="45">
        <v>57.0</v>
      </c>
      <c r="B59" s="45" t="str">
        <f t="shared" si="10"/>
        <v>#NAME?</v>
      </c>
      <c r="C59" s="45">
        <f t="shared" si="11"/>
        <v>7</v>
      </c>
      <c r="D59" s="75">
        <v>46218.0</v>
      </c>
      <c r="E59" s="75">
        <v>46218.0</v>
      </c>
      <c r="F59" s="45"/>
      <c r="G59" s="45" t="s">
        <v>127</v>
      </c>
      <c r="H59" s="61" t="s">
        <v>394</v>
      </c>
      <c r="I59" s="76"/>
      <c r="J59" s="76">
        <v>102789.0</v>
      </c>
      <c r="K59" s="72">
        <f t="shared" si="7"/>
        <v>223302</v>
      </c>
      <c r="L59" s="77" t="s">
        <v>45</v>
      </c>
      <c r="M59" s="77" t="s">
        <v>47</v>
      </c>
      <c r="N59" s="64"/>
      <c r="O59" s="77" t="s">
        <v>60</v>
      </c>
      <c r="P59" s="30" t="s">
        <v>51</v>
      </c>
      <c r="Q59" s="77" t="s">
        <v>50</v>
      </c>
      <c r="R59" s="30"/>
      <c r="S59" s="30"/>
      <c r="T59" s="30"/>
      <c r="U59" s="30" t="s">
        <v>75</v>
      </c>
      <c r="V59" s="30"/>
      <c r="W59" s="30" t="str">
        <f t="shared" si="9"/>
        <v>#NAME?</v>
      </c>
      <c r="X59" s="2"/>
      <c r="Y59" s="2"/>
      <c r="Z59" s="2"/>
      <c r="AA59" s="2"/>
      <c r="AB59" s="2"/>
      <c r="AC59" s="2"/>
    </row>
    <row r="60" ht="15.75" customHeight="1">
      <c r="A60" s="45">
        <v>56.0</v>
      </c>
      <c r="B60" s="45" t="str">
        <f t="shared" si="10"/>
        <v>#NAME?</v>
      </c>
      <c r="C60" s="45">
        <f t="shared" si="11"/>
        <v>7</v>
      </c>
      <c r="D60" s="75">
        <v>46216.0</v>
      </c>
      <c r="E60" s="75">
        <v>46216.0</v>
      </c>
      <c r="F60" s="45"/>
      <c r="G60" s="45" t="s">
        <v>399</v>
      </c>
      <c r="H60" s="61" t="s">
        <v>401</v>
      </c>
      <c r="I60" s="76">
        <v>13496.0</v>
      </c>
      <c r="J60" s="76"/>
      <c r="K60" s="72">
        <f t="shared" si="7"/>
        <v>120513</v>
      </c>
      <c r="L60" s="77" t="s">
        <v>41</v>
      </c>
      <c r="M60" s="77" t="s">
        <v>47</v>
      </c>
      <c r="N60" s="64"/>
      <c r="O60" s="77" t="s">
        <v>60</v>
      </c>
      <c r="P60" s="30" t="s">
        <v>47</v>
      </c>
      <c r="Q60" s="77" t="s">
        <v>50</v>
      </c>
      <c r="R60" s="30"/>
      <c r="S60" s="30"/>
      <c r="T60" s="30"/>
      <c r="U60" s="30" t="s">
        <v>75</v>
      </c>
      <c r="V60" s="30"/>
      <c r="W60" s="30" t="str">
        <f t="shared" si="9"/>
        <v>#NAME?</v>
      </c>
      <c r="X60" s="2"/>
      <c r="Y60" s="2"/>
      <c r="Z60" s="2"/>
      <c r="AA60" s="2"/>
      <c r="AB60" s="2"/>
      <c r="AC60" s="2"/>
    </row>
    <row r="61" ht="15.75" customHeight="1">
      <c r="A61" s="45">
        <v>55.0</v>
      </c>
      <c r="B61" s="45" t="str">
        <f t="shared" si="10"/>
        <v>#NAME?</v>
      </c>
      <c r="C61" s="45">
        <f t="shared" si="11"/>
        <v>7</v>
      </c>
      <c r="D61" s="75">
        <v>46216.0</v>
      </c>
      <c r="E61" s="75">
        <v>46216.0</v>
      </c>
      <c r="F61" s="45"/>
      <c r="G61" s="45" t="s">
        <v>127</v>
      </c>
      <c r="H61" s="61" t="s">
        <v>407</v>
      </c>
      <c r="I61" s="76"/>
      <c r="J61" s="76">
        <v>30000.0</v>
      </c>
      <c r="K61" s="72">
        <f t="shared" si="7"/>
        <v>134009</v>
      </c>
      <c r="L61" s="77" t="s">
        <v>45</v>
      </c>
      <c r="M61" s="77" t="s">
        <v>47</v>
      </c>
      <c r="N61" s="64"/>
      <c r="O61" s="77" t="s">
        <v>60</v>
      </c>
      <c r="P61" s="30" t="s">
        <v>51</v>
      </c>
      <c r="Q61" s="77" t="s">
        <v>50</v>
      </c>
      <c r="R61" s="30"/>
      <c r="S61" s="30"/>
      <c r="T61" s="30"/>
      <c r="U61" s="30" t="s">
        <v>75</v>
      </c>
      <c r="V61" s="30"/>
      <c r="W61" s="30" t="str">
        <f t="shared" si="9"/>
        <v>#NAME?</v>
      </c>
      <c r="X61" s="2"/>
      <c r="Y61" s="2"/>
      <c r="Z61" s="2"/>
      <c r="AA61" s="2"/>
      <c r="AB61" s="2"/>
      <c r="AC61" s="2"/>
    </row>
    <row r="62" ht="15.75" customHeight="1">
      <c r="A62" s="45">
        <v>54.0</v>
      </c>
      <c r="B62" s="45" t="str">
        <f t="shared" si="10"/>
        <v>#NAME?</v>
      </c>
      <c r="C62" s="45">
        <f t="shared" si="11"/>
        <v>7</v>
      </c>
      <c r="D62" s="75">
        <v>46214.0</v>
      </c>
      <c r="E62" s="75">
        <v>46214.0</v>
      </c>
      <c r="F62" s="45"/>
      <c r="G62" s="45" t="s">
        <v>127</v>
      </c>
      <c r="H62" s="61" t="s">
        <v>414</v>
      </c>
      <c r="I62" s="76"/>
      <c r="J62" s="76">
        <v>54510.0</v>
      </c>
      <c r="K62" s="72">
        <f t="shared" si="7"/>
        <v>104009</v>
      </c>
      <c r="L62" s="77" t="s">
        <v>45</v>
      </c>
      <c r="M62" s="77" t="s">
        <v>47</v>
      </c>
      <c r="N62" s="64"/>
      <c r="O62" s="77" t="s">
        <v>60</v>
      </c>
      <c r="P62" s="30" t="s">
        <v>51</v>
      </c>
      <c r="Q62" s="77" t="s">
        <v>50</v>
      </c>
      <c r="R62" s="30"/>
      <c r="S62" s="30"/>
      <c r="T62" s="30"/>
      <c r="U62" s="30" t="s">
        <v>75</v>
      </c>
      <c r="V62" s="30"/>
      <c r="W62" s="30" t="str">
        <f t="shared" si="9"/>
        <v>#NAME?</v>
      </c>
      <c r="X62" s="2"/>
      <c r="Y62" s="2"/>
      <c r="Z62" s="2"/>
      <c r="AA62" s="2"/>
      <c r="AB62" s="2"/>
      <c r="AC62" s="2"/>
    </row>
    <row r="63" ht="15.75" customHeight="1">
      <c r="A63" s="45">
        <v>53.0</v>
      </c>
      <c r="B63" s="45" t="str">
        <f t="shared" si="10"/>
        <v>#NAME?</v>
      </c>
      <c r="C63" s="45">
        <f t="shared" si="11"/>
        <v>7</v>
      </c>
      <c r="D63" s="75">
        <v>46211.0</v>
      </c>
      <c r="E63" s="75">
        <v>46211.0</v>
      </c>
      <c r="F63" s="45"/>
      <c r="G63" s="45" t="s">
        <v>420</v>
      </c>
      <c r="H63" s="61" t="s">
        <v>422</v>
      </c>
      <c r="I63" s="76">
        <v>217224.0</v>
      </c>
      <c r="J63" s="76"/>
      <c r="K63" s="72">
        <f t="shared" si="7"/>
        <v>49499</v>
      </c>
      <c r="L63" s="77" t="s">
        <v>41</v>
      </c>
      <c r="M63" s="77" t="s">
        <v>118</v>
      </c>
      <c r="N63" s="64"/>
      <c r="O63" s="77" t="s">
        <v>60</v>
      </c>
      <c r="P63" s="81" t="s">
        <v>43</v>
      </c>
      <c r="Q63" s="77" t="s">
        <v>44</v>
      </c>
      <c r="R63" s="30"/>
      <c r="S63" s="30"/>
      <c r="T63" s="30"/>
      <c r="U63" s="30" t="s">
        <v>425</v>
      </c>
      <c r="V63" s="30"/>
      <c r="W63" s="30" t="str">
        <f t="shared" si="9"/>
        <v>#NAME?</v>
      </c>
      <c r="X63" s="2"/>
      <c r="Y63" s="2"/>
      <c r="Z63" s="2"/>
      <c r="AA63" s="2"/>
      <c r="AB63" s="2"/>
      <c r="AC63" s="2"/>
    </row>
    <row r="64" ht="15.75" customHeight="1">
      <c r="A64" s="45">
        <v>52.0</v>
      </c>
      <c r="B64" s="45" t="str">
        <f t="shared" si="10"/>
        <v>#NAME?</v>
      </c>
      <c r="C64" s="45">
        <f t="shared" si="11"/>
        <v>7</v>
      </c>
      <c r="D64" s="75">
        <v>46211.0</v>
      </c>
      <c r="E64" s="75">
        <v>46211.0</v>
      </c>
      <c r="F64" s="45"/>
      <c r="G64" s="45" t="s">
        <v>127</v>
      </c>
      <c r="H64" s="61" t="s">
        <v>427</v>
      </c>
      <c r="I64" s="76"/>
      <c r="J64" s="76">
        <v>82500.0</v>
      </c>
      <c r="K64" s="72">
        <f t="shared" si="7"/>
        <v>266723</v>
      </c>
      <c r="L64" s="77" t="s">
        <v>45</v>
      </c>
      <c r="M64" s="77" t="s">
        <v>47</v>
      </c>
      <c r="N64" s="64"/>
      <c r="O64" s="77" t="s">
        <v>60</v>
      </c>
      <c r="P64" s="30" t="s">
        <v>51</v>
      </c>
      <c r="Q64" s="77" t="s">
        <v>50</v>
      </c>
      <c r="R64" s="30"/>
      <c r="S64" s="30"/>
      <c r="T64" s="30"/>
      <c r="U64" s="30" t="s">
        <v>75</v>
      </c>
      <c r="V64" s="30"/>
      <c r="W64" s="30" t="str">
        <f t="shared" si="9"/>
        <v>#NAME?</v>
      </c>
      <c r="X64" s="2"/>
      <c r="Y64" s="2"/>
      <c r="Z64" s="2"/>
      <c r="AA64" s="2"/>
      <c r="AB64" s="2"/>
      <c r="AC64" s="2"/>
    </row>
    <row r="65" ht="15.75" customHeight="1">
      <c r="A65" s="45">
        <v>51.0</v>
      </c>
      <c r="B65" s="45" t="str">
        <f t="shared" si="10"/>
        <v>#NAME?</v>
      </c>
      <c r="C65" s="45">
        <f t="shared" si="11"/>
        <v>7</v>
      </c>
      <c r="D65" s="75">
        <v>46211.0</v>
      </c>
      <c r="E65" s="75">
        <v>46211.0</v>
      </c>
      <c r="F65" s="45"/>
      <c r="G65" s="45" t="s">
        <v>432</v>
      </c>
      <c r="H65" s="61" t="s">
        <v>433</v>
      </c>
      <c r="I65" s="76">
        <v>405000.0</v>
      </c>
      <c r="J65" s="76"/>
      <c r="K65" s="72">
        <f t="shared" si="7"/>
        <v>184223</v>
      </c>
      <c r="L65" s="77" t="s">
        <v>41</v>
      </c>
      <c r="M65" s="77" t="s">
        <v>118</v>
      </c>
      <c r="N65" s="64"/>
      <c r="O65" s="77" t="s">
        <v>60</v>
      </c>
      <c r="P65" s="30" t="s">
        <v>43</v>
      </c>
      <c r="Q65" s="77" t="s">
        <v>44</v>
      </c>
      <c r="R65" s="30"/>
      <c r="S65" s="30"/>
      <c r="T65" s="30"/>
      <c r="U65" s="30" t="s">
        <v>425</v>
      </c>
      <c r="V65" s="30"/>
      <c r="W65" s="30" t="str">
        <f t="shared" si="9"/>
        <v>#NAME?</v>
      </c>
      <c r="X65" s="2"/>
      <c r="Y65" s="2"/>
      <c r="Z65" s="2"/>
      <c r="AA65" s="2"/>
      <c r="AB65" s="2"/>
      <c r="AC65" s="2"/>
    </row>
    <row r="66" ht="15.75" customHeight="1">
      <c r="A66" s="45">
        <v>50.0</v>
      </c>
      <c r="B66" s="45" t="str">
        <f t="shared" si="10"/>
        <v>#NAME?</v>
      </c>
      <c r="C66" s="45">
        <f t="shared" si="11"/>
        <v>7</v>
      </c>
      <c r="D66" s="75">
        <v>46209.0</v>
      </c>
      <c r="E66" s="75">
        <v>46209.0</v>
      </c>
      <c r="F66" s="45"/>
      <c r="G66" s="45" t="s">
        <v>127</v>
      </c>
      <c r="H66" s="61" t="s">
        <v>443</v>
      </c>
      <c r="I66" s="76"/>
      <c r="J66" s="76">
        <v>106092.0</v>
      </c>
      <c r="K66" s="72">
        <f t="shared" si="7"/>
        <v>589223</v>
      </c>
      <c r="L66" s="77" t="s">
        <v>45</v>
      </c>
      <c r="M66" s="77" t="s">
        <v>47</v>
      </c>
      <c r="N66" s="64"/>
      <c r="O66" s="77" t="s">
        <v>60</v>
      </c>
      <c r="P66" s="30" t="s">
        <v>51</v>
      </c>
      <c r="Q66" s="77" t="s">
        <v>50</v>
      </c>
      <c r="R66" s="30"/>
      <c r="S66" s="30"/>
      <c r="T66" s="30"/>
      <c r="U66" s="30" t="s">
        <v>75</v>
      </c>
      <c r="V66" s="30"/>
      <c r="W66" s="30" t="str">
        <f t="shared" si="9"/>
        <v>#NAME?</v>
      </c>
      <c r="X66" s="2"/>
      <c r="Y66" s="2"/>
      <c r="Z66" s="2"/>
      <c r="AA66" s="2"/>
      <c r="AB66" s="2"/>
      <c r="AC66" s="2"/>
    </row>
    <row r="67" ht="15.75" customHeight="1">
      <c r="A67" s="45">
        <v>49.0</v>
      </c>
      <c r="B67" s="45" t="str">
        <f t="shared" si="10"/>
        <v>#NAME?</v>
      </c>
      <c r="C67" s="45">
        <f t="shared" si="11"/>
        <v>7</v>
      </c>
      <c r="D67" s="75">
        <v>46209.0</v>
      </c>
      <c r="E67" s="75">
        <v>46209.0</v>
      </c>
      <c r="F67" s="45"/>
      <c r="G67" s="45" t="s">
        <v>452</v>
      </c>
      <c r="H67" s="61" t="s">
        <v>453</v>
      </c>
      <c r="I67" s="76">
        <v>25000.0</v>
      </c>
      <c r="J67" s="76"/>
      <c r="K67" s="72">
        <f t="shared" si="7"/>
        <v>483131</v>
      </c>
      <c r="L67" s="77" t="s">
        <v>41</v>
      </c>
      <c r="M67" s="77" t="s">
        <v>47</v>
      </c>
      <c r="N67" s="64"/>
      <c r="O67" s="77" t="s">
        <v>60</v>
      </c>
      <c r="P67" s="30" t="s">
        <v>47</v>
      </c>
      <c r="Q67" s="77" t="s">
        <v>50</v>
      </c>
      <c r="R67" s="30"/>
      <c r="S67" s="30"/>
      <c r="T67" s="30"/>
      <c r="U67" s="30" t="s">
        <v>75</v>
      </c>
      <c r="V67" s="30"/>
      <c r="W67" s="30" t="str">
        <f t="shared" si="9"/>
        <v>#NAME?</v>
      </c>
      <c r="X67" s="2"/>
      <c r="Y67" s="2"/>
      <c r="Z67" s="2"/>
      <c r="AA67" s="2"/>
      <c r="AB67" s="2"/>
      <c r="AC67" s="2"/>
    </row>
    <row r="68" ht="15.75" customHeight="1">
      <c r="A68" s="45">
        <v>48.0</v>
      </c>
      <c r="B68" s="45" t="str">
        <f t="shared" si="10"/>
        <v>#NAME?</v>
      </c>
      <c r="C68" s="45">
        <f t="shared" si="11"/>
        <v>7</v>
      </c>
      <c r="D68" s="75">
        <v>46209.0</v>
      </c>
      <c r="E68" s="75">
        <v>46209.0</v>
      </c>
      <c r="F68" s="45"/>
      <c r="G68" s="45" t="s">
        <v>456</v>
      </c>
      <c r="H68" s="61" t="s">
        <v>457</v>
      </c>
      <c r="I68" s="76">
        <v>10000.0</v>
      </c>
      <c r="J68" s="76"/>
      <c r="K68" s="72">
        <f t="shared" si="7"/>
        <v>508131</v>
      </c>
      <c r="L68" s="77" t="s">
        <v>41</v>
      </c>
      <c r="M68" s="77" t="s">
        <v>118</v>
      </c>
      <c r="N68" s="64"/>
      <c r="O68" s="77" t="s">
        <v>60</v>
      </c>
      <c r="P68" s="30" t="s">
        <v>43</v>
      </c>
      <c r="Q68" s="77" t="s">
        <v>44</v>
      </c>
      <c r="R68" s="30"/>
      <c r="S68" s="30"/>
      <c r="T68" s="30"/>
      <c r="U68" s="30" t="s">
        <v>425</v>
      </c>
      <c r="V68" s="30"/>
      <c r="W68" s="30" t="str">
        <f t="shared" si="9"/>
        <v>#NAME?</v>
      </c>
      <c r="X68" s="2"/>
      <c r="Y68" s="2"/>
      <c r="Z68" s="2"/>
      <c r="AA68" s="2"/>
      <c r="AB68" s="2"/>
      <c r="AC68" s="2"/>
    </row>
    <row r="69" ht="15.75" customHeight="1">
      <c r="A69" s="45">
        <v>47.0</v>
      </c>
      <c r="B69" s="45" t="str">
        <f t="shared" si="10"/>
        <v>#NAME?</v>
      </c>
      <c r="C69" s="45">
        <f t="shared" si="11"/>
        <v>7</v>
      </c>
      <c r="D69" s="75">
        <v>46207.0</v>
      </c>
      <c r="E69" s="75">
        <v>46207.0</v>
      </c>
      <c r="F69" s="45"/>
      <c r="G69" s="45" t="s">
        <v>127</v>
      </c>
      <c r="H69" s="61" t="s">
        <v>465</v>
      </c>
      <c r="I69" s="76"/>
      <c r="J69" s="76">
        <v>200117.0</v>
      </c>
      <c r="K69" s="72">
        <f t="shared" si="7"/>
        <v>518131</v>
      </c>
      <c r="L69" s="77" t="s">
        <v>45</v>
      </c>
      <c r="M69" s="77" t="s">
        <v>47</v>
      </c>
      <c r="N69" s="64"/>
      <c r="O69" s="77" t="s">
        <v>60</v>
      </c>
      <c r="P69" s="30" t="s">
        <v>51</v>
      </c>
      <c r="Q69" s="77" t="s">
        <v>50</v>
      </c>
      <c r="R69" s="30"/>
      <c r="S69" s="30"/>
      <c r="T69" s="30"/>
      <c r="U69" s="30" t="s">
        <v>75</v>
      </c>
      <c r="V69" s="30"/>
      <c r="W69" s="30" t="str">
        <f t="shared" si="9"/>
        <v>#NAME?</v>
      </c>
      <c r="X69" s="2"/>
      <c r="Y69" s="2"/>
      <c r="Z69" s="2"/>
      <c r="AA69" s="2"/>
      <c r="AB69" s="2"/>
      <c r="AC69" s="2"/>
    </row>
    <row r="70" ht="15.75" customHeight="1">
      <c r="A70" s="45">
        <v>46.0</v>
      </c>
      <c r="B70" s="45" t="str">
        <f t="shared" si="10"/>
        <v>#NAME?</v>
      </c>
      <c r="C70" s="45">
        <f t="shared" si="11"/>
        <v>7</v>
      </c>
      <c r="D70" s="75">
        <v>46206.0</v>
      </c>
      <c r="E70" s="75">
        <v>46206.0</v>
      </c>
      <c r="F70" s="45"/>
      <c r="G70" s="45" t="s">
        <v>127</v>
      </c>
      <c r="H70" s="61" t="s">
        <v>472</v>
      </c>
      <c r="I70" s="76"/>
      <c r="J70" s="76">
        <v>182799.0</v>
      </c>
      <c r="K70" s="72">
        <f t="shared" si="7"/>
        <v>318014</v>
      </c>
      <c r="L70" s="77" t="s">
        <v>45</v>
      </c>
      <c r="M70" s="77" t="s">
        <v>47</v>
      </c>
      <c r="N70" s="64"/>
      <c r="O70" s="77" t="s">
        <v>60</v>
      </c>
      <c r="P70" s="30" t="s">
        <v>51</v>
      </c>
      <c r="Q70" s="77" t="s">
        <v>50</v>
      </c>
      <c r="R70" s="30"/>
      <c r="S70" s="30"/>
      <c r="T70" s="30"/>
      <c r="U70" s="30" t="s">
        <v>75</v>
      </c>
      <c r="V70" s="30"/>
      <c r="W70" s="30" t="str">
        <f t="shared" si="9"/>
        <v>#NAME?</v>
      </c>
      <c r="X70" s="2"/>
      <c r="Y70" s="2"/>
      <c r="Z70" s="2"/>
      <c r="AA70" s="2"/>
      <c r="AB70" s="2"/>
      <c r="AC70" s="2"/>
    </row>
    <row r="71" ht="15.75" customHeight="1">
      <c r="A71" s="45">
        <v>45.0</v>
      </c>
      <c r="B71" s="45" t="str">
        <f t="shared" si="10"/>
        <v>#NAME?</v>
      </c>
      <c r="C71" s="45">
        <f t="shared" si="11"/>
        <v>7</v>
      </c>
      <c r="D71" s="75">
        <v>46206.0</v>
      </c>
      <c r="E71" s="75">
        <v>46206.0</v>
      </c>
      <c r="F71" s="45"/>
      <c r="G71" s="45" t="s">
        <v>127</v>
      </c>
      <c r="H71" s="61" t="s">
        <v>477</v>
      </c>
      <c r="I71" s="76"/>
      <c r="J71" s="76">
        <v>118510.0</v>
      </c>
      <c r="K71" s="72">
        <f t="shared" si="7"/>
        <v>135215</v>
      </c>
      <c r="L71" s="77" t="s">
        <v>45</v>
      </c>
      <c r="M71" s="77" t="s">
        <v>47</v>
      </c>
      <c r="N71" s="64"/>
      <c r="O71" s="77" t="s">
        <v>60</v>
      </c>
      <c r="P71" s="30" t="s">
        <v>51</v>
      </c>
      <c r="Q71" s="77" t="s">
        <v>50</v>
      </c>
      <c r="R71" s="30"/>
      <c r="S71" s="30"/>
      <c r="T71" s="30"/>
      <c r="U71" s="30" t="s">
        <v>75</v>
      </c>
      <c r="V71" s="30"/>
      <c r="W71" s="30" t="str">
        <f t="shared" si="9"/>
        <v>#NAME?</v>
      </c>
      <c r="X71" s="2"/>
      <c r="Y71" s="2"/>
      <c r="Z71" s="2"/>
      <c r="AA71" s="2"/>
      <c r="AB71" s="2"/>
      <c r="AC71" s="2"/>
    </row>
    <row r="72" ht="15.75" customHeight="1">
      <c r="A72" s="45">
        <v>44.0</v>
      </c>
      <c r="B72" s="45" t="str">
        <f t="shared" si="10"/>
        <v>#NAME?</v>
      </c>
      <c r="C72" s="45">
        <f t="shared" si="11"/>
        <v>7</v>
      </c>
      <c r="D72" s="75">
        <v>46205.0</v>
      </c>
      <c r="E72" s="75">
        <v>46205.0</v>
      </c>
      <c r="F72" s="45"/>
      <c r="G72" s="45" t="s">
        <v>127</v>
      </c>
      <c r="H72" s="61" t="s">
        <v>483</v>
      </c>
      <c r="I72" s="76"/>
      <c r="J72" s="76">
        <v>16133.0</v>
      </c>
      <c r="K72" s="72">
        <f t="shared" si="7"/>
        <v>16705</v>
      </c>
      <c r="L72" s="77" t="s">
        <v>45</v>
      </c>
      <c r="M72" s="77" t="s">
        <v>47</v>
      </c>
      <c r="N72" s="64"/>
      <c r="O72" s="77" t="s">
        <v>60</v>
      </c>
      <c r="P72" s="30" t="s">
        <v>51</v>
      </c>
      <c r="Q72" s="77" t="s">
        <v>50</v>
      </c>
      <c r="R72" s="30"/>
      <c r="S72" s="30"/>
      <c r="T72" s="30"/>
      <c r="U72" s="30" t="s">
        <v>75</v>
      </c>
      <c r="V72" s="30"/>
      <c r="W72" s="30" t="str">
        <f t="shared" si="9"/>
        <v>#NAME?</v>
      </c>
      <c r="X72" s="2"/>
      <c r="Y72" s="2"/>
      <c r="Z72" s="2"/>
      <c r="AA72" s="2"/>
      <c r="AB72" s="2"/>
      <c r="AC72" s="2"/>
    </row>
    <row r="73" ht="15.75" customHeight="1">
      <c r="A73" s="45">
        <v>43.0</v>
      </c>
      <c r="B73" s="45" t="str">
        <f t="shared" si="10"/>
        <v>#NAME?</v>
      </c>
      <c r="C73" s="45">
        <f t="shared" si="11"/>
        <v>7</v>
      </c>
      <c r="D73" s="75">
        <v>46204.0</v>
      </c>
      <c r="E73" s="75">
        <v>46204.0</v>
      </c>
      <c r="F73" s="45"/>
      <c r="G73" s="45" t="s">
        <v>225</v>
      </c>
      <c r="H73" s="61" t="s">
        <v>486</v>
      </c>
      <c r="I73" s="76">
        <v>10000.0</v>
      </c>
      <c r="J73" s="76"/>
      <c r="K73" s="72">
        <f t="shared" si="7"/>
        <v>572</v>
      </c>
      <c r="L73" s="77" t="s">
        <v>45</v>
      </c>
      <c r="M73" s="77" t="s">
        <v>47</v>
      </c>
      <c r="N73" s="64"/>
      <c r="O73" s="77" t="s">
        <v>60</v>
      </c>
      <c r="P73" s="30" t="s">
        <v>74</v>
      </c>
      <c r="Q73" s="77" t="s">
        <v>50</v>
      </c>
      <c r="R73" s="30"/>
      <c r="S73" s="30"/>
      <c r="T73" s="30"/>
      <c r="U73" s="30" t="s">
        <v>75</v>
      </c>
      <c r="V73" s="30"/>
      <c r="W73" s="30" t="str">
        <f t="shared" si="9"/>
        <v>#NAME?</v>
      </c>
      <c r="X73" s="2"/>
      <c r="Y73" s="2"/>
      <c r="Z73" s="2"/>
      <c r="AA73" s="2"/>
      <c r="AB73" s="2"/>
      <c r="AC73" s="2"/>
    </row>
    <row r="74" ht="15.75" customHeight="1">
      <c r="A74" s="45">
        <v>42.0</v>
      </c>
      <c r="B74" s="45" t="str">
        <f t="shared" si="10"/>
        <v>#NAME?</v>
      </c>
      <c r="C74" s="45">
        <f t="shared" si="11"/>
        <v>7</v>
      </c>
      <c r="D74" s="75">
        <v>46204.0</v>
      </c>
      <c r="E74" s="75">
        <v>46204.0</v>
      </c>
      <c r="F74" s="45"/>
      <c r="G74" s="45" t="s">
        <v>225</v>
      </c>
      <c r="H74" s="61" t="s">
        <v>490</v>
      </c>
      <c r="I74" s="76">
        <v>10000.0</v>
      </c>
      <c r="J74" s="76"/>
      <c r="K74" s="72">
        <f t="shared" si="7"/>
        <v>10572</v>
      </c>
      <c r="L74" s="77" t="s">
        <v>45</v>
      </c>
      <c r="M74" s="77" t="s">
        <v>47</v>
      </c>
      <c r="N74" s="64"/>
      <c r="O74" s="77" t="s">
        <v>60</v>
      </c>
      <c r="P74" s="30" t="s">
        <v>74</v>
      </c>
      <c r="Q74" s="77" t="s">
        <v>50</v>
      </c>
      <c r="R74" s="30"/>
      <c r="S74" s="30"/>
      <c r="T74" s="30"/>
      <c r="U74" s="30" t="s">
        <v>75</v>
      </c>
      <c r="V74" s="30"/>
      <c r="W74" s="30" t="str">
        <f t="shared" si="9"/>
        <v>#NAME?</v>
      </c>
      <c r="X74" s="2"/>
      <c r="Y74" s="2"/>
      <c r="Z74" s="2"/>
      <c r="AA74" s="2"/>
      <c r="AB74" s="2"/>
      <c r="AC74" s="2"/>
    </row>
    <row r="75" ht="15.75" customHeight="1">
      <c r="A75" s="45">
        <v>41.0</v>
      </c>
      <c r="B75" s="45" t="str">
        <f t="shared" si="10"/>
        <v>#NAME?</v>
      </c>
      <c r="C75" s="45">
        <f t="shared" si="11"/>
        <v>6</v>
      </c>
      <c r="D75" s="75">
        <v>46200.0</v>
      </c>
      <c r="E75" s="75">
        <v>46200.0</v>
      </c>
      <c r="F75" s="45"/>
      <c r="G75" s="45" t="s">
        <v>225</v>
      </c>
      <c r="H75" s="61" t="s">
        <v>493</v>
      </c>
      <c r="I75" s="76">
        <v>20000.0</v>
      </c>
      <c r="J75" s="76"/>
      <c r="K75" s="83">
        <f t="shared" si="7"/>
        <v>20572</v>
      </c>
      <c r="L75" s="77" t="s">
        <v>45</v>
      </c>
      <c r="M75" s="77" t="s">
        <v>47</v>
      </c>
      <c r="N75" s="64"/>
      <c r="O75" s="77" t="s">
        <v>60</v>
      </c>
      <c r="P75" s="30" t="s">
        <v>74</v>
      </c>
      <c r="Q75" s="77" t="s">
        <v>50</v>
      </c>
      <c r="R75" s="30"/>
      <c r="S75" s="30"/>
      <c r="T75" s="30"/>
      <c r="U75" s="30" t="s">
        <v>75</v>
      </c>
      <c r="V75" s="30"/>
      <c r="W75" s="30" t="str">
        <f t="shared" si="9"/>
        <v>#NAME?</v>
      </c>
      <c r="X75" s="2"/>
      <c r="Y75" s="2"/>
      <c r="Z75" s="2"/>
      <c r="AA75" s="2"/>
      <c r="AB75" s="2"/>
      <c r="AC75" s="2"/>
    </row>
    <row r="76" ht="15.75" customHeight="1">
      <c r="A76" s="45">
        <v>40.0</v>
      </c>
      <c r="B76" s="45" t="str">
        <f t="shared" si="10"/>
        <v>#NAME?</v>
      </c>
      <c r="C76" s="45">
        <f t="shared" si="11"/>
        <v>6</v>
      </c>
      <c r="D76" s="75">
        <v>46196.0</v>
      </c>
      <c r="E76" s="75">
        <v>46196.0</v>
      </c>
      <c r="F76" s="45"/>
      <c r="G76" s="45" t="s">
        <v>225</v>
      </c>
      <c r="H76" s="61" t="s">
        <v>500</v>
      </c>
      <c r="I76" s="76">
        <v>500000.0</v>
      </c>
      <c r="J76" s="76"/>
      <c r="K76" s="72">
        <f t="shared" si="7"/>
        <v>40572</v>
      </c>
      <c r="L76" s="77" t="s">
        <v>45</v>
      </c>
      <c r="M76" s="77" t="s">
        <v>47</v>
      </c>
      <c r="N76" s="64"/>
      <c r="O76" s="77" t="s">
        <v>60</v>
      </c>
      <c r="P76" s="30" t="s">
        <v>74</v>
      </c>
      <c r="Q76" s="77" t="s">
        <v>50</v>
      </c>
      <c r="R76" s="30"/>
      <c r="S76" s="30"/>
      <c r="T76" s="30"/>
      <c r="U76" s="30" t="s">
        <v>75</v>
      </c>
      <c r="V76" s="30"/>
      <c r="W76" s="30" t="str">
        <f t="shared" si="9"/>
        <v>#NAME?</v>
      </c>
      <c r="X76" s="2"/>
      <c r="Y76" s="2"/>
      <c r="Z76" s="2"/>
      <c r="AA76" s="2"/>
      <c r="AB76" s="2"/>
      <c r="AC76" s="2"/>
    </row>
    <row r="77" ht="15.75" customHeight="1">
      <c r="A77" s="45">
        <v>39.0</v>
      </c>
      <c r="B77" s="45" t="str">
        <f t="shared" si="10"/>
        <v>#NAME?</v>
      </c>
      <c r="C77" s="45">
        <f t="shared" si="11"/>
        <v>6</v>
      </c>
      <c r="D77" s="75">
        <v>46196.0</v>
      </c>
      <c r="E77" s="75">
        <v>46196.0</v>
      </c>
      <c r="F77" s="45"/>
      <c r="G77" s="45" t="s">
        <v>505</v>
      </c>
      <c r="H77" s="61" t="s">
        <v>506</v>
      </c>
      <c r="I77" s="76">
        <v>10000.0</v>
      </c>
      <c r="J77" s="76"/>
      <c r="K77" s="72">
        <f t="shared" si="7"/>
        <v>540572</v>
      </c>
      <c r="L77" s="77" t="s">
        <v>41</v>
      </c>
      <c r="M77" s="77" t="s">
        <v>85</v>
      </c>
      <c r="N77" s="64"/>
      <c r="O77" s="77" t="s">
        <v>60</v>
      </c>
      <c r="P77" s="30" t="s">
        <v>43</v>
      </c>
      <c r="Q77" s="77" t="s">
        <v>44</v>
      </c>
      <c r="R77" s="30"/>
      <c r="S77" s="30"/>
      <c r="T77" s="30"/>
      <c r="U77" s="30" t="s">
        <v>509</v>
      </c>
      <c r="V77" s="30"/>
      <c r="W77" s="30" t="str">
        <f t="shared" si="9"/>
        <v>#NAME?</v>
      </c>
      <c r="X77" s="2"/>
      <c r="Y77" s="2"/>
      <c r="Z77" s="2"/>
      <c r="AA77" s="2"/>
      <c r="AB77" s="2"/>
      <c r="AC77" s="2"/>
    </row>
    <row r="78" ht="15.75" customHeight="1">
      <c r="A78" s="45">
        <v>38.0</v>
      </c>
      <c r="B78" s="45" t="str">
        <f t="shared" si="10"/>
        <v>#NAME?</v>
      </c>
      <c r="C78" s="45">
        <f t="shared" si="11"/>
        <v>6</v>
      </c>
      <c r="D78" s="75">
        <v>46196.0</v>
      </c>
      <c r="E78" s="75">
        <v>46196.0</v>
      </c>
      <c r="F78" s="45"/>
      <c r="G78" s="45" t="s">
        <v>511</v>
      </c>
      <c r="H78" s="61" t="s">
        <v>513</v>
      </c>
      <c r="I78" s="76"/>
      <c r="J78" s="76">
        <v>500000.0</v>
      </c>
      <c r="K78" s="72">
        <f t="shared" si="7"/>
        <v>550572</v>
      </c>
      <c r="L78" s="77" t="s">
        <v>211</v>
      </c>
      <c r="M78" s="77" t="s">
        <v>47</v>
      </c>
      <c r="N78" s="64"/>
      <c r="O78" s="77" t="s">
        <v>60</v>
      </c>
      <c r="P78" s="30" t="s">
        <v>213</v>
      </c>
      <c r="Q78" s="77" t="s">
        <v>50</v>
      </c>
      <c r="R78" s="30"/>
      <c r="S78" s="30"/>
      <c r="T78" s="30"/>
      <c r="U78" s="30" t="s">
        <v>75</v>
      </c>
      <c r="V78" s="30"/>
      <c r="W78" s="30" t="str">
        <f t="shared" si="9"/>
        <v>#NAME?</v>
      </c>
      <c r="X78" s="2"/>
      <c r="Y78" s="2"/>
      <c r="Z78" s="2"/>
      <c r="AA78" s="2"/>
      <c r="AB78" s="2"/>
      <c r="AC78" s="2"/>
    </row>
    <row r="79" ht="15.75" customHeight="1">
      <c r="A79" s="45">
        <v>37.0</v>
      </c>
      <c r="B79" s="45" t="str">
        <f t="shared" si="10"/>
        <v>#NAME?</v>
      </c>
      <c r="C79" s="45">
        <f t="shared" si="11"/>
        <v>6</v>
      </c>
      <c r="D79" s="75">
        <v>46195.0</v>
      </c>
      <c r="E79" s="75">
        <v>46195.0</v>
      </c>
      <c r="F79" s="45"/>
      <c r="G79" s="45" t="s">
        <v>520</v>
      </c>
      <c r="H79" s="61" t="s">
        <v>521</v>
      </c>
      <c r="I79" s="76">
        <v>4163.0</v>
      </c>
      <c r="J79" s="76"/>
      <c r="K79" s="76">
        <f t="shared" si="7"/>
        <v>50572</v>
      </c>
      <c r="L79" s="77" t="s">
        <v>41</v>
      </c>
      <c r="M79" s="77" t="s">
        <v>67</v>
      </c>
      <c r="N79" s="64"/>
      <c r="O79" s="77" t="s">
        <v>60</v>
      </c>
      <c r="P79" s="30" t="s">
        <v>43</v>
      </c>
      <c r="Q79" s="77" t="s">
        <v>44</v>
      </c>
      <c r="R79" s="30"/>
      <c r="S79" s="30"/>
      <c r="T79" s="30"/>
      <c r="U79" s="30" t="s">
        <v>248</v>
      </c>
      <c r="V79" s="30"/>
      <c r="W79" s="30" t="str">
        <f t="shared" si="9"/>
        <v>#NAME?</v>
      </c>
      <c r="X79" s="2"/>
      <c r="Y79" s="2"/>
      <c r="Z79" s="2"/>
      <c r="AA79" s="2"/>
      <c r="AB79" s="2"/>
      <c r="AC79" s="2"/>
    </row>
    <row r="80" ht="15.75" customHeight="1">
      <c r="A80" s="45">
        <v>36.0</v>
      </c>
      <c r="B80" s="45" t="str">
        <f t="shared" si="10"/>
        <v>#NAME?</v>
      </c>
      <c r="C80" s="45">
        <f t="shared" si="11"/>
        <v>6</v>
      </c>
      <c r="D80" s="75">
        <v>46195.0</v>
      </c>
      <c r="E80" s="75">
        <v>46195.0</v>
      </c>
      <c r="F80" s="45"/>
      <c r="G80" s="45" t="s">
        <v>525</v>
      </c>
      <c r="H80" s="61" t="s">
        <v>526</v>
      </c>
      <c r="I80" s="76">
        <v>45000.0</v>
      </c>
      <c r="J80" s="76"/>
      <c r="K80" s="72">
        <f t="shared" si="7"/>
        <v>54735</v>
      </c>
      <c r="L80" s="77" t="s">
        <v>45</v>
      </c>
      <c r="M80" s="77" t="s">
        <v>118</v>
      </c>
      <c r="N80" s="64"/>
      <c r="O80" s="77" t="s">
        <v>60</v>
      </c>
      <c r="P80" s="30" t="s">
        <v>43</v>
      </c>
      <c r="Q80" s="77" t="s">
        <v>44</v>
      </c>
      <c r="R80" s="30"/>
      <c r="S80" s="30"/>
      <c r="T80" s="30"/>
      <c r="U80" s="30" t="s">
        <v>528</v>
      </c>
      <c r="V80" s="30"/>
      <c r="W80" s="30" t="str">
        <f t="shared" si="9"/>
        <v>#NAME?</v>
      </c>
      <c r="X80" s="2"/>
      <c r="Y80" s="2"/>
      <c r="Z80" s="2"/>
      <c r="AA80" s="2"/>
      <c r="AB80" s="2"/>
      <c r="AC80" s="2"/>
    </row>
    <row r="81" ht="15.75" customHeight="1">
      <c r="A81" s="45">
        <v>35.0</v>
      </c>
      <c r="B81" s="45" t="str">
        <f t="shared" si="10"/>
        <v>#NAME?</v>
      </c>
      <c r="C81" s="45">
        <f t="shared" si="11"/>
        <v>6</v>
      </c>
      <c r="D81" s="75">
        <v>46195.0</v>
      </c>
      <c r="E81" s="75">
        <v>46195.0</v>
      </c>
      <c r="F81" s="45"/>
      <c r="G81" s="45" t="s">
        <v>127</v>
      </c>
      <c r="H81" s="61"/>
      <c r="I81" s="76"/>
      <c r="J81" s="76">
        <v>67500.0</v>
      </c>
      <c r="K81" s="72">
        <f t="shared" si="7"/>
        <v>99735</v>
      </c>
      <c r="L81" s="77" t="s">
        <v>45</v>
      </c>
      <c r="M81" s="77" t="s">
        <v>47</v>
      </c>
      <c r="N81" s="64"/>
      <c r="O81" s="77" t="s">
        <v>60</v>
      </c>
      <c r="P81" s="30" t="s">
        <v>51</v>
      </c>
      <c r="Q81" s="77" t="s">
        <v>50</v>
      </c>
      <c r="R81" s="30"/>
      <c r="S81" s="30"/>
      <c r="T81" s="30"/>
      <c r="U81" s="30" t="s">
        <v>75</v>
      </c>
      <c r="V81" s="30"/>
      <c r="W81" s="30" t="str">
        <f t="shared" si="9"/>
        <v>#NAME?</v>
      </c>
      <c r="X81" s="2"/>
      <c r="Y81" s="2"/>
      <c r="Z81" s="2"/>
      <c r="AA81" s="2"/>
      <c r="AB81" s="2"/>
      <c r="AC81" s="2"/>
    </row>
    <row r="82" ht="15.75" customHeight="1">
      <c r="A82" s="45">
        <v>34.0</v>
      </c>
      <c r="B82" s="45" t="str">
        <f t="shared" si="10"/>
        <v>#NAME?</v>
      </c>
      <c r="C82" s="45">
        <f t="shared" si="11"/>
        <v>6</v>
      </c>
      <c r="D82" s="75">
        <v>46195.0</v>
      </c>
      <c r="E82" s="75">
        <v>46195.0</v>
      </c>
      <c r="F82" s="45"/>
      <c r="G82" s="45" t="s">
        <v>535</v>
      </c>
      <c r="H82" s="61" t="s">
        <v>536</v>
      </c>
      <c r="I82" s="76">
        <v>4557.0</v>
      </c>
      <c r="J82" s="76"/>
      <c r="K82" s="72">
        <f t="shared" si="7"/>
        <v>32235</v>
      </c>
      <c r="L82" s="77" t="s">
        <v>41</v>
      </c>
      <c r="M82" s="77" t="s">
        <v>42</v>
      </c>
      <c r="N82" s="64"/>
      <c r="O82" s="77" t="s">
        <v>60</v>
      </c>
      <c r="P82" s="30" t="s">
        <v>43</v>
      </c>
      <c r="Q82" s="77" t="s">
        <v>44</v>
      </c>
      <c r="R82" s="30"/>
      <c r="S82" s="30"/>
      <c r="T82" s="30"/>
      <c r="U82" s="30" t="s">
        <v>290</v>
      </c>
      <c r="V82" s="30"/>
      <c r="W82" s="30" t="str">
        <f t="shared" si="9"/>
        <v>#NAME?</v>
      </c>
      <c r="X82" s="2"/>
      <c r="Y82" s="2"/>
      <c r="Z82" s="2"/>
      <c r="AA82" s="2"/>
      <c r="AB82" s="2"/>
      <c r="AC82" s="2"/>
    </row>
    <row r="83" ht="15.75" customHeight="1">
      <c r="A83" s="45">
        <v>33.0</v>
      </c>
      <c r="B83" s="45" t="str">
        <f t="shared" si="10"/>
        <v>#NAME?</v>
      </c>
      <c r="C83" s="45">
        <f t="shared" si="11"/>
        <v>6</v>
      </c>
      <c r="D83" s="75">
        <v>46193.0</v>
      </c>
      <c r="E83" s="75">
        <v>46193.0</v>
      </c>
      <c r="F83" s="45"/>
      <c r="G83" s="45" t="s">
        <v>538</v>
      </c>
      <c r="H83" s="61" t="s">
        <v>539</v>
      </c>
      <c r="I83" s="76">
        <v>3000.0</v>
      </c>
      <c r="J83" s="76" t="s">
        <v>37</v>
      </c>
      <c r="K83" s="72">
        <f t="shared" si="7"/>
        <v>36792</v>
      </c>
      <c r="L83" s="77" t="s">
        <v>41</v>
      </c>
      <c r="M83" s="77" t="s">
        <v>85</v>
      </c>
      <c r="N83" s="64"/>
      <c r="O83" s="77" t="s">
        <v>60</v>
      </c>
      <c r="P83" s="30" t="s">
        <v>43</v>
      </c>
      <c r="Q83" s="77" t="s">
        <v>44</v>
      </c>
      <c r="R83" s="30"/>
      <c r="S83" s="30"/>
      <c r="T83" s="30"/>
      <c r="U83" s="30" t="s">
        <v>540</v>
      </c>
      <c r="V83" s="30"/>
      <c r="W83" s="30" t="str">
        <f t="shared" si="9"/>
        <v>#NAME?</v>
      </c>
      <c r="X83" s="2"/>
      <c r="Y83" s="2"/>
      <c r="Z83" s="2"/>
      <c r="AA83" s="2"/>
      <c r="AB83" s="2"/>
      <c r="AC83" s="2"/>
    </row>
    <row r="84" ht="15.75" customHeight="1">
      <c r="A84" s="45">
        <v>32.0</v>
      </c>
      <c r="B84" s="45" t="str">
        <f t="shared" si="10"/>
        <v>#NAME?</v>
      </c>
      <c r="C84" s="45">
        <f t="shared" si="11"/>
        <v>6</v>
      </c>
      <c r="D84" s="75">
        <v>46193.0</v>
      </c>
      <c r="E84" s="75">
        <v>46193.0</v>
      </c>
      <c r="F84" s="45"/>
      <c r="G84" s="45" t="s">
        <v>542</v>
      </c>
      <c r="H84" s="61" t="s">
        <v>543</v>
      </c>
      <c r="I84" s="76">
        <v>30000.0</v>
      </c>
      <c r="J84" s="76" t="s">
        <v>37</v>
      </c>
      <c r="K84" s="72">
        <f t="shared" si="7"/>
        <v>39792</v>
      </c>
      <c r="L84" s="77" t="s">
        <v>41</v>
      </c>
      <c r="M84" s="77" t="s">
        <v>47</v>
      </c>
      <c r="N84" s="64"/>
      <c r="O84" s="77" t="s">
        <v>60</v>
      </c>
      <c r="P84" s="30" t="s">
        <v>47</v>
      </c>
      <c r="Q84" s="77" t="s">
        <v>50</v>
      </c>
      <c r="R84" s="30"/>
      <c r="S84" s="30"/>
      <c r="T84" s="30"/>
      <c r="U84" s="30" t="s">
        <v>75</v>
      </c>
      <c r="V84" s="30"/>
      <c r="W84" s="30" t="str">
        <f t="shared" si="9"/>
        <v>#NAME?</v>
      </c>
      <c r="X84" s="2"/>
      <c r="Y84" s="2"/>
      <c r="Z84" s="2"/>
      <c r="AA84" s="2"/>
      <c r="AB84" s="2"/>
      <c r="AC84" s="2"/>
    </row>
    <row r="85" ht="15.75" customHeight="1">
      <c r="A85" s="45">
        <v>31.0</v>
      </c>
      <c r="B85" s="45" t="str">
        <f t="shared" si="10"/>
        <v>#NAME?</v>
      </c>
      <c r="C85" s="45">
        <f t="shared" si="11"/>
        <v>6</v>
      </c>
      <c r="D85" s="75">
        <v>46193.0</v>
      </c>
      <c r="E85" s="75">
        <v>46193.0</v>
      </c>
      <c r="F85" s="45"/>
      <c r="G85" s="45" t="s">
        <v>225</v>
      </c>
      <c r="H85" s="61" t="s">
        <v>546</v>
      </c>
      <c r="I85" s="76">
        <v>30000.0</v>
      </c>
      <c r="J85" s="76" t="s">
        <v>37</v>
      </c>
      <c r="K85" s="72">
        <f t="shared" si="7"/>
        <v>69792</v>
      </c>
      <c r="L85" s="77" t="s">
        <v>45</v>
      </c>
      <c r="M85" s="77" t="s">
        <v>47</v>
      </c>
      <c r="N85" s="64"/>
      <c r="O85" s="77" t="s">
        <v>60</v>
      </c>
      <c r="P85" s="30" t="s">
        <v>74</v>
      </c>
      <c r="Q85" s="77" t="s">
        <v>50</v>
      </c>
      <c r="R85" s="30"/>
      <c r="S85" s="30"/>
      <c r="T85" s="30"/>
      <c r="U85" s="30" t="s">
        <v>75</v>
      </c>
      <c r="V85" s="30"/>
      <c r="W85" s="30" t="str">
        <f t="shared" si="9"/>
        <v>#NAME?</v>
      </c>
      <c r="X85" s="2"/>
      <c r="Y85" s="2"/>
      <c r="Z85" s="2"/>
      <c r="AA85" s="2"/>
      <c r="AB85" s="2"/>
      <c r="AC85" s="2"/>
    </row>
    <row r="86" ht="15.75" customHeight="1">
      <c r="A86" s="45">
        <v>30.0</v>
      </c>
      <c r="B86" s="45" t="str">
        <f t="shared" si="10"/>
        <v>#NAME?</v>
      </c>
      <c r="C86" s="45">
        <f t="shared" si="11"/>
        <v>6</v>
      </c>
      <c r="D86" s="75">
        <v>46193.0</v>
      </c>
      <c r="E86" s="75">
        <v>46193.0</v>
      </c>
      <c r="F86" s="45"/>
      <c r="G86" s="45" t="s">
        <v>511</v>
      </c>
      <c r="H86" s="61" t="s">
        <v>550</v>
      </c>
      <c r="I86" s="76" t="s">
        <v>37</v>
      </c>
      <c r="J86" s="76">
        <v>60000.0</v>
      </c>
      <c r="K86" s="72">
        <f t="shared" si="7"/>
        <v>99792</v>
      </c>
      <c r="L86" s="77" t="s">
        <v>211</v>
      </c>
      <c r="M86" s="77" t="s">
        <v>47</v>
      </c>
      <c r="N86" s="64"/>
      <c r="O86" s="77" t="s">
        <v>60</v>
      </c>
      <c r="P86" s="30" t="s">
        <v>213</v>
      </c>
      <c r="Q86" s="77" t="s">
        <v>50</v>
      </c>
      <c r="R86" s="30"/>
      <c r="S86" s="30"/>
      <c r="T86" s="30"/>
      <c r="U86" s="30" t="s">
        <v>75</v>
      </c>
      <c r="V86" s="30"/>
      <c r="W86" s="30" t="str">
        <f t="shared" si="9"/>
        <v>#NAME?</v>
      </c>
      <c r="X86" s="2"/>
      <c r="Y86" s="2"/>
      <c r="Z86" s="2"/>
      <c r="AA86" s="2"/>
      <c r="AB86" s="2"/>
      <c r="AC86" s="2"/>
    </row>
    <row r="87" ht="15.75" customHeight="1">
      <c r="A87" s="45">
        <v>29.0</v>
      </c>
      <c r="B87" s="45" t="str">
        <f t="shared" si="10"/>
        <v>#NAME?</v>
      </c>
      <c r="C87" s="45">
        <f t="shared" si="11"/>
        <v>6</v>
      </c>
      <c r="D87" s="75">
        <v>46192.0</v>
      </c>
      <c r="E87" s="75">
        <v>46192.0</v>
      </c>
      <c r="F87" s="45"/>
      <c r="G87" s="45" t="s">
        <v>127</v>
      </c>
      <c r="H87" s="61" t="s">
        <v>557</v>
      </c>
      <c r="I87" s="76" t="s">
        <v>37</v>
      </c>
      <c r="J87" s="76">
        <v>15000.0</v>
      </c>
      <c r="K87" s="72">
        <f t="shared" si="7"/>
        <v>39792</v>
      </c>
      <c r="L87" s="77" t="s">
        <v>45</v>
      </c>
      <c r="M87" s="77" t="s">
        <v>47</v>
      </c>
      <c r="N87" s="64"/>
      <c r="O87" s="77" t="s">
        <v>60</v>
      </c>
      <c r="P87" s="30" t="s">
        <v>51</v>
      </c>
      <c r="Q87" s="77" t="s">
        <v>50</v>
      </c>
      <c r="R87" s="30"/>
      <c r="S87" s="30"/>
      <c r="T87" s="30"/>
      <c r="U87" s="30" t="s">
        <v>75</v>
      </c>
      <c r="V87" s="30"/>
      <c r="W87" s="30" t="str">
        <f t="shared" si="9"/>
        <v>#NAME?</v>
      </c>
      <c r="X87" s="2"/>
      <c r="Y87" s="2"/>
      <c r="Z87" s="2"/>
      <c r="AA87" s="2"/>
      <c r="AB87" s="2"/>
      <c r="AC87" s="2"/>
    </row>
    <row r="88" ht="15.75" customHeight="1">
      <c r="A88" s="45">
        <v>28.0</v>
      </c>
      <c r="B88" s="45" t="str">
        <f t="shared" si="10"/>
        <v>#NAME?</v>
      </c>
      <c r="C88" s="45">
        <f t="shared" si="11"/>
        <v>6</v>
      </c>
      <c r="D88" s="75">
        <v>46191.0</v>
      </c>
      <c r="E88" s="75">
        <v>46191.0</v>
      </c>
      <c r="F88" s="45"/>
      <c r="G88" s="45" t="s">
        <v>225</v>
      </c>
      <c r="H88" s="61"/>
      <c r="I88" s="76">
        <v>100000.0</v>
      </c>
      <c r="J88" s="72"/>
      <c r="K88" s="72">
        <f t="shared" si="7"/>
        <v>24792</v>
      </c>
      <c r="L88" s="77" t="s">
        <v>45</v>
      </c>
      <c r="M88" s="77" t="s">
        <v>47</v>
      </c>
      <c r="N88" s="64"/>
      <c r="O88" s="77" t="s">
        <v>60</v>
      </c>
      <c r="P88" s="30" t="s">
        <v>74</v>
      </c>
      <c r="Q88" s="77" t="s">
        <v>50</v>
      </c>
      <c r="R88" s="30"/>
      <c r="S88" s="30"/>
      <c r="T88" s="30"/>
      <c r="U88" s="30" t="s">
        <v>75</v>
      </c>
      <c r="V88" s="30"/>
      <c r="W88" s="30" t="str">
        <f t="shared" si="9"/>
        <v>#NAME?</v>
      </c>
      <c r="X88" s="2"/>
      <c r="Y88" s="2"/>
      <c r="Z88" s="2"/>
      <c r="AA88" s="2"/>
      <c r="AB88" s="2"/>
      <c r="AC88" s="2"/>
    </row>
    <row r="89" ht="15.75" customHeight="1">
      <c r="A89" s="45">
        <v>27.0</v>
      </c>
      <c r="B89" s="45" t="str">
        <f t="shared" si="10"/>
        <v>#NAME?</v>
      </c>
      <c r="C89" s="45">
        <f t="shared" si="11"/>
        <v>6</v>
      </c>
      <c r="D89" s="75">
        <v>46191.0</v>
      </c>
      <c r="E89" s="75">
        <v>46191.0</v>
      </c>
      <c r="F89" s="45"/>
      <c r="G89" s="45" t="s">
        <v>566</v>
      </c>
      <c r="H89" s="61"/>
      <c r="I89" s="76"/>
      <c r="J89" s="76">
        <v>100000.0</v>
      </c>
      <c r="K89" s="72">
        <f t="shared" si="7"/>
        <v>124792</v>
      </c>
      <c r="L89" s="77" t="s">
        <v>211</v>
      </c>
      <c r="M89" s="77" t="s">
        <v>47</v>
      </c>
      <c r="N89" s="64"/>
      <c r="O89" s="77" t="s">
        <v>60</v>
      </c>
      <c r="P89" s="30" t="s">
        <v>213</v>
      </c>
      <c r="Q89" s="77" t="s">
        <v>50</v>
      </c>
      <c r="R89" s="30"/>
      <c r="S89" s="30"/>
      <c r="T89" s="30"/>
      <c r="U89" s="30" t="s">
        <v>75</v>
      </c>
      <c r="V89" s="30"/>
      <c r="W89" s="30" t="str">
        <f t="shared" si="9"/>
        <v>#NAME?</v>
      </c>
      <c r="X89" s="2"/>
      <c r="Y89" s="2"/>
      <c r="Z89" s="2"/>
      <c r="AA89" s="2"/>
      <c r="AB89" s="2"/>
      <c r="AC89" s="2"/>
    </row>
    <row r="90" ht="15.75" customHeight="1">
      <c r="A90" s="45">
        <v>26.0</v>
      </c>
      <c r="B90" s="45" t="str">
        <f t="shared" si="10"/>
        <v>#NAME?</v>
      </c>
      <c r="C90" s="45">
        <f t="shared" si="11"/>
        <v>6</v>
      </c>
      <c r="D90" s="75">
        <v>46190.0</v>
      </c>
      <c r="E90" s="75">
        <v>46190.0</v>
      </c>
      <c r="F90" s="45"/>
      <c r="G90" s="45" t="s">
        <v>225</v>
      </c>
      <c r="H90" s="61"/>
      <c r="I90" s="76">
        <v>300000.0</v>
      </c>
      <c r="J90" s="72"/>
      <c r="K90" s="72">
        <f t="shared" si="7"/>
        <v>24792</v>
      </c>
      <c r="L90" s="77" t="s">
        <v>45</v>
      </c>
      <c r="M90" s="77" t="s">
        <v>47</v>
      </c>
      <c r="N90" s="64"/>
      <c r="O90" s="77" t="s">
        <v>60</v>
      </c>
      <c r="P90" s="30" t="s">
        <v>74</v>
      </c>
      <c r="Q90" s="77" t="s">
        <v>50</v>
      </c>
      <c r="R90" s="30"/>
      <c r="S90" s="30"/>
      <c r="T90" s="30"/>
      <c r="U90" s="30" t="s">
        <v>75</v>
      </c>
      <c r="V90" s="30"/>
      <c r="W90" s="30" t="str">
        <f t="shared" si="9"/>
        <v>#NAME?</v>
      </c>
      <c r="X90" s="2"/>
      <c r="Y90" s="2"/>
      <c r="Z90" s="2"/>
      <c r="AA90" s="2"/>
      <c r="AB90" s="2"/>
      <c r="AC90" s="2"/>
    </row>
    <row r="91" ht="15.75" customHeight="1">
      <c r="A91" s="45">
        <v>25.0</v>
      </c>
      <c r="B91" s="45" t="str">
        <f t="shared" si="10"/>
        <v>#NAME?</v>
      </c>
      <c r="C91" s="45">
        <f t="shared" si="11"/>
        <v>6</v>
      </c>
      <c r="D91" s="75">
        <v>46190.0</v>
      </c>
      <c r="E91" s="75">
        <v>46190.0</v>
      </c>
      <c r="F91" s="45"/>
      <c r="G91" s="45" t="s">
        <v>566</v>
      </c>
      <c r="H91" s="61"/>
      <c r="I91" s="76"/>
      <c r="J91" s="72">
        <v>300000.0</v>
      </c>
      <c r="K91" s="72">
        <f t="shared" si="7"/>
        <v>324792</v>
      </c>
      <c r="L91" s="77" t="s">
        <v>211</v>
      </c>
      <c r="M91" s="77" t="s">
        <v>47</v>
      </c>
      <c r="N91" s="64"/>
      <c r="O91" s="77" t="s">
        <v>60</v>
      </c>
      <c r="P91" s="30" t="s">
        <v>213</v>
      </c>
      <c r="Q91" s="77" t="s">
        <v>50</v>
      </c>
      <c r="R91" s="30"/>
      <c r="S91" s="30"/>
      <c r="T91" s="30"/>
      <c r="U91" s="30" t="s">
        <v>75</v>
      </c>
      <c r="V91" s="30"/>
      <c r="W91" s="30" t="str">
        <f t="shared" si="9"/>
        <v>#NAME?</v>
      </c>
      <c r="X91" s="2"/>
      <c r="Y91" s="2"/>
      <c r="Z91" s="2"/>
      <c r="AA91" s="2"/>
      <c r="AB91" s="2"/>
      <c r="AC91" s="2"/>
    </row>
    <row r="92" ht="15.75" customHeight="1">
      <c r="A92" s="45">
        <v>24.0</v>
      </c>
      <c r="B92" s="45" t="str">
        <f t="shared" si="10"/>
        <v>#NAME?</v>
      </c>
      <c r="C92" s="45">
        <f t="shared" si="11"/>
        <v>6</v>
      </c>
      <c r="D92" s="75">
        <v>46188.0</v>
      </c>
      <c r="E92" s="75">
        <v>46188.0</v>
      </c>
      <c r="F92" s="45"/>
      <c r="G92" s="45" t="s">
        <v>578</v>
      </c>
      <c r="H92" s="61"/>
      <c r="I92" s="76">
        <v>34584.0</v>
      </c>
      <c r="J92" s="72"/>
      <c r="K92" s="72">
        <f t="shared" si="7"/>
        <v>24792</v>
      </c>
      <c r="L92" s="77" t="s">
        <v>41</v>
      </c>
      <c r="M92" s="77" t="s">
        <v>118</v>
      </c>
      <c r="N92" s="64"/>
      <c r="O92" s="77" t="s">
        <v>60</v>
      </c>
      <c r="P92" s="30" t="s">
        <v>43</v>
      </c>
      <c r="Q92" s="77" t="s">
        <v>44</v>
      </c>
      <c r="R92" s="30"/>
      <c r="S92" s="30"/>
      <c r="T92" s="30"/>
      <c r="U92" s="30"/>
      <c r="V92" s="30"/>
      <c r="W92" s="30" t="str">
        <f t="shared" ref="W92:W114" si="12">IF(M92="Internal", IF(ISBLANK(I92), IF(LEN(G92)-LEN(SUBSTITUTE(G92,"-",""))&gt;=3, "Being amount transferred internally from " &amp; MID(G92, FIND("|", SUBSTITUTE(G92, "-", "|", 3)) + 1, LEN(G92)) &amp; " to YES CR FREE 2477 vide " &amp; LEFT(G92, FIND("|", SUBSTITUTE(G92, "-", "|", 3)) - 1) &amp; " (Business Unit: " &amp; L92 &amp; ") (Head: " &amp; M92 &amp; ") (Type: " &amp; P92 &amp; ")", "Being amount transferred internally to YES IDW 0490 vide " &amp; G92 &amp; " (Business Unit: " &amp; L92 &amp; ") (Head: " &amp; M92 &amp; ") (Type: " &amp; P92 &amp; ")"), IF(LEN(G92)-LEN(SUBSTITUTE(G92,"-",""))&gt;=3, "Being amount transferred internally from YES IDW 0490 to " &amp; MID(G92, FIND("|", SUBSTITUTE(G92, "-", "|", 3)) + 1, LEN(G92)) &amp; " vide " &amp; LEFT(G92, FIND("|", SUBSTITUTE(G92, "-", "|", 3)) - 1) &amp; " (Business Unit: " &amp; L92 &amp; ") (Head: " &amp; M92 &amp; ") (Type: " &amp; P92 &amp; ")", "Being amount transferred internally from YES IDW 0490 vide " &amp; G92 &amp; " (Business Unit: " &amp; L92 &amp; ") (Head: " &amp; M92 &amp; ") (Type: " &amp; P92 &amp; ")")), IF(ISBLANK(I92), IF(LEN(G92)-LEN(SUBSTITUTE(G92,"-",""))&gt;=3, "Being amount received from " &amp; MID(G92, FIND("|", SUBSTITUTE(G92, "-", "|", 3)) + 1, LEN(G92)) &amp; " towards " &amp; M92 &amp; " vide " &amp; LEFT(G92, FIND("|", SUBSTITUTE(G92, "-", "|", 3)) - 1) &amp; " (Business Unit: " &amp; L92 &amp; ") (Head: " &amp; M92 &amp; ") (Type: " &amp; P92 &amp; ")", "Being amount received towards " &amp; M92 &amp; " vide " &amp; G92 &amp; " (Business Unit: " &amp; L92 &amp; ") (Head: " &amp; M92 &amp; ") (Type: " &amp; P92 &amp; ")"), IF(LEN(G92)-LEN(SUBSTITUTE(G92,"-",""))&gt;=3, "Being amount paid towards " &amp; M92 &amp; " vide " &amp; LEFT(G92, FIND("|", SUBSTITUTE(G92, "-", "|", 3)) - 1) &amp; " to " &amp; MID(G92, FIND("|", SUBSTITUTE(G92, "-", "|", 3)) + 1, LEN(G92)) &amp; " (Business Unit: " &amp; L92 &amp; ") (Head: " &amp; M92 &amp; ") (Type: " &amp; P92 &amp; ")", "Being amount paid towards " &amp; M92 &amp; " vide " &amp; G92 &amp; " (Business Unit: " &amp; L92 &amp; ") (Head: " &amp; M92 &amp; ") (Type: " &amp; P92 &amp; ")")))</f>
        <v>Being amount paid towards Professional vide YIB-NEFT-YESME61660073249 to Rohit Kumar-IDFB0020151-Professional-IDFC FIRST BANK LTD (Business Unit: HO) (Head: Professional) (Type: HO - Admin)</v>
      </c>
      <c r="X92" s="2"/>
      <c r="Y92" s="2"/>
      <c r="Z92" s="2"/>
      <c r="AA92" s="2"/>
      <c r="AB92" s="2"/>
      <c r="AC92" s="2"/>
    </row>
    <row r="93" ht="15.75" customHeight="1">
      <c r="A93" s="45">
        <v>23.0</v>
      </c>
      <c r="B93" s="45" t="str">
        <f t="shared" si="10"/>
        <v>#NAME?</v>
      </c>
      <c r="C93" s="45">
        <f t="shared" si="11"/>
        <v>6</v>
      </c>
      <c r="D93" s="75">
        <v>46188.0</v>
      </c>
      <c r="E93" s="75">
        <v>46188.0</v>
      </c>
      <c r="F93" s="45"/>
      <c r="G93" s="45" t="s">
        <v>589</v>
      </c>
      <c r="H93" s="61"/>
      <c r="I93" s="76">
        <v>22500.0</v>
      </c>
      <c r="J93" s="72"/>
      <c r="K93" s="72">
        <f t="shared" si="7"/>
        <v>59376</v>
      </c>
      <c r="L93" s="77" t="s">
        <v>41</v>
      </c>
      <c r="M93" s="77" t="s">
        <v>118</v>
      </c>
      <c r="N93" s="64"/>
      <c r="O93" s="77" t="s">
        <v>60</v>
      </c>
      <c r="P93" s="30" t="s">
        <v>43</v>
      </c>
      <c r="Q93" s="77" t="s">
        <v>44</v>
      </c>
      <c r="R93" s="30"/>
      <c r="S93" s="30"/>
      <c r="T93" s="30"/>
      <c r="U93" s="30"/>
      <c r="V93" s="30"/>
      <c r="W93" s="30" t="str">
        <f t="shared" si="12"/>
        <v>Being amount paid towards Professional vide YIB-NEFT-YESME61660061890 to Sahil Yadav-BARB0PATAUD-Professional-BANK OF BARODA (Business Unit: HO) (Head: Professional) (Type: HO - Admin)</v>
      </c>
      <c r="X93" s="2"/>
      <c r="Y93" s="2"/>
      <c r="Z93" s="2"/>
      <c r="AA93" s="2"/>
      <c r="AB93" s="2"/>
      <c r="AC93" s="2"/>
    </row>
    <row r="94" ht="15.75" customHeight="1">
      <c r="A94" s="45">
        <v>22.0</v>
      </c>
      <c r="B94" s="45" t="str">
        <f t="shared" si="10"/>
        <v>#NAME?</v>
      </c>
      <c r="C94" s="45">
        <f t="shared" si="11"/>
        <v>6</v>
      </c>
      <c r="D94" s="75">
        <v>46188.0</v>
      </c>
      <c r="E94" s="75">
        <v>46188.0</v>
      </c>
      <c r="F94" s="45"/>
      <c r="G94" s="45" t="s">
        <v>595</v>
      </c>
      <c r="H94" s="61"/>
      <c r="I94" s="72">
        <v>39898.0</v>
      </c>
      <c r="J94" s="72"/>
      <c r="K94" s="72">
        <f t="shared" si="7"/>
        <v>81876</v>
      </c>
      <c r="L94" s="77" t="s">
        <v>41</v>
      </c>
      <c r="M94" s="77" t="s">
        <v>101</v>
      </c>
      <c r="N94" s="64"/>
      <c r="O94" s="77" t="s">
        <v>60</v>
      </c>
      <c r="P94" s="30" t="s">
        <v>43</v>
      </c>
      <c r="Q94" s="77" t="s">
        <v>44</v>
      </c>
      <c r="R94" s="30"/>
      <c r="S94" s="30"/>
      <c r="T94" s="30"/>
      <c r="U94" s="30"/>
      <c r="V94" s="30"/>
      <c r="W94" s="30" t="str">
        <f t="shared" si="12"/>
        <v>Being amount paid towards Salary HO vide YIB-NEFT-YESME61660067994 to Rahul Singla-HDFC0000302-Salary-HDFC BANK (Business Unit: HO) (Head: Salary HO) (Type: HO - Admin)</v>
      </c>
      <c r="X94" s="2"/>
      <c r="Y94" s="2"/>
      <c r="Z94" s="2"/>
      <c r="AA94" s="2"/>
      <c r="AB94" s="2"/>
      <c r="AC94" s="2"/>
    </row>
    <row r="95" ht="15.75" customHeight="1">
      <c r="A95" s="45">
        <v>21.0</v>
      </c>
      <c r="B95" s="45" t="str">
        <f t="shared" si="10"/>
        <v>#NAME?</v>
      </c>
      <c r="C95" s="45">
        <f t="shared" si="11"/>
        <v>6</v>
      </c>
      <c r="D95" s="75">
        <v>46188.0</v>
      </c>
      <c r="E95" s="75">
        <v>46188.0</v>
      </c>
      <c r="F95" s="45"/>
      <c r="G95" s="45" t="s">
        <v>602</v>
      </c>
      <c r="H95" s="61"/>
      <c r="I95" s="72">
        <v>36298.0</v>
      </c>
      <c r="J95" s="72"/>
      <c r="K95" s="72">
        <f t="shared" si="7"/>
        <v>121774</v>
      </c>
      <c r="L95" s="77" t="s">
        <v>41</v>
      </c>
      <c r="M95" s="77" t="s">
        <v>101</v>
      </c>
      <c r="N95" s="64"/>
      <c r="O95" s="77" t="s">
        <v>60</v>
      </c>
      <c r="P95" s="30" t="s">
        <v>43</v>
      </c>
      <c r="Q95" s="77" t="s">
        <v>44</v>
      </c>
      <c r="R95" s="30"/>
      <c r="S95" s="30"/>
      <c r="T95" s="30"/>
      <c r="U95" s="30"/>
      <c r="V95" s="30"/>
      <c r="W95" s="30" t="str">
        <f t="shared" si="12"/>
        <v>Being amount paid towards Salary HO vide YIB-NEFT-YESME61660061887 to Mukesh Kumar Ray-MAHB0001461-Salary-BANK OF MAHARASHTRA (Business Unit: HO) (Head: Salary HO) (Type: HO - Admin)</v>
      </c>
      <c r="X95" s="2"/>
      <c r="Y95" s="2"/>
      <c r="Z95" s="2"/>
      <c r="AA95" s="2"/>
      <c r="AB95" s="2"/>
      <c r="AC95" s="2"/>
    </row>
    <row r="96" ht="15.75" customHeight="1">
      <c r="A96" s="45">
        <v>20.0</v>
      </c>
      <c r="B96" s="45" t="str">
        <f t="shared" si="10"/>
        <v>#NAME?</v>
      </c>
      <c r="C96" s="45">
        <f t="shared" si="11"/>
        <v>6</v>
      </c>
      <c r="D96" s="75">
        <v>46188.0</v>
      </c>
      <c r="E96" s="75">
        <v>46188.0</v>
      </c>
      <c r="F96" s="45"/>
      <c r="G96" s="45" t="s">
        <v>225</v>
      </c>
      <c r="H96" s="61"/>
      <c r="I96" s="72">
        <v>500000.0</v>
      </c>
      <c r="J96" s="72"/>
      <c r="K96" s="72">
        <f t="shared" si="7"/>
        <v>158072</v>
      </c>
      <c r="L96" s="77" t="s">
        <v>45</v>
      </c>
      <c r="M96" s="77" t="s">
        <v>47</v>
      </c>
      <c r="N96" s="64"/>
      <c r="O96" s="77" t="s">
        <v>60</v>
      </c>
      <c r="P96" s="30" t="s">
        <v>74</v>
      </c>
      <c r="Q96" s="77" t="s">
        <v>50</v>
      </c>
      <c r="R96" s="30"/>
      <c r="S96" s="30"/>
      <c r="T96" s="30"/>
      <c r="U96" s="30"/>
      <c r="V96" s="30"/>
      <c r="W96" s="30" t="str">
        <f t="shared" si="12"/>
        <v>Being amount transferred internally from YES IDW 0490 to tfr-045563200000490 vide YIB-TPT-DWARKADHIS PROJECTS PRIVATE LIMITED IN CIRP CR IDW (Business Unit: Casa Romana) (Head: Internal) (Type: Free &amp; IDW Loan)</v>
      </c>
      <c r="X96" s="2"/>
      <c r="Y96" s="2"/>
      <c r="Z96" s="2"/>
      <c r="AA96" s="2"/>
      <c r="AB96" s="2"/>
      <c r="AC96" s="2"/>
    </row>
    <row r="97" ht="15.75" customHeight="1">
      <c r="A97" s="45">
        <v>19.0</v>
      </c>
      <c r="B97" s="45" t="str">
        <f t="shared" si="10"/>
        <v>#NAME?</v>
      </c>
      <c r="C97" s="45">
        <f t="shared" si="11"/>
        <v>6</v>
      </c>
      <c r="D97" s="75">
        <v>46188.0</v>
      </c>
      <c r="E97" s="75">
        <v>46188.0</v>
      </c>
      <c r="F97" s="45"/>
      <c r="G97" s="45" t="s">
        <v>607</v>
      </c>
      <c r="H97" s="61"/>
      <c r="I97" s="72">
        <v>30763.0</v>
      </c>
      <c r="J97" s="72"/>
      <c r="K97" s="72">
        <f t="shared" si="7"/>
        <v>658072</v>
      </c>
      <c r="L97" s="77" t="s">
        <v>41</v>
      </c>
      <c r="M97" s="77" t="s">
        <v>101</v>
      </c>
      <c r="N97" s="64"/>
      <c r="O97" s="77" t="s">
        <v>60</v>
      </c>
      <c r="P97" s="30" t="s">
        <v>43</v>
      </c>
      <c r="Q97" s="77" t="s">
        <v>44</v>
      </c>
      <c r="R97" s="30"/>
      <c r="S97" s="30"/>
      <c r="T97" s="30"/>
      <c r="U97" s="30"/>
      <c r="V97" s="30"/>
      <c r="W97" s="30" t="str">
        <f t="shared" si="12"/>
        <v>Being amount paid towards Salary HO vide YIB-NEFT-YESME61660067991 to Mukesh Bajetha-FDRL0007777-Salary-FEDERAL BANK (Business Unit: HO) (Head: Salary HO) (Type: HO - Admin)</v>
      </c>
      <c r="X97" s="2"/>
      <c r="Y97" s="2"/>
      <c r="Z97" s="2"/>
      <c r="AA97" s="2"/>
      <c r="AB97" s="2"/>
      <c r="AC97" s="2"/>
    </row>
    <row r="98" ht="15.75" customHeight="1">
      <c r="A98" s="45">
        <v>18.0</v>
      </c>
      <c r="B98" s="45" t="str">
        <f t="shared" si="10"/>
        <v>#NAME?</v>
      </c>
      <c r="C98" s="45">
        <f t="shared" si="11"/>
        <v>6</v>
      </c>
      <c r="D98" s="75">
        <v>46188.0</v>
      </c>
      <c r="E98" s="75">
        <v>46188.0</v>
      </c>
      <c r="F98" s="45"/>
      <c r="G98" s="45" t="s">
        <v>610</v>
      </c>
      <c r="H98" s="61"/>
      <c r="I98" s="72">
        <v>24898.0</v>
      </c>
      <c r="J98" s="72"/>
      <c r="K98" s="72">
        <f t="shared" si="7"/>
        <v>688835</v>
      </c>
      <c r="L98" s="77" t="s">
        <v>41</v>
      </c>
      <c r="M98" s="77" t="s">
        <v>101</v>
      </c>
      <c r="N98" s="64"/>
      <c r="O98" s="77" t="s">
        <v>60</v>
      </c>
      <c r="P98" s="30" t="s">
        <v>43</v>
      </c>
      <c r="Q98" s="77" t="s">
        <v>44</v>
      </c>
      <c r="R98" s="30"/>
      <c r="S98" s="30"/>
      <c r="T98" s="30"/>
      <c r="U98" s="30"/>
      <c r="V98" s="30"/>
      <c r="W98" s="30" t="str">
        <f t="shared" si="12"/>
        <v>Being amount paid towards Salary HO vide YIB-NEFT-YESME61660067993 to Arati Sharma-SBIN0050104-Salary-STATE BANK OF INDIA (Business Unit: HO) (Head: Salary HO) (Type: HO - Admin)</v>
      </c>
      <c r="X98" s="2"/>
      <c r="Y98" s="2"/>
      <c r="Z98" s="2"/>
      <c r="AA98" s="2"/>
      <c r="AB98" s="2"/>
      <c r="AC98" s="2"/>
    </row>
    <row r="99" ht="15.75" customHeight="1">
      <c r="A99" s="45">
        <v>17.0</v>
      </c>
      <c r="B99" s="45" t="str">
        <f t="shared" si="10"/>
        <v>#NAME?</v>
      </c>
      <c r="C99" s="45">
        <f t="shared" si="11"/>
        <v>6</v>
      </c>
      <c r="D99" s="75">
        <v>46188.0</v>
      </c>
      <c r="E99" s="75">
        <v>46188.0</v>
      </c>
      <c r="F99" s="45"/>
      <c r="G99" s="45" t="s">
        <v>613</v>
      </c>
      <c r="H99" s="61"/>
      <c r="I99" s="72">
        <v>32500.0</v>
      </c>
      <c r="J99" s="72"/>
      <c r="K99" s="72">
        <f t="shared" si="7"/>
        <v>713733</v>
      </c>
      <c r="L99" s="77" t="s">
        <v>41</v>
      </c>
      <c r="M99" s="77" t="s">
        <v>118</v>
      </c>
      <c r="N99" s="64"/>
      <c r="O99" s="77" t="s">
        <v>60</v>
      </c>
      <c r="P99" s="30" t="s">
        <v>43</v>
      </c>
      <c r="Q99" s="77" t="s">
        <v>44</v>
      </c>
      <c r="R99" s="30"/>
      <c r="S99" s="30"/>
      <c r="T99" s="30"/>
      <c r="U99" s="30"/>
      <c r="V99" s="30"/>
      <c r="W99" s="30" t="str">
        <f t="shared" si="12"/>
        <v>Being amount paid towards Professional vide YIB-NEFT-YESME61660067989 to Nikhil Manocha and Co-SBIN0011600-Professional-STATE BANK OF INDIA (Business Unit: HO) (Head: Professional) (Type: HO - Admin)</v>
      </c>
      <c r="X99" s="2"/>
      <c r="Y99" s="2"/>
      <c r="Z99" s="2"/>
      <c r="AA99" s="2"/>
      <c r="AB99" s="2"/>
      <c r="AC99" s="2"/>
    </row>
    <row r="100" ht="15.75" customHeight="1">
      <c r="A100" s="45">
        <v>16.0</v>
      </c>
      <c r="B100" s="45" t="str">
        <f t="shared" si="10"/>
        <v>#NAME?</v>
      </c>
      <c r="C100" s="45">
        <f t="shared" si="11"/>
        <v>6</v>
      </c>
      <c r="D100" s="75">
        <v>46188.0</v>
      </c>
      <c r="E100" s="75">
        <v>46188.0</v>
      </c>
      <c r="F100" s="45"/>
      <c r="G100" s="45" t="s">
        <v>614</v>
      </c>
      <c r="H100" s="61"/>
      <c r="I100" s="72">
        <v>36298.0</v>
      </c>
      <c r="J100" s="72"/>
      <c r="K100" s="72">
        <f t="shared" si="7"/>
        <v>746233</v>
      </c>
      <c r="L100" s="77" t="s">
        <v>41</v>
      </c>
      <c r="M100" s="77" t="s">
        <v>101</v>
      </c>
      <c r="N100" s="64"/>
      <c r="O100" s="77" t="s">
        <v>60</v>
      </c>
      <c r="P100" s="30" t="s">
        <v>43</v>
      </c>
      <c r="Q100" s="77" t="s">
        <v>44</v>
      </c>
      <c r="R100" s="30"/>
      <c r="S100" s="30"/>
      <c r="T100" s="30"/>
      <c r="U100" s="30"/>
      <c r="V100" s="30"/>
      <c r="W100" s="30" t="str">
        <f t="shared" si="12"/>
        <v>Being amount paid towards Salary HO vide YIB-NEFT-YESME61660061885 to Diksha Sharma-SBIN0050104-Salary-STATE BANK OF INDIA (Business Unit: HO) (Head: Salary HO) (Type: HO - Admin)</v>
      </c>
      <c r="X100" s="2"/>
      <c r="Y100" s="2"/>
      <c r="Z100" s="2"/>
      <c r="AA100" s="2"/>
      <c r="AB100" s="2"/>
      <c r="AC100" s="2"/>
    </row>
    <row r="101" ht="15.75" customHeight="1">
      <c r="A101" s="45">
        <v>15.0</v>
      </c>
      <c r="B101" s="45" t="str">
        <f t="shared" si="10"/>
        <v>#NAME?</v>
      </c>
      <c r="C101" s="45">
        <f t="shared" si="11"/>
        <v>6</v>
      </c>
      <c r="D101" s="75">
        <v>46188.0</v>
      </c>
      <c r="E101" s="75">
        <v>46188.0</v>
      </c>
      <c r="F101" s="45"/>
      <c r="G101" s="45" t="s">
        <v>619</v>
      </c>
      <c r="H101" s="61"/>
      <c r="I101" s="72">
        <v>16024.0</v>
      </c>
      <c r="J101" s="72"/>
      <c r="K101" s="72">
        <f t="shared" si="7"/>
        <v>782531</v>
      </c>
      <c r="L101" s="77" t="s">
        <v>41</v>
      </c>
      <c r="M101" s="77" t="s">
        <v>101</v>
      </c>
      <c r="N101" s="64"/>
      <c r="O101" s="77" t="s">
        <v>60</v>
      </c>
      <c r="P101" s="30" t="s">
        <v>43</v>
      </c>
      <c r="Q101" s="77" t="s">
        <v>44</v>
      </c>
      <c r="R101" s="30"/>
      <c r="S101" s="30"/>
      <c r="T101" s="30"/>
      <c r="U101" s="30"/>
      <c r="V101" s="30"/>
      <c r="W101" s="30" t="str">
        <f t="shared" si="12"/>
        <v>Being amount paid towards Salary HO vide YIB-NEFT-YESME61660067988 to Ashish Gaur-SBIN0007052-Salary-STATE BANK OF INDIA (Business Unit: HO) (Head: Salary HO) (Type: HO - Admin)</v>
      </c>
      <c r="X101" s="2"/>
      <c r="Y101" s="2"/>
      <c r="Z101" s="2"/>
      <c r="AA101" s="2"/>
      <c r="AB101" s="2"/>
      <c r="AC101" s="2"/>
    </row>
    <row r="102" ht="15.75" customHeight="1">
      <c r="A102" s="45">
        <v>14.0</v>
      </c>
      <c r="B102" s="45" t="str">
        <f t="shared" si="10"/>
        <v>#NAME?</v>
      </c>
      <c r="C102" s="45">
        <f t="shared" si="11"/>
        <v>6</v>
      </c>
      <c r="D102" s="75">
        <v>46188.0</v>
      </c>
      <c r="E102" s="75">
        <v>46188.0</v>
      </c>
      <c r="F102" s="45"/>
      <c r="G102" s="45" t="s">
        <v>624</v>
      </c>
      <c r="H102" s="61"/>
      <c r="I102" s="72">
        <v>15343.0</v>
      </c>
      <c r="J102" s="72"/>
      <c r="K102" s="72">
        <f t="shared" si="7"/>
        <v>798555</v>
      </c>
      <c r="L102" s="77" t="s">
        <v>41</v>
      </c>
      <c r="M102" s="77" t="s">
        <v>101</v>
      </c>
      <c r="N102" s="64"/>
      <c r="O102" s="77" t="s">
        <v>60</v>
      </c>
      <c r="P102" s="30" t="s">
        <v>43</v>
      </c>
      <c r="Q102" s="77" t="s">
        <v>44</v>
      </c>
      <c r="R102" s="30"/>
      <c r="S102" s="30"/>
      <c r="T102" s="30"/>
      <c r="U102" s="30"/>
      <c r="V102" s="30"/>
      <c r="W102" s="30" t="str">
        <f t="shared" si="12"/>
        <v>Being amount paid towards Salary HO vide YIB-NEFT-YESME61660067987 to Yogesh Singh-SBIN0007604-Salary-STATE BANK OF INDIA (Business Unit: HO) (Head: Salary HO) (Type: HO - Admin)</v>
      </c>
      <c r="X102" s="2"/>
      <c r="Y102" s="2"/>
      <c r="Z102" s="2"/>
      <c r="AA102" s="2"/>
      <c r="AB102" s="2"/>
      <c r="AC102" s="2"/>
    </row>
    <row r="103" ht="15.75" customHeight="1">
      <c r="A103" s="45">
        <v>13.0</v>
      </c>
      <c r="B103" s="45" t="str">
        <f t="shared" si="10"/>
        <v>#NAME?</v>
      </c>
      <c r="C103" s="45">
        <f t="shared" si="11"/>
        <v>6</v>
      </c>
      <c r="D103" s="75">
        <v>46188.0</v>
      </c>
      <c r="E103" s="75">
        <v>46188.0</v>
      </c>
      <c r="F103" s="45"/>
      <c r="G103" s="45" t="s">
        <v>629</v>
      </c>
      <c r="H103" s="61"/>
      <c r="I103" s="72"/>
      <c r="J103" s="72">
        <v>700000.0</v>
      </c>
      <c r="K103" s="72">
        <f t="shared" si="7"/>
        <v>813898</v>
      </c>
      <c r="L103" s="77" t="s">
        <v>211</v>
      </c>
      <c r="M103" s="77" t="s">
        <v>47</v>
      </c>
      <c r="N103" s="64"/>
      <c r="O103" s="77" t="s">
        <v>60</v>
      </c>
      <c r="P103" s="30" t="s">
        <v>213</v>
      </c>
      <c r="Q103" s="77" t="s">
        <v>50</v>
      </c>
      <c r="R103" s="30"/>
      <c r="S103" s="30"/>
      <c r="T103" s="30"/>
      <c r="U103" s="30"/>
      <c r="V103" s="30"/>
      <c r="W103" s="30" t="str">
        <f t="shared" si="12"/>
        <v>Being amount transferred internally from 045563400002314 to YES CR FREE 2477 vide YIB-TPT-DWARKADHIS PROJECTS PVT LTD IN CIRP ARAVALI HEIGHTS (Business Unit: Aravali Heights) (Head: Internal) (Type: AH - CR)</v>
      </c>
      <c r="X103" s="2"/>
      <c r="Y103" s="2"/>
      <c r="Z103" s="2"/>
      <c r="AA103" s="2"/>
      <c r="AB103" s="2"/>
      <c r="AC103" s="2"/>
    </row>
    <row r="104" ht="15.75" customHeight="1">
      <c r="A104" s="45">
        <v>12.0</v>
      </c>
      <c r="B104" s="45" t="str">
        <f t="shared" si="10"/>
        <v>#NAME?</v>
      </c>
      <c r="C104" s="45">
        <f t="shared" si="11"/>
        <v>6</v>
      </c>
      <c r="D104" s="75">
        <v>46185.0</v>
      </c>
      <c r="E104" s="75">
        <v>46185.0</v>
      </c>
      <c r="F104" s="45"/>
      <c r="G104" s="45" t="s">
        <v>635</v>
      </c>
      <c r="H104" s="61" t="s">
        <v>636</v>
      </c>
      <c r="I104" s="72">
        <v>15520.0</v>
      </c>
      <c r="J104" s="72"/>
      <c r="K104" s="72">
        <f t="shared" si="7"/>
        <v>113898</v>
      </c>
      <c r="L104" s="77" t="s">
        <v>41</v>
      </c>
      <c r="M104" s="77" t="s">
        <v>47</v>
      </c>
      <c r="N104" s="64"/>
      <c r="O104" s="77" t="s">
        <v>60</v>
      </c>
      <c r="P104" s="30" t="s">
        <v>47</v>
      </c>
      <c r="Q104" s="77" t="s">
        <v>50</v>
      </c>
      <c r="R104" s="30"/>
      <c r="S104" s="30"/>
      <c r="T104" s="30"/>
      <c r="U104" s="30"/>
      <c r="V104" s="30"/>
      <c r="W104" s="30" t="str">
        <f t="shared" si="12"/>
        <v>Being amount transferred internally from YES IDW 0490 to Dwarkadhis Projects Pvt Ltd-MAHB0001461-for esi epf-BANK OF MAHARASHTRA vide YIB-NEFT-YESME61630003670 (Business Unit: HO) (Head: Internal) (Type: Internal)</v>
      </c>
      <c r="X104" s="2"/>
      <c r="Y104" s="2"/>
      <c r="Z104" s="2"/>
      <c r="AA104" s="2"/>
      <c r="AB104" s="2"/>
      <c r="AC104" s="2"/>
    </row>
    <row r="105" ht="15.75" customHeight="1">
      <c r="A105" s="45">
        <v>11.0</v>
      </c>
      <c r="B105" s="45" t="str">
        <f t="shared" si="10"/>
        <v>#NAME?</v>
      </c>
      <c r="C105" s="45">
        <f t="shared" si="11"/>
        <v>6</v>
      </c>
      <c r="D105" s="75">
        <v>46185.0</v>
      </c>
      <c r="E105" s="75">
        <v>46185.0</v>
      </c>
      <c r="F105" s="45"/>
      <c r="G105" s="45" t="s">
        <v>127</v>
      </c>
      <c r="H105" s="61" t="s">
        <v>641</v>
      </c>
      <c r="I105" s="72"/>
      <c r="J105" s="72">
        <v>30000.0</v>
      </c>
      <c r="K105" s="72">
        <f t="shared" si="7"/>
        <v>129418</v>
      </c>
      <c r="L105" s="77" t="s">
        <v>45</v>
      </c>
      <c r="M105" s="77" t="s">
        <v>47</v>
      </c>
      <c r="N105" s="64"/>
      <c r="O105" s="77" t="s">
        <v>60</v>
      </c>
      <c r="P105" s="30" t="s">
        <v>51</v>
      </c>
      <c r="Q105" s="77" t="s">
        <v>50</v>
      </c>
      <c r="R105" s="30"/>
      <c r="S105" s="30"/>
      <c r="T105" s="30"/>
      <c r="U105" s="30"/>
      <c r="V105" s="30"/>
      <c r="W105" s="30" t="str">
        <f t="shared" si="12"/>
        <v>Being amount transferred internally from 045563200000264 to YES CR FREE 2477 vide YIB-TPT-DWARKADHIS PROJECTS PRIVATE LIMITED IN CIRP (Business Unit: Casa Romana) (Head: Internal) (Type: Master to Free)</v>
      </c>
      <c r="X105" s="2"/>
      <c r="Y105" s="2"/>
      <c r="Z105" s="2"/>
      <c r="AA105" s="2"/>
      <c r="AB105" s="2"/>
      <c r="AC105" s="2"/>
    </row>
    <row r="106" ht="15.75" customHeight="1">
      <c r="A106" s="45">
        <v>10.0</v>
      </c>
      <c r="B106" s="45" t="str">
        <f t="shared" si="10"/>
        <v>#NAME?</v>
      </c>
      <c r="C106" s="45">
        <f t="shared" si="11"/>
        <v>6</v>
      </c>
      <c r="D106" s="75">
        <v>46184.0</v>
      </c>
      <c r="E106" s="75">
        <v>46184.0</v>
      </c>
      <c r="F106" s="45"/>
      <c r="G106" s="45" t="s">
        <v>644</v>
      </c>
      <c r="H106" s="61" t="s">
        <v>645</v>
      </c>
      <c r="I106" s="72">
        <v>10000.0</v>
      </c>
      <c r="J106" s="72"/>
      <c r="K106" s="72">
        <f t="shared" si="7"/>
        <v>99418</v>
      </c>
      <c r="L106" s="77" t="s">
        <v>41</v>
      </c>
      <c r="M106" s="77" t="s">
        <v>85</v>
      </c>
      <c r="N106" s="64"/>
      <c r="O106" s="77" t="s">
        <v>60</v>
      </c>
      <c r="P106" s="30" t="s">
        <v>43</v>
      </c>
      <c r="Q106" s="77" t="s">
        <v>44</v>
      </c>
      <c r="R106" s="30"/>
      <c r="S106" s="30"/>
      <c r="T106" s="30"/>
      <c r="U106" s="30"/>
      <c r="V106" s="30"/>
      <c r="W106" s="30" t="str">
        <f t="shared" si="12"/>
        <v>Being amount paid towards Imprest vide IMPS/NA/XXXX6622/RRN:616294174358/PC3863380272601926/STATE BANK OF I/Yogesh Singh/Yogesh Singh Imprest (Business Unit: HO) (Head: Imprest) (Type: HO - Admin)</v>
      </c>
      <c r="X106" s="2"/>
      <c r="Y106" s="2"/>
      <c r="Z106" s="2"/>
      <c r="AA106" s="2"/>
      <c r="AB106" s="2"/>
      <c r="AC106" s="2"/>
    </row>
    <row r="107" ht="15.75" customHeight="1">
      <c r="A107" s="45">
        <v>9.0</v>
      </c>
      <c r="B107" s="45" t="str">
        <f t="shared" si="10"/>
        <v>#NAME?</v>
      </c>
      <c r="C107" s="45">
        <f t="shared" si="11"/>
        <v>6</v>
      </c>
      <c r="D107" s="75">
        <v>46184.0</v>
      </c>
      <c r="E107" s="75">
        <v>46184.0</v>
      </c>
      <c r="F107" s="45"/>
      <c r="G107" s="45" t="s">
        <v>649</v>
      </c>
      <c r="H107" s="61" t="s">
        <v>650</v>
      </c>
      <c r="I107" s="72">
        <v>100660.0</v>
      </c>
      <c r="J107" s="72"/>
      <c r="K107" s="72">
        <f t="shared" si="7"/>
        <v>109418</v>
      </c>
      <c r="L107" s="77" t="s">
        <v>41</v>
      </c>
      <c r="M107" s="77" t="s">
        <v>118</v>
      </c>
      <c r="N107" s="64"/>
      <c r="O107" s="77" t="s">
        <v>60</v>
      </c>
      <c r="P107" s="30" t="s">
        <v>43</v>
      </c>
      <c r="Q107" s="77" t="s">
        <v>44</v>
      </c>
      <c r="R107" s="30"/>
      <c r="S107" s="30"/>
      <c r="T107" s="30"/>
      <c r="U107" s="30"/>
      <c r="V107" s="30"/>
      <c r="W107" s="30" t="str">
        <f t="shared" si="12"/>
        <v>Being amount paid towards Professional vide YIB-NEFT-YESME61620056436 to Jaskaran Singh Bhatia-HDFC0000011-professional-HDFC BANK (Business Unit: HO) (Head: Professional) (Type: HO - Admin)</v>
      </c>
      <c r="X107" s="2"/>
      <c r="Y107" s="2"/>
      <c r="Z107" s="2"/>
      <c r="AA107" s="2"/>
      <c r="AB107" s="2"/>
      <c r="AC107" s="2"/>
    </row>
    <row r="108" ht="15.75" customHeight="1">
      <c r="A108" s="45">
        <v>8.0</v>
      </c>
      <c r="B108" s="45" t="str">
        <f t="shared" si="10"/>
        <v>#NAME?</v>
      </c>
      <c r="C108" s="45">
        <f t="shared" si="11"/>
        <v>6</v>
      </c>
      <c r="D108" s="75">
        <v>46182.0</v>
      </c>
      <c r="E108" s="75">
        <v>46182.0</v>
      </c>
      <c r="F108" s="45"/>
      <c r="G108" s="45" t="s">
        <v>127</v>
      </c>
      <c r="H108" s="61" t="s">
        <v>656</v>
      </c>
      <c r="I108" s="72"/>
      <c r="J108" s="72">
        <v>30000.0</v>
      </c>
      <c r="K108" s="72">
        <f t="shared" si="7"/>
        <v>210078</v>
      </c>
      <c r="L108" s="77" t="s">
        <v>45</v>
      </c>
      <c r="M108" s="77" t="s">
        <v>47</v>
      </c>
      <c r="N108" s="64"/>
      <c r="O108" s="77" t="s">
        <v>60</v>
      </c>
      <c r="P108" s="30" t="s">
        <v>51</v>
      </c>
      <c r="Q108" s="77" t="s">
        <v>50</v>
      </c>
      <c r="R108" s="30"/>
      <c r="S108" s="30"/>
      <c r="T108" s="30"/>
      <c r="U108" s="30"/>
      <c r="V108" s="30"/>
      <c r="W108" s="30" t="str">
        <f t="shared" si="12"/>
        <v>Being amount transferred internally from 045563200000264 to YES CR FREE 2477 vide YIB-TPT-DWARKADHIS PROJECTS PRIVATE LIMITED IN CIRP (Business Unit: Casa Romana) (Head: Internal) (Type: Master to Free)</v>
      </c>
      <c r="X108" s="2"/>
      <c r="Y108" s="2"/>
      <c r="Z108" s="2"/>
      <c r="AA108" s="2"/>
      <c r="AB108" s="2"/>
      <c r="AC108" s="2"/>
    </row>
    <row r="109" ht="15.75" customHeight="1">
      <c r="A109" s="45">
        <v>7.0</v>
      </c>
      <c r="B109" s="45" t="str">
        <f t="shared" si="10"/>
        <v>#NAME?</v>
      </c>
      <c r="C109" s="45">
        <f t="shared" si="11"/>
        <v>6</v>
      </c>
      <c r="D109" s="75">
        <v>46181.0</v>
      </c>
      <c r="E109" s="75">
        <v>46181.0</v>
      </c>
      <c r="F109" s="45"/>
      <c r="G109" s="45" t="s">
        <v>662</v>
      </c>
      <c r="H109" s="61" t="s">
        <v>663</v>
      </c>
      <c r="I109" s="72">
        <v>390000.0</v>
      </c>
      <c r="J109" s="72"/>
      <c r="K109" s="72">
        <f t="shared" si="7"/>
        <v>180078</v>
      </c>
      <c r="L109" s="77" t="s">
        <v>41</v>
      </c>
      <c r="M109" s="77" t="s">
        <v>118</v>
      </c>
      <c r="N109" s="64"/>
      <c r="O109" s="77" t="s">
        <v>60</v>
      </c>
      <c r="P109" s="30" t="s">
        <v>43</v>
      </c>
      <c r="Q109" s="77" t="s">
        <v>44</v>
      </c>
      <c r="R109" s="30"/>
      <c r="S109" s="30"/>
      <c r="T109" s="30"/>
      <c r="U109" s="30"/>
      <c r="V109" s="30"/>
      <c r="W109" s="30" t="str">
        <f t="shared" si="12"/>
        <v>Being amount paid towards Professional vide YIB-NEFT-YESME61590064987 to Value Plus Insolvency Resolution Professionals Pvt Ltd-PUNB0025120-Professional-PUNJAB NATIONAL BANK (Business Unit: HO) (Head: Professional) (Type: HO - Admin)</v>
      </c>
      <c r="X109" s="2"/>
      <c r="Y109" s="2"/>
      <c r="Z109" s="2"/>
      <c r="AA109" s="2"/>
      <c r="AB109" s="2"/>
      <c r="AC109" s="2"/>
    </row>
    <row r="110" ht="15.75" customHeight="1">
      <c r="A110" s="45">
        <v>6.0</v>
      </c>
      <c r="B110" s="45" t="str">
        <f t="shared" si="10"/>
        <v>#NAME?</v>
      </c>
      <c r="C110" s="45">
        <f t="shared" si="11"/>
        <v>6</v>
      </c>
      <c r="D110" s="75">
        <v>46180.0</v>
      </c>
      <c r="E110" s="75">
        <v>46180.0</v>
      </c>
      <c r="F110" s="45"/>
      <c r="G110" s="45" t="s">
        <v>667</v>
      </c>
      <c r="H110" s="61" t="s">
        <v>668</v>
      </c>
      <c r="I110" s="72">
        <v>106361.0</v>
      </c>
      <c r="J110" s="72"/>
      <c r="K110" s="72">
        <f t="shared" si="7"/>
        <v>570078</v>
      </c>
      <c r="L110" s="77" t="s">
        <v>41</v>
      </c>
      <c r="M110" s="77" t="s">
        <v>47</v>
      </c>
      <c r="N110" s="64"/>
      <c r="O110" s="77" t="s">
        <v>60</v>
      </c>
      <c r="P110" s="30" t="s">
        <v>47</v>
      </c>
      <c r="Q110" s="77" t="s">
        <v>50</v>
      </c>
      <c r="R110" s="30"/>
      <c r="S110" s="30"/>
      <c r="T110" s="30"/>
      <c r="U110" s="30"/>
      <c r="V110" s="30"/>
      <c r="W110" s="30" t="str">
        <f t="shared" si="12"/>
        <v>Being amount transferred internally from YES IDW 0490 to Dwarkadhis Projects Pvt Ltd-MAHB0001461-for tds pay-BANK OF MAHARASHTRA vide YIB-NEFT-YESME61580006972 (Business Unit: HO) (Head: Internal) (Type: Internal)</v>
      </c>
      <c r="X110" s="2"/>
      <c r="Y110" s="2"/>
      <c r="Z110" s="2"/>
      <c r="AA110" s="2"/>
      <c r="AB110" s="2"/>
      <c r="AC110" s="2"/>
    </row>
    <row r="111" ht="15.75" customHeight="1">
      <c r="A111" s="45">
        <v>5.0</v>
      </c>
      <c r="B111" s="45" t="str">
        <f t="shared" si="10"/>
        <v>#NAME?</v>
      </c>
      <c r="C111" s="45">
        <f t="shared" si="11"/>
        <v>6</v>
      </c>
      <c r="D111" s="75">
        <v>46179.0</v>
      </c>
      <c r="E111" s="75">
        <v>46179.0</v>
      </c>
      <c r="F111" s="45"/>
      <c r="G111" s="45" t="s">
        <v>127</v>
      </c>
      <c r="H111" s="61" t="s">
        <v>671</v>
      </c>
      <c r="I111" s="72"/>
      <c r="J111" s="72">
        <v>246927.0</v>
      </c>
      <c r="K111" s="72">
        <f t="shared" si="7"/>
        <v>676439</v>
      </c>
      <c r="L111" s="77" t="s">
        <v>45</v>
      </c>
      <c r="M111" s="77" t="s">
        <v>47</v>
      </c>
      <c r="N111" s="64"/>
      <c r="O111" s="77" t="s">
        <v>60</v>
      </c>
      <c r="P111" s="30" t="s">
        <v>51</v>
      </c>
      <c r="Q111" s="77" t="s">
        <v>50</v>
      </c>
      <c r="R111" s="30"/>
      <c r="S111" s="30"/>
      <c r="T111" s="30"/>
      <c r="U111" s="30"/>
      <c r="V111" s="30"/>
      <c r="W111" s="30" t="str">
        <f t="shared" si="12"/>
        <v>Being amount transferred internally from 045563200000264 to YES CR FREE 2477 vide YIB-TPT-DWARKADHIS PROJECTS PRIVATE LIMITED IN CIRP (Business Unit: Casa Romana) (Head: Internal) (Type: Master to Free)</v>
      </c>
      <c r="X111" s="2"/>
      <c r="Y111" s="2"/>
      <c r="Z111" s="2"/>
      <c r="AA111" s="2"/>
      <c r="AB111" s="2"/>
      <c r="AC111" s="2"/>
    </row>
    <row r="112" ht="15.75" customHeight="1">
      <c r="A112" s="45">
        <v>4.0</v>
      </c>
      <c r="B112" s="45" t="str">
        <f t="shared" si="10"/>
        <v>#NAME?</v>
      </c>
      <c r="C112" s="45">
        <f t="shared" si="11"/>
        <v>6</v>
      </c>
      <c r="D112" s="75">
        <v>46179.0</v>
      </c>
      <c r="E112" s="75">
        <v>46179.0</v>
      </c>
      <c r="F112" s="45"/>
      <c r="G112" s="45" t="s">
        <v>675</v>
      </c>
      <c r="H112" s="61" t="s">
        <v>676</v>
      </c>
      <c r="I112" s="72"/>
      <c r="J112" s="72">
        <v>1.0</v>
      </c>
      <c r="K112" s="72">
        <f t="shared" si="7"/>
        <v>429512</v>
      </c>
      <c r="L112" s="77" t="s">
        <v>41</v>
      </c>
      <c r="M112" s="77" t="s">
        <v>47</v>
      </c>
      <c r="N112" s="64"/>
      <c r="O112" s="77" t="s">
        <v>60</v>
      </c>
      <c r="P112" s="30" t="s">
        <v>47</v>
      </c>
      <c r="Q112" s="77" t="s">
        <v>50</v>
      </c>
      <c r="R112" s="30"/>
      <c r="S112" s="30"/>
      <c r="T112" s="30"/>
      <c r="U112" s="30"/>
      <c r="V112" s="30"/>
      <c r="W112" s="30" t="str">
        <f t="shared" si="12"/>
        <v>Being amount transferred internally from Dwarkadhis Projects Pvt L-MAHBH00654782285 to YES CR FREE 2477 vide NEFT Cr-MAHB0001461-DWARKADHIS PROJECTS PRIVA (Business Unit: HO) (Head: Internal) (Type: Internal)</v>
      </c>
      <c r="X112" s="2"/>
      <c r="Y112" s="2"/>
      <c r="Z112" s="2"/>
      <c r="AA112" s="2"/>
      <c r="AB112" s="2"/>
      <c r="AC112" s="2"/>
    </row>
    <row r="113" ht="15.75" customHeight="1">
      <c r="A113" s="45">
        <v>3.0</v>
      </c>
      <c r="B113" s="45" t="str">
        <f t="shared" si="10"/>
        <v>#NAME?</v>
      </c>
      <c r="C113" s="45">
        <f t="shared" si="11"/>
        <v>6</v>
      </c>
      <c r="D113" s="111">
        <v>46178.0</v>
      </c>
      <c r="E113" s="111">
        <v>46178.0</v>
      </c>
      <c r="F113" s="45"/>
      <c r="G113" s="45" t="s">
        <v>681</v>
      </c>
      <c r="H113" s="61" t="s">
        <v>682</v>
      </c>
      <c r="I113" s="72"/>
      <c r="J113" s="72">
        <v>210000.0</v>
      </c>
      <c r="K113" s="72">
        <f t="shared" si="7"/>
        <v>429511</v>
      </c>
      <c r="L113" s="77" t="s">
        <v>41</v>
      </c>
      <c r="M113" s="77" t="s">
        <v>47</v>
      </c>
      <c r="N113" s="64"/>
      <c r="O113" s="77" t="s">
        <v>60</v>
      </c>
      <c r="P113" s="30" t="s">
        <v>47</v>
      </c>
      <c r="Q113" s="77" t="s">
        <v>50</v>
      </c>
      <c r="R113" s="30"/>
      <c r="S113" s="30"/>
      <c r="T113" s="30"/>
      <c r="U113" s="30"/>
      <c r="V113" s="30"/>
      <c r="W113" s="30" t="str">
        <f t="shared" si="12"/>
        <v>Being amount transferred internally from Dwarkadhis Projects Pvt L-MAHBH00554694381 to YES CR FREE 2477 vide NEFT Cr-MAHB0001461-DWARKADHIS PROJECTS PRIVA (Business Unit: HO) (Head: Internal) (Type: Internal)</v>
      </c>
      <c r="X113" s="2"/>
      <c r="Y113" s="2"/>
      <c r="Z113" s="2"/>
      <c r="AA113" s="2"/>
      <c r="AB113" s="2"/>
      <c r="AC113" s="2"/>
    </row>
    <row r="114" ht="15.75" customHeight="1">
      <c r="A114" s="45">
        <v>2.0</v>
      </c>
      <c r="B114" s="45" t="str">
        <f t="shared" si="10"/>
        <v>#NAME?</v>
      </c>
      <c r="C114" s="45">
        <f t="shared" si="11"/>
        <v>6</v>
      </c>
      <c r="D114" s="111">
        <v>46178.0</v>
      </c>
      <c r="E114" s="111">
        <v>46178.0</v>
      </c>
      <c r="F114" s="45"/>
      <c r="G114" s="45" t="s">
        <v>127</v>
      </c>
      <c r="H114" s="61" t="s">
        <v>688</v>
      </c>
      <c r="I114" s="72"/>
      <c r="J114" s="72">
        <v>219511.0</v>
      </c>
      <c r="K114" s="72">
        <f t="shared" si="7"/>
        <v>219511</v>
      </c>
      <c r="L114" s="77" t="s">
        <v>45</v>
      </c>
      <c r="M114" s="77" t="s">
        <v>47</v>
      </c>
      <c r="N114" s="64"/>
      <c r="O114" s="77" t="s">
        <v>60</v>
      </c>
      <c r="P114" s="30" t="s">
        <v>51</v>
      </c>
      <c r="Q114" s="77" t="s">
        <v>50</v>
      </c>
      <c r="R114" s="30"/>
      <c r="S114" s="30"/>
      <c r="T114" s="30"/>
      <c r="U114" s="30"/>
      <c r="V114" s="30"/>
      <c r="W114" s="30" t="str">
        <f t="shared" si="12"/>
        <v>Being amount transferred internally from 045563200000264 to YES CR FREE 2477 vide YIB-TPT-DWARKADHIS PROJECTS PRIVATE LIMITED IN CIRP (Business Unit: Casa Romana) (Head: Internal) (Type: Master to Free)</v>
      </c>
      <c r="X114" s="2"/>
      <c r="Y114" s="2"/>
      <c r="Z114" s="2"/>
      <c r="AA114" s="2"/>
      <c r="AB114" s="2"/>
      <c r="AC114" s="2"/>
    </row>
    <row r="115" ht="15.75" customHeight="1">
      <c r="A115" s="45">
        <v>1.0</v>
      </c>
      <c r="B115" s="45"/>
      <c r="C115" s="45">
        <f t="shared" si="11"/>
        <v>4</v>
      </c>
      <c r="D115" s="75">
        <v>46113.0</v>
      </c>
      <c r="E115" s="75">
        <v>46113.0</v>
      </c>
      <c r="F115" s="45"/>
      <c r="G115" s="45" t="s">
        <v>692</v>
      </c>
      <c r="H115" s="61"/>
      <c r="I115" s="72"/>
      <c r="J115" s="112">
        <v>0.0</v>
      </c>
      <c r="K115" s="112">
        <v>0.0</v>
      </c>
      <c r="L115" s="77"/>
      <c r="M115" s="77"/>
      <c r="N115" s="64"/>
      <c r="O115" s="77"/>
      <c r="P115" s="30"/>
      <c r="Q115" s="77"/>
      <c r="R115" s="30"/>
      <c r="S115" s="30"/>
      <c r="T115" s="30"/>
      <c r="U115" s="30"/>
      <c r="V115" s="30"/>
      <c r="W115" s="30"/>
      <c r="X115" s="2"/>
      <c r="Y115" s="2"/>
      <c r="Z115" s="2"/>
      <c r="AA115" s="2"/>
      <c r="AB115" s="2"/>
      <c r="AC115" s="2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C$114"/>
  <customSheetViews>
    <customSheetView guid="{349BE81A-EADF-4EC0-BA06-361C2A3477E7}" filter="1" showAutoFilter="1">
      <autoFilter ref="$A$2:$W$115">
        <filterColumn colId="9">
          <filters>
            <filter val="27,435"/>
            <filter val="200,117"/>
            <filter val="100,000"/>
            <filter val="246,927"/>
            <filter val="300,000"/>
            <filter val="6,00,000"/>
            <filter val="85,127"/>
            <filter val="68,240"/>
            <filter val="67,500"/>
            <filter val="219,511"/>
            <filter val="3,00,000"/>
            <filter val="106,092"/>
            <filter val="118,510"/>
            <filter val="7,500"/>
            <filter val="210,000"/>
            <filter val="182,799"/>
            <filter val="60,000"/>
            <filter val="30,000"/>
            <filter val="14,700"/>
            <filter val="16,133"/>
            <filter val="20,479"/>
            <filter val="700,000"/>
            <filter val="49,426"/>
            <filter val="54,510"/>
            <filter val="82,500"/>
            <filter val="200,000"/>
            <filter val="102,789"/>
            <filter val="0"/>
            <filter val="99,576"/>
            <filter val="1,03,199"/>
            <filter val="500,000"/>
            <filter val="15,000"/>
            <filter val="45,000"/>
          </filters>
        </filterColumn>
      </autoFilter>
      <extLst>
        <ext uri="GoogleSheetsCustomDataVersion1">
          <go:sheetsCustomData xmlns:go="http://customooxmlschemas.google.com/" filterViewId="1006553950"/>
        </ext>
      </extLst>
    </customSheetView>
  </customSheetViews>
  <conditionalFormatting sqref="K1:K115 O37 X5:X37">
    <cfRule type="expression" dxfId="1" priority="1">
      <formula>O:O="Entry"</formula>
    </cfRule>
  </conditionalFormatting>
  <conditionalFormatting sqref="K1:K115 O37 X5:X37">
    <cfRule type="expression" dxfId="0" priority="2">
      <formula>O:O="Reco"</formula>
    </cfRule>
  </conditionalFormatting>
  <conditionalFormatting sqref="X35">
    <cfRule type="expression" dxfId="1" priority="3">
      <formula>Q:Q="eNTRY"</formula>
    </cfRule>
  </conditionalFormatting>
  <conditionalFormatting sqref="X35">
    <cfRule type="expression" dxfId="0" priority="4">
      <formula>Q:Q="Reco"</formula>
    </cfRule>
  </conditionalFormatting>
  <conditionalFormatting sqref="X37">
    <cfRule type="expression" dxfId="1" priority="5">
      <formula>O:O="Entry"</formula>
    </cfRule>
  </conditionalFormatting>
  <conditionalFormatting sqref="X37">
    <cfRule type="expression" dxfId="0" priority="6">
      <formula>O:O="Reco"</formula>
    </cfRule>
  </conditionalFormatting>
  <conditionalFormatting sqref="X38">
    <cfRule type="expression" dxfId="0" priority="7">
      <formula>Q:Q="Reco"</formula>
    </cfRule>
  </conditionalFormatting>
  <conditionalFormatting sqref="X38">
    <cfRule type="expression" dxfId="1" priority="8">
      <formula>Q:Q="Entry"</formula>
    </cfRule>
  </conditionalFormatting>
  <dataValidations>
    <dataValidation type="list" allowBlank="1" showErrorMessage="1" sqref="L3:M115 P3:Q115">
      <formula1>#REF!</formula1>
    </dataValidation>
    <dataValidation type="list" allowBlank="1" sqref="O3:O115">
      <formula1>"Reco,Suspense,Entry,Reverse Entry,Pending"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4.88"/>
    <col customWidth="1" min="2" max="3" width="7.5"/>
    <col customWidth="1" min="4" max="4" width="13.13"/>
    <col customWidth="1" min="5" max="5" width="10.13"/>
    <col customWidth="1" min="6" max="6" width="8.63"/>
    <col customWidth="1" min="7" max="7" width="36.5"/>
    <col customWidth="1" min="8" max="8" width="17.63"/>
    <col customWidth="1" min="10" max="11" width="13.0"/>
    <col customWidth="1" min="12" max="12" width="8.63"/>
    <col customWidth="1" min="13" max="13" width="13.88"/>
    <col customWidth="1" min="14" max="14" width="8.63"/>
    <col customWidth="1" min="15" max="15" width="6.63"/>
    <col customWidth="1" min="16" max="16" width="12.5"/>
    <col customWidth="1" min="21" max="21" width="12.63"/>
    <col customWidth="1" min="22" max="22" width="16.0"/>
    <col customWidth="1" min="23" max="23" width="25.63"/>
  </cols>
  <sheetData>
    <row r="1" ht="15.75" customHeight="1">
      <c r="A1" s="85"/>
      <c r="B1" s="86"/>
      <c r="C1" s="86" t="s">
        <v>567</v>
      </c>
      <c r="D1" s="36" t="s">
        <v>568</v>
      </c>
      <c r="E1" s="87"/>
      <c r="F1" s="87">
        <v>6.0245906905E10</v>
      </c>
      <c r="G1" s="88" t="s">
        <v>570</v>
      </c>
      <c r="H1" s="89"/>
      <c r="I1" s="90">
        <f t="shared" ref="I1:J1" si="1">SUBTOTAL(9,I3:I72)</f>
        <v>4436476.23</v>
      </c>
      <c r="J1" s="90">
        <f t="shared" si="1"/>
        <v>5057638.31</v>
      </c>
      <c r="K1" s="92">
        <f>J1-I1</f>
        <v>621162.08</v>
      </c>
      <c r="L1" s="36"/>
      <c r="M1" s="5" t="s">
        <v>3</v>
      </c>
      <c r="N1" s="6">
        <v>46251.0</v>
      </c>
      <c r="O1" s="93"/>
      <c r="P1" s="36"/>
      <c r="Q1" s="36"/>
      <c r="R1" s="36"/>
      <c r="S1" s="36"/>
      <c r="T1" s="36"/>
      <c r="U1" s="36"/>
      <c r="V1" s="36"/>
      <c r="W1" s="36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1" t="str">
        <f>'YES Master 0264'!D2</f>
        <v>TXN DATE</v>
      </c>
      <c r="E2" s="11" t="str">
        <f>'YES Master 0264'!E2</f>
        <v>VALUE DATE</v>
      </c>
      <c r="F2" s="11" t="str">
        <f>'YES Master 0264'!F2</f>
        <v>TYPE</v>
      </c>
      <c r="G2" s="11" t="str">
        <f>'YES Master 0264'!G2</f>
        <v>DESCRIPTION</v>
      </c>
      <c r="H2" s="11" t="str">
        <f>'YES Master 0264'!H2</f>
        <v>REFERENCE</v>
      </c>
      <c r="I2" s="19" t="str">
        <f>'YES Master 0264'!I2</f>
        <v>DEBITS</v>
      </c>
      <c r="J2" s="19" t="str">
        <f>'YES Master 0264'!J2</f>
        <v>CREDITS</v>
      </c>
      <c r="K2" s="19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11" t="str">
        <f>'YES Master 0264'!P2</f>
        <v>TYPE FOR RERA IDW</v>
      </c>
      <c r="Q2" s="11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11" t="str">
        <f>'YES Master 0264'!W2</f>
        <v>NARRATION</v>
      </c>
    </row>
    <row r="3" ht="15.75" customHeight="1">
      <c r="A3" s="36">
        <v>1.0</v>
      </c>
      <c r="B3" s="94"/>
      <c r="C3" s="94">
        <f>MONTH(D3)</f>
        <v>4</v>
      </c>
      <c r="D3" s="95">
        <v>46113.0</v>
      </c>
      <c r="E3" s="95">
        <f t="shared" ref="E3:E66" si="2">D3</f>
        <v>46113</v>
      </c>
      <c r="F3" s="96"/>
      <c r="G3" s="97" t="s">
        <v>579</v>
      </c>
      <c r="H3" s="98"/>
      <c r="I3" s="99"/>
      <c r="J3" s="99">
        <v>47445.01</v>
      </c>
      <c r="K3" s="99">
        <f>J3</f>
        <v>47445.01</v>
      </c>
      <c r="L3" s="62" t="s">
        <v>41</v>
      </c>
      <c r="M3" s="62"/>
      <c r="N3" s="63"/>
      <c r="O3" s="62"/>
      <c r="P3" s="30" t="s">
        <v>516</v>
      </c>
      <c r="Q3" s="63"/>
      <c r="R3" s="100"/>
      <c r="S3" s="100"/>
      <c r="T3" s="100"/>
      <c r="U3" s="101"/>
      <c r="V3" s="30"/>
      <c r="W3" s="30"/>
    </row>
    <row r="4" ht="15.75" customHeight="1">
      <c r="A4" s="36">
        <v>2.0</v>
      </c>
      <c r="B4" s="56" t="str">
        <f t="shared" ref="B4:B68" si="3">IF(D4="","?",_xludf.IFS(
    MONTH(D4)&lt;=3,"Q4",
    MONTH(D4)&lt;=6,"Q1",
    MONTH(D4)&lt;=9,"Q2",
    TRUE,"Q3"
))</f>
        <v>#NAME?</v>
      </c>
      <c r="C4" s="94">
        <v>4.0</v>
      </c>
      <c r="D4" s="95">
        <v>46116.0</v>
      </c>
      <c r="E4" s="95">
        <f t="shared" si="2"/>
        <v>46116</v>
      </c>
      <c r="F4" s="96" t="s">
        <v>583</v>
      </c>
      <c r="G4" s="97" t="s">
        <v>584</v>
      </c>
      <c r="H4" s="98">
        <v>6.09499021382E11</v>
      </c>
      <c r="I4" s="99"/>
      <c r="J4" s="99">
        <v>120000.0</v>
      </c>
      <c r="K4" s="99">
        <f t="shared" ref="K4:K68" si="4">K3+J4-I4</f>
        <v>167445.01</v>
      </c>
      <c r="L4" s="62" t="s">
        <v>211</v>
      </c>
      <c r="M4" s="62" t="s">
        <v>47</v>
      </c>
      <c r="N4" s="63"/>
      <c r="O4" s="62" t="s">
        <v>60</v>
      </c>
      <c r="P4" s="30" t="s">
        <v>213</v>
      </c>
      <c r="Q4" s="63" t="s">
        <v>50</v>
      </c>
      <c r="R4" s="100"/>
      <c r="S4" s="100"/>
      <c r="T4" s="100"/>
      <c r="U4" s="101" t="s">
        <v>75</v>
      </c>
      <c r="V4" s="30"/>
      <c r="W4" s="30" t="str">
        <f>IFERROR(__xludf.DUMMYFUNCTION("LET(ref,IF(ISBLANK(H4),""N/A"",H4),apt,IF(ISBLANK(T4),"""","" | Apt#: ""&amp;T4),payee,TRIM(IFERROR(REGEXEXTRACT(SUBSTITUTE(G4,CHAR(10),"" ""),""(?i)(?:NEFT|RTGS)\s+[A-Z0-9]+\s+(.+?)\s+[A-Z]{4}0[A-Z0-9]{6}""),IFERROR(REGEXEXTRACT(SUBSTITUTE(G4,CHAR(10),"" "")"&amp;",""(?i)TO\s+(?:[0-9]+\s+TRANSFER TO\s+[0-9]+\s+TO\s+)?(.+)$""),G4))),IF(ISBLANK(U4),""Remarks Compulsory For Narration"",TRIM(IF(M4=""Internal"",IF(ISNUMBER(SEARCH(""DWARKADHIS"",G4)),IF(I4&gt;0,""Internal Fund Transfer (From xHTRA to BOM 905)"",""Internal F"&amp;"und Transfer (From BOM 905 to xHTRA)"")&amp;"" | Ref: ""&amp;ref&amp;"" | Type: ""&amp;P4&amp;"" | BU: ""&amp;L4&amp;"" | Head: ""&amp;M4,""Internal Transfer | Ref: ""&amp;ref&amp;"" | Type: ""&amp;P4&amp;"" | BU: ""&amp;L4&amp;"" | Head: ""&amp;M4),IF(N(J4)&gt;0,IF(P4=""Customer Collection"",""Receipt Credit (Collec"&amp;"tion) ""&amp;apt&amp;"" | Ref: ""&amp;ref&amp;"" | From: ""&amp;IF(ISNUMBER(SEARCH(""SOHNA ROAD"",G4)),""Sohna Road"",""Party"")&amp;"" | BU: ""&amp;L4,""Receipt Credit from x""&amp;RIGHT(IFERROR(MID(G4,FIND(""-"",SUBSTITUTE(G4,""-"",""-"",3))+1,LEN(G4)),""0000""),4)&amp;"" (Purpose: ""&amp;IF("&amp;"OR(ISBLANK(U4),U4=""N/A""),L4,U4)&amp;"") ""&amp;apt&amp;"" | Ref: ""&amp;ref&amp;"" | BU: ""&amp;L4&amp;"" | Head: ""&amp;M4),""Payment Disbursement (Purpose: ""&amp;IF(ISNUMBER(SEARCH(""salary"",M4)),""Salary"",U4)&amp;"") | To: ""&amp;payee&amp;"" | Ref: ""&amp;ref&amp;"" | BU: ""&amp;L4&amp;"" | Head: ""&amp;M4&amp;apt)))"&amp;"))"),"Internal Fund Transfer (From BOM 905 to xHTRA) | Ref: 609499021382 | Type: AH - CR | BU: Aravali Heights | Head: Internal")</f>
        <v>Internal Fund Transfer (From BOM 905 to xHTRA) | Ref: 609499021382 | Type: AH - CR | BU: Aravali Heights | Head: Internal</v>
      </c>
    </row>
    <row r="5" ht="15.75" customHeight="1">
      <c r="A5" s="36">
        <v>3.0</v>
      </c>
      <c r="B5" s="56" t="str">
        <f t="shared" si="3"/>
        <v>#NAME?</v>
      </c>
      <c r="C5" s="94">
        <f t="shared" ref="C5:C68" si="5">MONTH(D5)</f>
        <v>4</v>
      </c>
      <c r="D5" s="95">
        <v>46116.0</v>
      </c>
      <c r="E5" s="95">
        <f t="shared" si="2"/>
        <v>46116</v>
      </c>
      <c r="F5" s="96" t="s">
        <v>591</v>
      </c>
      <c r="G5" s="97" t="s">
        <v>593</v>
      </c>
      <c r="H5" s="98"/>
      <c r="I5" s="99">
        <v>110000.0</v>
      </c>
      <c r="J5" s="99"/>
      <c r="K5" s="99">
        <f t="shared" si="4"/>
        <v>57445.01</v>
      </c>
      <c r="L5" s="62" t="s">
        <v>45</v>
      </c>
      <c r="M5" s="62" t="s">
        <v>47</v>
      </c>
      <c r="N5" s="63"/>
      <c r="O5" s="62" t="s">
        <v>60</v>
      </c>
      <c r="P5" s="30" t="s">
        <v>74</v>
      </c>
      <c r="Q5" s="63" t="s">
        <v>50</v>
      </c>
      <c r="R5" s="100"/>
      <c r="S5" s="100"/>
      <c r="T5" s="100"/>
      <c r="U5" s="101" t="s">
        <v>75</v>
      </c>
      <c r="V5" s="30"/>
      <c r="W5" s="30" t="str">
        <f>IFERROR(__xludf.DUMMYFUNCTION("LET(ref,IF(ISBLANK(H5),""N/A"",H5),apt,IF(ISBLANK(T5),"""","" | Apt#: ""&amp;T5),payee,TRIM(IFERROR(REGEXEXTRACT(SUBSTITUTE(G5,CHAR(10),"" ""),""(?i)(?:NEFT|RTGS)\s+[A-Z0-9]+\s+(.+?)\s+[A-Z]{4}0[A-Z0-9]{6}""),IFERROR(REGEXEXTRACT(SUBSTITUTE(G5,CHAR(10),"" "")"&amp;",""(?i)TO\s+(?:[0-9]+\s+TRANSFER TO\s+[0-9]+\s+TO\s+)?(.+)$""),G5))),IF(ISBLANK(U5),""Remarks Compulsory For Narration"",TRIM(IF(M5=""Internal"",IF(ISNUMBER(SEARCH(""DWARKADHIS"",G5)),IF(I5&gt;0,""Internal Fund Transfer (From xHTRA to BOM 905)"",""Internal F"&amp;"und Transfer (From BOM 905 to xHTRA)"")&amp;"" | Ref: ""&amp;ref&amp;"" | Type: ""&amp;P5&amp;"" | BU: ""&amp;L5&amp;"" | Head: ""&amp;M5,""Internal Transfer | Ref: ""&amp;ref&amp;"" | Type: ""&amp;P5&amp;"" | BU: ""&amp;L5&amp;"" | Head: ""&amp;M5),IF(N(J5)&gt;0,IF(P5=""Customer Collection"",""Receipt Credit (Collec"&amp;"tion) ""&amp;apt&amp;"" | Ref: ""&amp;ref&amp;"" | From: ""&amp;IF(ISNUMBER(SEARCH(""SOHNA ROAD"",G5)),""Sohna Road"",""Party"")&amp;"" | BU: ""&amp;L5,""Receipt Credit from x""&amp;RIGHT(IFERROR(MID(G5,FIND(""-"",SUBSTITUTE(G5,""-"",""-"",3))+1,LEN(G5)),""0000""),4)&amp;"" (Purpose: ""&amp;IF("&amp;"OR(ISBLANK(U5),U5=""N/A""),L5,U5)&amp;"") ""&amp;apt&amp;"" | Ref: ""&amp;ref&amp;"" | BU: ""&amp;L5&amp;"" | Head: ""&amp;M5),""Payment Disbursement (Purpose: ""&amp;IF(ISNUMBER(SEARCH(""salary"",M5)),""Salary"",U5)&amp;"") | To: ""&amp;payee&amp;"" | Ref: ""&amp;ref&amp;"" | BU: ""&amp;L5&amp;"" | Head: ""&amp;M5&amp;apt)))"&amp;"))"),"Internal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6" ht="15.75" customHeight="1">
      <c r="A6" s="36">
        <v>4.0</v>
      </c>
      <c r="B6" s="56" t="str">
        <f t="shared" si="3"/>
        <v>#NAME?</v>
      </c>
      <c r="C6" s="94">
        <f t="shared" si="5"/>
        <v>4</v>
      </c>
      <c r="D6" s="95">
        <v>46118.0</v>
      </c>
      <c r="E6" s="95">
        <f t="shared" si="2"/>
        <v>46118</v>
      </c>
      <c r="F6" s="96" t="s">
        <v>591</v>
      </c>
      <c r="G6" s="97" t="s">
        <v>600</v>
      </c>
      <c r="H6" s="98"/>
      <c r="I6" s="99"/>
      <c r="J6" s="99">
        <v>110000.0</v>
      </c>
      <c r="K6" s="99">
        <f t="shared" si="4"/>
        <v>167445.01</v>
      </c>
      <c r="L6" s="62" t="s">
        <v>211</v>
      </c>
      <c r="M6" s="62" t="s">
        <v>47</v>
      </c>
      <c r="N6" s="63"/>
      <c r="O6" s="62" t="s">
        <v>60</v>
      </c>
      <c r="P6" s="30" t="s">
        <v>213</v>
      </c>
      <c r="Q6" s="63" t="s">
        <v>50</v>
      </c>
      <c r="R6" s="100"/>
      <c r="S6" s="100"/>
      <c r="T6" s="100"/>
      <c r="U6" s="101" t="s">
        <v>75</v>
      </c>
      <c r="V6" s="30"/>
      <c r="W6" s="30" t="str">
        <f>IFERROR(__xludf.DUMMYFUNCTION("LET(ref,IF(ISBLANK(H6),""N/A"",H6),apt,IF(ISBLANK(T6),"""","" | Apt#: ""&amp;T6),payee,TRIM(IFERROR(REGEXEXTRACT(SUBSTITUTE(G6,CHAR(10),"" ""),""(?i)(?:NEFT|RTGS)\s+[A-Z0-9]+\s+(.+?)\s+[A-Z]{4}0[A-Z0-9]{6}""),IFERROR(REGEXEXTRACT(SUBSTITUTE(G6,CHAR(10),"" "")"&amp;",""(?i)TO\s+(?:[0-9]+\s+TRANSFER TO\s+[0-9]+\s+TO\s+)?(.+)$""),G6))),IF(ISBLANK(U6),""Remarks Compulsory For Narration"",TRIM(IF(M6=""Internal"",IF(ISNUMBER(SEARCH(""DWARKADHIS"",G6)),IF(I6&gt;0,""Internal Fund Transfer (From xHTRA to BOM 905)"",""Internal F"&amp;"und Transfer (From BOM 905 to xHTRA)"")&amp;"" | Ref: ""&amp;ref&amp;"" | Type: ""&amp;P6&amp;"" | BU: ""&amp;L6&amp;"" | Head: ""&amp;M6,""Internal Transfer | Ref: ""&amp;ref&amp;"" | Type: ""&amp;P6&amp;"" | BU: ""&amp;L6&amp;"" | Head: ""&amp;M6),IF(N(J6)&gt;0,IF(P6=""Customer Collection"",""Receipt Credit (Collec"&amp;"tion) ""&amp;apt&amp;"" | Ref: ""&amp;ref&amp;"" | From: ""&amp;IF(ISNUMBER(SEARCH(""SOHNA ROAD"",G6)),""Sohna Road"",""Party"")&amp;"" | BU: ""&amp;L6,""Receipt Credit from x""&amp;RIGHT(IFERROR(MID(G6,FIND(""-"",SUBSTITUTE(G6,""-"",""-"",3))+1,LEN(G6)),""0000""),4)&amp;"" (Purpose: ""&amp;IF("&amp;"OR(ISBLANK(U6),U6=""N/A""),L6,U6)&amp;"") ""&amp;apt&amp;"" | Ref: ""&amp;ref&amp;"" | BU: ""&amp;L6&amp;"" | Head: ""&amp;M6),""Payment Disbursement (Purpose: ""&amp;IF(ISNUMBER(SEARCH(""salary"",M6)),""Salary"",U6)&amp;"") | To: ""&amp;payee&amp;"" | Ref: ""&amp;ref&amp;"" | BU: ""&amp;L6&amp;"" | Head: ""&amp;M6&amp;apt)))"&amp;"))"),"Internal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7" ht="15.75" customHeight="1">
      <c r="A7" s="36">
        <v>5.0</v>
      </c>
      <c r="B7" s="56" t="str">
        <f t="shared" si="3"/>
        <v>#NAME?</v>
      </c>
      <c r="C7" s="94">
        <f t="shared" si="5"/>
        <v>4</v>
      </c>
      <c r="D7" s="95">
        <v>46118.0</v>
      </c>
      <c r="E7" s="95">
        <f t="shared" si="2"/>
        <v>46118</v>
      </c>
      <c r="F7" s="96" t="s">
        <v>591</v>
      </c>
      <c r="G7" s="97" t="s">
        <v>605</v>
      </c>
      <c r="H7" s="98"/>
      <c r="I7" s="99">
        <v>100000.0</v>
      </c>
      <c r="J7" s="99"/>
      <c r="K7" s="99">
        <f t="shared" si="4"/>
        <v>67445.01</v>
      </c>
      <c r="L7" s="62" t="s">
        <v>45</v>
      </c>
      <c r="M7" s="62" t="s">
        <v>47</v>
      </c>
      <c r="N7" s="63"/>
      <c r="O7" s="62" t="s">
        <v>60</v>
      </c>
      <c r="P7" s="30" t="s">
        <v>74</v>
      </c>
      <c r="Q7" s="63" t="s">
        <v>50</v>
      </c>
      <c r="R7" s="100"/>
      <c r="S7" s="100"/>
      <c r="T7" s="100"/>
      <c r="U7" s="101" t="s">
        <v>75</v>
      </c>
      <c r="V7" s="30"/>
      <c r="W7" s="30" t="str">
        <f>IFERROR(__xludf.DUMMYFUNCTION("LET(ref,IF(ISBLANK(H7),""N/A"",H7),apt,IF(ISBLANK(T7),"""","" | Apt#: ""&amp;T7),payee,TRIM(IFERROR(REGEXEXTRACT(SUBSTITUTE(G7,CHAR(10),"" ""),""(?i)(?:NEFT|RTGS)\s+[A-Z0-9]+\s+(.+?)\s+[A-Z]{4}0[A-Z0-9]{6}""),IFERROR(REGEXEXTRACT(SUBSTITUTE(G7,CHAR(10),"" "")"&amp;",""(?i)TO\s+(?:[0-9]+\s+TRANSFER TO\s+[0-9]+\s+TO\s+)?(.+)$""),G7))),IF(ISBLANK(U7),""Remarks Compulsory For Narration"",TRIM(IF(M7=""Internal"",IF(ISNUMBER(SEARCH(""DWARKADHIS"",G7)),IF(I7&gt;0,""Internal Fund Transfer (From xHTRA to BOM 905)"",""Internal F"&amp;"und Transfer (From BOM 905 to xHTRA)"")&amp;"" | Ref: ""&amp;ref&amp;"" | Type: ""&amp;P7&amp;"" | BU: ""&amp;L7&amp;"" | Head: ""&amp;M7,""Internal Transfer | Ref: ""&amp;ref&amp;"" | Type: ""&amp;P7&amp;"" | BU: ""&amp;L7&amp;"" | Head: ""&amp;M7),IF(N(J7)&gt;0,IF(P7=""Customer Collection"",""Receipt Credit (Collec"&amp;"tion) ""&amp;apt&amp;"" | Ref: ""&amp;ref&amp;"" | From: ""&amp;IF(ISNUMBER(SEARCH(""SOHNA ROAD"",G7)),""Sohna Road"",""Party"")&amp;"" | BU: ""&amp;L7,""Receipt Credit from x""&amp;RIGHT(IFERROR(MID(G7,FIND(""-"",SUBSTITUTE(G7,""-"",""-"",3))+1,LEN(G7)),""0000""),4)&amp;"" (Purpose: ""&amp;IF("&amp;"OR(ISBLANK(U7),U7=""N/A""),L7,U7)&amp;"") ""&amp;apt&amp;"" | Ref: ""&amp;ref&amp;"" | BU: ""&amp;L7&amp;"" | Head: ""&amp;M7),""Payment Disbursement (Purpose: ""&amp;IF(ISNUMBER(SEARCH(""salary"",M7)),""Salary"",U7)&amp;"") | To: ""&amp;payee&amp;"" | Ref: ""&amp;ref&amp;"" | BU: ""&amp;L7&amp;"" | Head: ""&amp;M7&amp;apt)))"&amp;"))"),"Internal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8" ht="15.75" customHeight="1">
      <c r="A8" s="36">
        <v>6.0</v>
      </c>
      <c r="B8" s="56" t="str">
        <f t="shared" si="3"/>
        <v>#NAME?</v>
      </c>
      <c r="C8" s="94">
        <f t="shared" si="5"/>
        <v>4</v>
      </c>
      <c r="D8" s="95">
        <v>46120.0</v>
      </c>
      <c r="E8" s="95">
        <f t="shared" si="2"/>
        <v>46120</v>
      </c>
      <c r="F8" s="96" t="s">
        <v>591</v>
      </c>
      <c r="G8" s="97" t="s">
        <v>608</v>
      </c>
      <c r="H8" s="98"/>
      <c r="I8" s="99">
        <v>150.0</v>
      </c>
      <c r="J8" s="99"/>
      <c r="K8" s="99">
        <f t="shared" si="4"/>
        <v>67295.01</v>
      </c>
      <c r="L8" s="62" t="s">
        <v>41</v>
      </c>
      <c r="M8" s="62" t="s">
        <v>328</v>
      </c>
      <c r="N8" s="63"/>
      <c r="O8" s="62" t="s">
        <v>60</v>
      </c>
      <c r="P8" s="30" t="s">
        <v>43</v>
      </c>
      <c r="Q8" s="63" t="s">
        <v>329</v>
      </c>
      <c r="R8" s="100"/>
      <c r="S8" s="100"/>
      <c r="T8" s="100"/>
      <c r="U8" s="101" t="s">
        <v>328</v>
      </c>
      <c r="V8" s="30"/>
      <c r="W8" s="30" t="str">
        <f>IFERROR(__xludf.DUMMYFUNCTION("LET(ref,IF(ISBLANK(H8),""N/A"",H8),apt,IF(ISBLANK(T8),"""","" | Apt#: ""&amp;T8),payee,TRIM(IFERROR(REGEXEXTRACT(SUBSTITUTE(G8,CHAR(10),"" ""),""(?i)(?:NEFT|RTGS)\s+[A-Z0-9]+\s+(.+?)\s+[A-Z]{4}0[A-Z0-9]{6}""),IFERROR(REGEXEXTRACT(SUBSTITUTE(G8,CHAR(10),"" "")"&amp;",""(?i)TO\s+(?:[0-9]+\s+TRANSFER TO\s+[0-9]+\s+TO\s+)?(.+)$""),G8))),IF(ISBLANK(U8),""Remarks Compulsory For Narration"",TRIM(IF(M8=""Internal"",IF(ISNUMBER(SEARCH(""DWARKADHIS"",G8)),IF(I8&gt;0,""Internal Fund Transfer (From xHTRA to BOM 905)"",""Internal F"&amp;"und Transfer (From BOM 905 to xHTRA)"")&amp;"" | Ref: ""&amp;ref&amp;"" | Type: ""&amp;P8&amp;"" | BU: ""&amp;L8&amp;"" | Head: ""&amp;M8,""Internal Transfer | Ref: ""&amp;ref&amp;"" | Type: ""&amp;P8&amp;"" | BU: ""&amp;L8&amp;"" | Head: ""&amp;M8),IF(N(J8)&gt;0,IF(P8=""Customer Collection"",""Receipt Credit (Collec"&amp;"tion) ""&amp;apt&amp;"" | Ref: ""&amp;ref&amp;"" | From: ""&amp;IF(ISNUMBER(SEARCH(""SOHNA ROAD"",G8)),""Sohna Road"",""Party"")&amp;"" | BU: ""&amp;L8,""Receipt Credit from x""&amp;RIGHT(IFERROR(MID(G8,FIND(""-"",SUBSTITUTE(G8,""-"",""-"",3))+1,LEN(G8)),""0000""),4)&amp;"" (Purpose: ""&amp;IF("&amp;"OR(ISBLANK(U8),U8=""N/A""),L8,U8)&amp;"") ""&amp;apt&amp;"" | Ref: ""&amp;ref&amp;"" | BU: ""&amp;L8&amp;"" | Head: ""&amp;M8),""Payment Disbursement (Purpose: ""&amp;IF(ISNUMBER(SEARCH(""salary"",M8)),""Salary"",U8)&amp;"") | To: ""&amp;payee&amp;"" | Ref: ""&amp;ref&amp;"" | BU: ""&amp;L8&amp;"" | Head: ""&amp;M8&amp;apt)))"&amp;"))"),"Payment Disbursement (Purpose: Bank Charges) | To: LF CHG CA AC | Ref: N/A | BU: HO | Head: Bank Charges")</f>
        <v>Payment Disbursement (Purpose: Bank Charges) | To: LF CHG CA AC | Ref: N/A | BU: HO | Head: Bank Charges</v>
      </c>
    </row>
    <row r="9" ht="15.75" customHeight="1">
      <c r="A9" s="36">
        <v>7.0</v>
      </c>
      <c r="B9" s="56" t="str">
        <f t="shared" si="3"/>
        <v>#NAME?</v>
      </c>
      <c r="C9" s="94">
        <f t="shared" si="5"/>
        <v>4</v>
      </c>
      <c r="D9" s="95">
        <v>46120.0</v>
      </c>
      <c r="E9" s="95">
        <f t="shared" si="2"/>
        <v>46120</v>
      </c>
      <c r="F9" s="96" t="s">
        <v>591</v>
      </c>
      <c r="G9" s="97" t="s">
        <v>612</v>
      </c>
      <c r="H9" s="98"/>
      <c r="I9" s="99">
        <v>27.0</v>
      </c>
      <c r="J9" s="99"/>
      <c r="K9" s="99">
        <f t="shared" si="4"/>
        <v>67268.01</v>
      </c>
      <c r="L9" s="62" t="s">
        <v>41</v>
      </c>
      <c r="M9" s="62" t="s">
        <v>328</v>
      </c>
      <c r="N9" s="63"/>
      <c r="O9" s="62" t="s">
        <v>60</v>
      </c>
      <c r="P9" s="30" t="s">
        <v>43</v>
      </c>
      <c r="Q9" s="63" t="s">
        <v>329</v>
      </c>
      <c r="R9" s="100"/>
      <c r="S9" s="100"/>
      <c r="T9" s="100"/>
      <c r="U9" s="101" t="s">
        <v>330</v>
      </c>
      <c r="V9" s="30"/>
      <c r="W9" s="30" t="str">
        <f>IFERROR(__xludf.DUMMYFUNCTION("LET(ref,IF(ISBLANK(H9),""N/A"",H9),apt,IF(ISBLANK(T9),"""","" | Apt#: ""&amp;T9),payee,TRIM(IFERROR(REGEXEXTRACT(SUBSTITUTE(G9,CHAR(10),"" ""),""(?i)(?:NEFT|RTGS)\s+[A-Z0-9]+\s+(.+?)\s+[A-Z]{4}0[A-Z0-9]{6}""),IFERROR(REGEXEXTRACT(SUBSTITUTE(G9,CHAR(10),"" "")"&amp;",""(?i)TO\s+(?:[0-9]+\s+TRANSFER TO\s+[0-9]+\s+TO\s+)?(.+)$""),G9))),IF(ISBLANK(U9),""Remarks Compulsory For Narration"",TRIM(IF(M9=""Internal"",IF(ISNUMBER(SEARCH(""DWARKADHIS"",G9)),IF(I9&gt;0,""Internal Fund Transfer (From xHTRA to BOM 905)"",""Internal F"&amp;"und Transfer (From BOM 905 to xHTRA)"")&amp;"" | Ref: ""&amp;ref&amp;"" | Type: ""&amp;P9&amp;"" | BU: ""&amp;L9&amp;"" | Head: ""&amp;M9,""Internal Transfer | Ref: ""&amp;ref&amp;"" | Type: ""&amp;P9&amp;"" | BU: ""&amp;L9&amp;"" | Head: ""&amp;M9),IF(N(J9)&gt;0,IF(P9=""Customer Collection"",""Receipt Credit (Collec"&amp;"tion) ""&amp;apt&amp;"" | Ref: ""&amp;ref&amp;"" | From: ""&amp;IF(ISNUMBER(SEARCH(""SOHNA ROAD"",G9)),""Sohna Road"",""Party"")&amp;"" | BU: ""&amp;L9,""Receipt Credit from x""&amp;RIGHT(IFERROR(MID(G9,FIND(""-"",SUBSTITUTE(G9,""-"",""-"",3))+1,LEN(G9)),""0000""),4)&amp;"" (Purpose: ""&amp;IF("&amp;"OR(ISBLANK(U9),U9=""N/A""),L9,U9)&amp;"") ""&amp;apt&amp;"" | Ref: ""&amp;ref&amp;"" | BU: ""&amp;L9&amp;"" | Head: ""&amp;M9),""Payment Disbursement (Purpose: ""&amp;IF(ISNUMBER(SEARCH(""salary"",M9)),""Salary"",U9)&amp;"") | To: ""&amp;payee&amp;"" | Ref: ""&amp;ref&amp;"" | BU: ""&amp;L9&amp;"" | Head: ""&amp;M9&amp;apt)))"&amp;"))"),"Payment Disbursement (Purpose: GST On Bank Charges) | To: GST | Ref: N/A | BU: HO | Head: Bank Charges")</f>
        <v>Payment Disbursement (Purpose: GST On Bank Charges) | To: GST | Ref: N/A | BU: HO | Head: Bank Charges</v>
      </c>
    </row>
    <row r="10" ht="15.75" customHeight="1">
      <c r="A10" s="36">
        <v>8.0</v>
      </c>
      <c r="B10" s="56" t="str">
        <f t="shared" si="3"/>
        <v>#NAME?</v>
      </c>
      <c r="C10" s="94">
        <f t="shared" si="5"/>
        <v>4</v>
      </c>
      <c r="D10" s="95">
        <v>46123.0</v>
      </c>
      <c r="E10" s="95">
        <f t="shared" si="2"/>
        <v>46123</v>
      </c>
      <c r="F10" s="96" t="s">
        <v>591</v>
      </c>
      <c r="G10" s="97" t="s">
        <v>618</v>
      </c>
      <c r="H10" s="98"/>
      <c r="I10" s="99"/>
      <c r="J10" s="99">
        <v>150000.0</v>
      </c>
      <c r="K10" s="99">
        <f t="shared" si="4"/>
        <v>217268.01</v>
      </c>
      <c r="L10" s="62" t="s">
        <v>211</v>
      </c>
      <c r="M10" s="62" t="s">
        <v>47</v>
      </c>
      <c r="N10" s="63"/>
      <c r="O10" s="62" t="s">
        <v>60</v>
      </c>
      <c r="P10" s="30" t="s">
        <v>213</v>
      </c>
      <c r="Q10" s="63" t="s">
        <v>50</v>
      </c>
      <c r="R10" s="100"/>
      <c r="S10" s="100"/>
      <c r="T10" s="100"/>
      <c r="U10" s="101" t="s">
        <v>75</v>
      </c>
      <c r="V10" s="30"/>
      <c r="W10" s="30" t="str">
        <f>IFERROR(__xludf.DUMMYFUNCTION("LET(ref,IF(ISBLANK(H10),""N/A"",H10),apt,IF(ISBLANK(T10),"""","" | Apt#: ""&amp;T10),payee,TRIM(IFERROR(REGEXEXTRACT(SUBSTITUTE(G10,CHAR(10),"" ""),""(?i)(?:NEFT|RTGS)\s+[A-Z0-9]+\s+(.+?)\s+[A-Z]{4}0[A-Z0-9]{6}""),IFERROR(REGEXEXTRACT(SUBSTITUTE(G10,CHAR(10),"&amp;""" ""),""(?i)TO\s+(?:[0-9]+\s+TRANSFER TO\s+[0-9]+\s+TO\s+)?(.+)$""),G10))),IF(ISBLANK(U10),""Remarks Compulsory For Narration"",TRIM(IF(M10=""Internal"",IF(ISNUMBER(SEARCH(""DWARKADHIS"",G10)),IF(I10&gt;0,""Internal Fund Transfer (From xHTRA to BOM 905)"","&amp;"""Internal Fund Transfer (From BOM 905 to xHTRA)"")&amp;"" | Ref: ""&amp;ref&amp;"" | Type: ""&amp;P10&amp;"" | BU: ""&amp;L10&amp;"" | Head: ""&amp;M10,""Internal Transfer | Ref: ""&amp;ref&amp;"" | Type: ""&amp;P10&amp;"" | BU: ""&amp;L10&amp;"" | Head: ""&amp;M10),IF(N(J10)&gt;0,IF(P10=""Customer Collection"",""Re"&amp;"ceipt Credit (Collection) ""&amp;apt&amp;"" | Ref: ""&amp;ref&amp;"" | From: ""&amp;IF(ISNUMBER(SEARCH(""SOHNA ROAD"",G10)),""Sohna Road"",""Party"")&amp;"" | BU: ""&amp;L10,""Receipt Credit from x""&amp;RIGHT(IFERROR(MID(G10,FIND(""-"",SUBSTITUTE(G10,""-"",""-"",3))+1,LEN(G10)),""0000"&amp;"""),4)&amp;"" (Purpose: ""&amp;IF(OR(ISBLANK(U10),U10=""N/A""),L10,U10)&amp;"") ""&amp;apt&amp;"" | Ref: ""&amp;ref&amp;"" | BU: ""&amp;L10&amp;"" | Head: ""&amp;M10),""Payment Disbursement (Purpose: ""&amp;IF(ISNUMBER(SEARCH(""salary"",M10)),""Salary"",U10)&amp;"") | To: ""&amp;payee&amp;"" | Ref: ""&amp;ref&amp;"" |"&amp;" BU: ""&amp;L10&amp;"" | Head: ""&amp;M10&amp;apt)))))"),"Internal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11" ht="15.75" customHeight="1">
      <c r="A11" s="36">
        <v>9.0</v>
      </c>
      <c r="B11" s="56" t="str">
        <f t="shared" si="3"/>
        <v>#NAME?</v>
      </c>
      <c r="C11" s="94">
        <f t="shared" si="5"/>
        <v>4</v>
      </c>
      <c r="D11" s="95">
        <v>46123.0</v>
      </c>
      <c r="E11" s="95">
        <f t="shared" si="2"/>
        <v>46123</v>
      </c>
      <c r="F11" s="96" t="s">
        <v>591</v>
      </c>
      <c r="G11" s="97" t="s">
        <v>623</v>
      </c>
      <c r="H11" s="98"/>
      <c r="I11" s="99">
        <v>150000.0</v>
      </c>
      <c r="J11" s="99"/>
      <c r="K11" s="99">
        <f t="shared" si="4"/>
        <v>67268.01</v>
      </c>
      <c r="L11" s="62" t="s">
        <v>45</v>
      </c>
      <c r="M11" s="62" t="s">
        <v>47</v>
      </c>
      <c r="N11" s="63"/>
      <c r="O11" s="62" t="s">
        <v>60</v>
      </c>
      <c r="P11" s="30" t="s">
        <v>74</v>
      </c>
      <c r="Q11" s="63" t="s">
        <v>50</v>
      </c>
      <c r="R11" s="100"/>
      <c r="S11" s="100"/>
      <c r="T11" s="100"/>
      <c r="U11" s="101" t="s">
        <v>75</v>
      </c>
      <c r="V11" s="30"/>
      <c r="W11" s="30" t="str">
        <f>IFERROR(__xludf.DUMMYFUNCTION("LET(ref,IF(ISBLANK(H11),""N/A"",H11),apt,IF(ISBLANK(T11),"""","" | Apt#: ""&amp;T11),payee,TRIM(IFERROR(REGEXEXTRACT(SUBSTITUTE(G11,CHAR(10),"" ""),""(?i)(?:NEFT|RTGS)\s+[A-Z0-9]+\s+(.+?)\s+[A-Z]{4}0[A-Z0-9]{6}""),IFERROR(REGEXEXTRACT(SUBSTITUTE(G11,CHAR(10),"&amp;""" ""),""(?i)TO\s+(?:[0-9]+\s+TRANSFER TO\s+[0-9]+\s+TO\s+)?(.+)$""),G11))),IF(ISBLANK(U11),""Remarks Compulsory For Narration"",TRIM(IF(M11=""Internal"",IF(ISNUMBER(SEARCH(""DWARKADHIS"",G11)),IF(I11&gt;0,""Internal Fund Transfer (From xHTRA to BOM 905)"","&amp;"""Internal Fund Transfer (From BOM 905 to xHTRA)"")&amp;"" | Ref: ""&amp;ref&amp;"" | Type: ""&amp;P11&amp;"" | BU: ""&amp;L11&amp;"" | Head: ""&amp;M11,""Internal Transfer | Ref: ""&amp;ref&amp;"" | Type: ""&amp;P11&amp;"" | BU: ""&amp;L11&amp;"" | Head: ""&amp;M11),IF(N(J11)&gt;0,IF(P11=""Customer Collection"",""Re"&amp;"ceipt Credit (Collection) ""&amp;apt&amp;"" | Ref: ""&amp;ref&amp;"" | From: ""&amp;IF(ISNUMBER(SEARCH(""SOHNA ROAD"",G11)),""Sohna Road"",""Party"")&amp;"" | BU: ""&amp;L11,""Receipt Credit from x""&amp;RIGHT(IFERROR(MID(G11,FIND(""-"",SUBSTITUTE(G11,""-"",""-"",3))+1,LEN(G11)),""0000"&amp;"""),4)&amp;"" (Purpose: ""&amp;IF(OR(ISBLANK(U11),U11=""N/A""),L11,U11)&amp;"") ""&amp;apt&amp;"" | Ref: ""&amp;ref&amp;"" | BU: ""&amp;L11&amp;"" | Head: ""&amp;M11),""Payment Disbursement (Purpose: ""&amp;IF(ISNUMBER(SEARCH(""salary"",M11)),""Salary"",U11)&amp;"") | To: ""&amp;payee&amp;"" | Ref: ""&amp;ref&amp;"" |"&amp;" BU: ""&amp;L11&amp;"" | Head: ""&amp;M11&amp;apt)))))"),"Internal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12" ht="15.75" customHeight="1">
      <c r="A12" s="36">
        <v>10.0</v>
      </c>
      <c r="B12" s="56" t="str">
        <f t="shared" si="3"/>
        <v>#NAME?</v>
      </c>
      <c r="C12" s="94">
        <f t="shared" si="5"/>
        <v>4</v>
      </c>
      <c r="D12" s="95">
        <v>46125.0</v>
      </c>
      <c r="E12" s="95">
        <f t="shared" si="2"/>
        <v>46125</v>
      </c>
      <c r="F12" s="96" t="s">
        <v>591</v>
      </c>
      <c r="G12" s="97" t="s">
        <v>628</v>
      </c>
      <c r="H12" s="98"/>
      <c r="I12" s="99"/>
      <c r="J12" s="99">
        <v>49770.0</v>
      </c>
      <c r="K12" s="99">
        <f t="shared" si="4"/>
        <v>117038.01</v>
      </c>
      <c r="L12" s="62" t="s">
        <v>45</v>
      </c>
      <c r="M12" s="62" t="s">
        <v>47</v>
      </c>
      <c r="N12" s="63"/>
      <c r="O12" s="62" t="s">
        <v>60</v>
      </c>
      <c r="P12" s="30" t="s">
        <v>47</v>
      </c>
      <c r="Q12" s="63" t="s">
        <v>50</v>
      </c>
      <c r="R12" s="100"/>
      <c r="S12" s="100"/>
      <c r="T12" s="100"/>
      <c r="U12" s="101" t="s">
        <v>75</v>
      </c>
      <c r="V12" s="30"/>
      <c r="W12" s="30" t="str">
        <f>IFERROR(__xludf.DUMMYFUNCTION("LET(ref,IF(ISBLANK(H12),""N/A"",H12),apt,IF(ISBLANK(T12),"""","" | Apt#: ""&amp;T12),payee,TRIM(IFERROR(REGEXEXTRACT(SUBSTITUTE(G12,CHAR(10),"" ""),""(?i)(?:NEFT|RTGS)\s+[A-Z0-9]+\s+(.+?)\s+[A-Z]{4}0[A-Z0-9]{6}""),IFERROR(REGEXEXTRACT(SUBSTITUTE(G12,CHAR(10),"&amp;""" ""),""(?i)TO\s+(?:[0-9]+\s+TRANSFER TO\s+[0-9]+\s+TO\s+)?(.+)$""),G12))),IF(ISBLANK(U12),""Remarks Compulsory For Narration"",TRIM(IF(M12=""Internal"",IF(ISNUMBER(SEARCH(""DWARKADHIS"",G12)),IF(I12&gt;0,""Internal Fund Transfer (From xHTRA to BOM 905)"","&amp;"""Internal Fund Transfer (From BOM 905 to xHTRA)"")&amp;"" | Ref: ""&amp;ref&amp;"" | Type: ""&amp;P12&amp;"" | BU: ""&amp;L12&amp;"" | Head: ""&amp;M12,""Internal Transfer | Ref: ""&amp;ref&amp;"" | Type: ""&amp;P12&amp;"" | BU: ""&amp;L12&amp;"" | Head: ""&amp;M12),IF(N(J12)&gt;0,IF(P12=""Customer Collection"",""Re"&amp;"ceipt Credit (Collection) ""&amp;apt&amp;"" | Ref: ""&amp;ref&amp;"" | From: ""&amp;IF(ISNUMBER(SEARCH(""SOHNA ROAD"",G12)),""Sohna Road"",""Party"")&amp;"" | BU: ""&amp;L12,""Receipt Credit from x""&amp;RIGHT(IFERROR(MID(G12,FIND(""-"",SUBSTITUTE(G12,""-"",""-"",3))+1,LEN(G12)),""0000"&amp;"""),4)&amp;"" (Purpose: ""&amp;IF(OR(ISBLANK(U12),U12=""N/A""),L12,U12)&amp;"") ""&amp;apt&amp;"" | Ref: ""&amp;ref&amp;"" | BU: ""&amp;L12&amp;"" | Head: ""&amp;M12),""Payment Disbursement (Purpose: ""&amp;IF(ISNUMBER(SEARCH(""salary"",M12)),""Salary"",U12)&amp;"") | To: ""&amp;payee&amp;"" | Ref: ""&amp;ref&amp;"" |"&amp;" BU: ""&amp;L12&amp;"" | Head: ""&amp;M12&amp;apt)))))"),"Internal Fund Transfer (From BOM 905 to xHTRA) | Ref: N/A | Type: Internal | BU: Casa Romana | Head: Internal")</f>
        <v>Internal Fund Transfer (From BOM 905 to xHTRA) | Ref: N/A | Type: Internal | BU: Casa Romana | Head: Internal</v>
      </c>
    </row>
    <row r="13" ht="15.75" customHeight="1">
      <c r="A13" s="36">
        <v>11.0</v>
      </c>
      <c r="B13" s="56" t="str">
        <f t="shared" si="3"/>
        <v>#NAME?</v>
      </c>
      <c r="C13" s="94">
        <f t="shared" si="5"/>
        <v>4</v>
      </c>
      <c r="D13" s="95">
        <v>46126.0</v>
      </c>
      <c r="E13" s="95">
        <f t="shared" si="2"/>
        <v>46126</v>
      </c>
      <c r="F13" s="96" t="s">
        <v>591</v>
      </c>
      <c r="G13" s="97" t="s">
        <v>633</v>
      </c>
      <c r="H13" s="98"/>
      <c r="I13" s="99">
        <v>52194.0</v>
      </c>
      <c r="J13" s="99"/>
      <c r="K13" s="99">
        <f t="shared" si="4"/>
        <v>64844.01</v>
      </c>
      <c r="L13" s="62" t="s">
        <v>45</v>
      </c>
      <c r="M13" s="62" t="s">
        <v>634</v>
      </c>
      <c r="N13" s="63"/>
      <c r="O13" s="62" t="s">
        <v>60</v>
      </c>
      <c r="P13" s="30" t="s">
        <v>43</v>
      </c>
      <c r="Q13" s="63" t="s">
        <v>44</v>
      </c>
      <c r="R13" s="100"/>
      <c r="S13" s="100"/>
      <c r="T13" s="100"/>
      <c r="U13" s="101" t="s">
        <v>637</v>
      </c>
      <c r="V13" s="30"/>
      <c r="W13" s="30" t="str">
        <f>IFERROR(__xludf.DUMMYFUNCTION("LET(ref,IF(ISBLANK(H13),""N/A"",H13),apt,IF(ISBLANK(T13),"""","" | Apt#: ""&amp;T13),payee,TRIM(IFERROR(REGEXEXTRACT(SUBSTITUTE(G13,CHAR(10),"" ""),""(?i)(?:NEFT|RTGS)\s+[A-Z0-9]+\s+(.+?)\s+[A-Z]{4}0[A-Z0-9]{6}""),IFERROR(REGEXEXTRACT(SUBSTITUTE(G13,CHAR(10),"&amp;""" ""),""(?i)TO\s+(?:[0-9]+\s+TRANSFER TO\s+[0-9]+\s+TO\s+)?(.+)$""),G13))),IF(ISBLANK(U13),""Remarks Compulsory For Narration"",TRIM(IF(M13=""Internal"",IF(ISNUMBER(SEARCH(""DWARKADHIS"",G13)),IF(I13&gt;0,""Internal Fund Transfer (From xHTRA to BOM 905)"","&amp;"""Internal Fund Transfer (From BOM 905 to xHTRA)"")&amp;"" | Ref: ""&amp;ref&amp;"" | Type: ""&amp;P13&amp;"" | BU: ""&amp;L13&amp;"" | Head: ""&amp;M13,""Internal Transfer | Ref: ""&amp;ref&amp;"" | Type: ""&amp;P13&amp;"" | BU: ""&amp;L13&amp;"" | Head: ""&amp;M13),IF(N(J13)&gt;0,IF(P13=""Customer Collection"",""Re"&amp;"ceipt Credit (Collection) ""&amp;apt&amp;"" | Ref: ""&amp;ref&amp;"" | From: ""&amp;IF(ISNUMBER(SEARCH(""SOHNA ROAD"",G13)),""Sohna Road"",""Party"")&amp;"" | BU: ""&amp;L13,""Receipt Credit from x""&amp;RIGHT(IFERROR(MID(G13,FIND(""-"",SUBSTITUTE(G13,""-"",""-"",3))+1,LEN(G13)),""0000"&amp;"""),4)&amp;"" (Purpose: ""&amp;IF(OR(ISBLANK(U13),U13=""N/A""),L13,U13)&amp;"") ""&amp;apt&amp;"" | Ref: ""&amp;ref&amp;"" | BU: ""&amp;L13&amp;"" | Head: ""&amp;M13),""Payment Disbursement (Purpose: ""&amp;IF(ISNUMBER(SEARCH(""salary"",M13)),""Salary"",U13)&amp;"") | To: ""&amp;payee&amp;"" | Ref: ""&amp;ref&amp;"" |"&amp;" BU: ""&amp;L13&amp;"" | Head: ""&amp;M13&amp;apt)))))"),"Payment Disbursement (Purpose: EPF) | To: EMPLOYEES PROVIDENT FUND ORGANISATION | Ref: N/A | BU: Casa Romana | Head: EPF/ESI")</f>
        <v>Payment Disbursement (Purpose: EPF) | To: EMPLOYEES PROVIDENT FUND ORGANISATION | Ref: N/A | BU: Casa Romana | Head: EPF/ESI</v>
      </c>
    </row>
    <row r="14" ht="15.75" customHeight="1">
      <c r="A14" s="36">
        <v>12.0</v>
      </c>
      <c r="B14" s="56" t="str">
        <f t="shared" si="3"/>
        <v>#NAME?</v>
      </c>
      <c r="C14" s="94">
        <f t="shared" si="5"/>
        <v>4</v>
      </c>
      <c r="D14" s="95">
        <v>46126.0</v>
      </c>
      <c r="E14" s="95">
        <f t="shared" si="2"/>
        <v>46126</v>
      </c>
      <c r="F14" s="96" t="s">
        <v>591</v>
      </c>
      <c r="G14" s="97" t="s">
        <v>640</v>
      </c>
      <c r="H14" s="98"/>
      <c r="I14" s="99">
        <v>140.0</v>
      </c>
      <c r="J14" s="99"/>
      <c r="K14" s="99">
        <f t="shared" si="4"/>
        <v>64704.01</v>
      </c>
      <c r="L14" s="62" t="s">
        <v>45</v>
      </c>
      <c r="M14" s="62" t="s">
        <v>634</v>
      </c>
      <c r="N14" s="63"/>
      <c r="O14" s="62" t="s">
        <v>60</v>
      </c>
      <c r="P14" s="30" t="s">
        <v>43</v>
      </c>
      <c r="Q14" s="63" t="s">
        <v>44</v>
      </c>
      <c r="R14" s="100"/>
      <c r="S14" s="100"/>
      <c r="T14" s="100"/>
      <c r="U14" s="101" t="s">
        <v>637</v>
      </c>
      <c r="V14" s="30"/>
      <c r="W14" s="30" t="str">
        <f>IFERROR(__xludf.DUMMYFUNCTION("LET(ref,IF(ISBLANK(H14),""N/A"",H14),apt,IF(ISBLANK(T14),"""","" | Apt#: ""&amp;T14),payee,TRIM(IFERROR(REGEXEXTRACT(SUBSTITUTE(G14,CHAR(10),"" ""),""(?i)(?:NEFT|RTGS)\s+[A-Z0-9]+\s+(.+?)\s+[A-Z]{4}0[A-Z0-9]{6}""),IFERROR(REGEXEXTRACT(SUBSTITUTE(G14,CHAR(10),"&amp;""" ""),""(?i)TO\s+(?:[0-9]+\s+TRANSFER TO\s+[0-9]+\s+TO\s+)?(.+)$""),G14))),IF(ISBLANK(U14),""Remarks Compulsory For Narration"",TRIM(IF(M14=""Internal"",IF(ISNUMBER(SEARCH(""DWARKADHIS"",G14)),IF(I14&gt;0,""Internal Fund Transfer (From xHTRA to BOM 905)"","&amp;"""Internal Fund Transfer (From BOM 905 to xHTRA)"")&amp;"" | Ref: ""&amp;ref&amp;"" | Type: ""&amp;P14&amp;"" | BU: ""&amp;L14&amp;"" | Head: ""&amp;M14,""Internal Transfer | Ref: ""&amp;ref&amp;"" | Type: ""&amp;P14&amp;"" | BU: ""&amp;L14&amp;"" | Head: ""&amp;M14),IF(N(J14)&gt;0,IF(P14=""Customer Collection"",""Re"&amp;"ceipt Credit (Collection) ""&amp;apt&amp;"" | Ref: ""&amp;ref&amp;"" | From: ""&amp;IF(ISNUMBER(SEARCH(""SOHNA ROAD"",G14)),""Sohna Road"",""Party"")&amp;"" | BU: ""&amp;L14,""Receipt Credit from x""&amp;RIGHT(IFERROR(MID(G14,FIND(""-"",SUBSTITUTE(G14,""-"",""-"",3))+1,LEN(G14)),""0000"&amp;"""),4)&amp;"" (Purpose: ""&amp;IF(OR(ISBLANK(U14),U14=""N/A""),L14,U14)&amp;"") ""&amp;apt&amp;"" | Ref: ""&amp;ref&amp;"" | BU: ""&amp;L14&amp;"" | Head: ""&amp;M14),""Payment Disbursement (Purpose: ""&amp;IF(ISNUMBER(SEARCH(""salary"",M14)),""Salary"",U14)&amp;"") | To: ""&amp;payee&amp;"" | Ref: ""&amp;ref&amp;"" |"&amp;" BU: ""&amp;L14&amp;"" | Head: ""&amp;M14&amp;apt)))))"),"Payment Disbursement (Purpose: EPF) | To: BILLDESK | Ref: N/A | BU: Casa Romana | Head: EPF/ESI")</f>
        <v>Payment Disbursement (Purpose: EPF) | To: BILLDESK | Ref: N/A | BU: Casa Romana | Head: EPF/ESI</v>
      </c>
    </row>
    <row r="15" ht="15.75" customHeight="1">
      <c r="A15" s="36">
        <v>13.0</v>
      </c>
      <c r="B15" s="56" t="str">
        <f t="shared" si="3"/>
        <v>#NAME?</v>
      </c>
      <c r="C15" s="94">
        <f t="shared" si="5"/>
        <v>4</v>
      </c>
      <c r="D15" s="95">
        <v>46126.0</v>
      </c>
      <c r="E15" s="95">
        <f t="shared" si="2"/>
        <v>46126</v>
      </c>
      <c r="F15" s="96" t="s">
        <v>591</v>
      </c>
      <c r="G15" s="97" t="s">
        <v>646</v>
      </c>
      <c r="H15" s="98"/>
      <c r="I15" s="99">
        <v>5144.0</v>
      </c>
      <c r="J15" s="99"/>
      <c r="K15" s="99">
        <f t="shared" si="4"/>
        <v>59560.01</v>
      </c>
      <c r="L15" s="62" t="s">
        <v>45</v>
      </c>
      <c r="M15" s="62" t="s">
        <v>634</v>
      </c>
      <c r="N15" s="63"/>
      <c r="O15" s="62" t="s">
        <v>60</v>
      </c>
      <c r="P15" s="30" t="s">
        <v>43</v>
      </c>
      <c r="Q15" s="63" t="s">
        <v>44</v>
      </c>
      <c r="R15" s="100"/>
      <c r="S15" s="100"/>
      <c r="T15" s="100"/>
      <c r="U15" s="101" t="s">
        <v>637</v>
      </c>
      <c r="V15" s="30"/>
      <c r="W15" s="30" t="str">
        <f>IFERROR(__xludf.DUMMYFUNCTION("LET(ref,IF(ISBLANK(H15),""N/A"",H15),apt,IF(ISBLANK(T15),"""","" | Apt#: ""&amp;T15),payee,TRIM(IFERROR(REGEXEXTRACT(SUBSTITUTE(G15,CHAR(10),"" ""),""(?i)(?:NEFT|RTGS)\s+[A-Z0-9]+\s+(.+?)\s+[A-Z]{4}0[A-Z0-9]{6}""),IFERROR(REGEXEXTRACT(SUBSTITUTE(G15,CHAR(10),"&amp;""" ""),""(?i)TO\s+(?:[0-9]+\s+TRANSFER TO\s+[0-9]+\s+TO\s+)?(.+)$""),G15))),IF(ISBLANK(U15),""Remarks Compulsory For Narration"",TRIM(IF(M15=""Internal"",IF(ISNUMBER(SEARCH(""DWARKADHIS"",G15)),IF(I15&gt;0,""Internal Fund Transfer (From xHTRA to BOM 905)"","&amp;"""Internal Fund Transfer (From BOM 905 to xHTRA)"")&amp;"" | Ref: ""&amp;ref&amp;"" | Type: ""&amp;P15&amp;"" | BU: ""&amp;L15&amp;"" | Head: ""&amp;M15,""Internal Transfer | Ref: ""&amp;ref&amp;"" | Type: ""&amp;P15&amp;"" | BU: ""&amp;L15&amp;"" | Head: ""&amp;M15),IF(N(J15)&gt;0,IF(P15=""Customer Collection"",""Re"&amp;"ceipt Credit (Collection) ""&amp;apt&amp;"" | Ref: ""&amp;ref&amp;"" | From: ""&amp;IF(ISNUMBER(SEARCH(""SOHNA ROAD"",G15)),""Sohna Road"",""Party"")&amp;"" | BU: ""&amp;L15,""Receipt Credit from x""&amp;RIGHT(IFERROR(MID(G15,FIND(""-"",SUBSTITUTE(G15,""-"",""-"",3))+1,LEN(G15)),""0000"&amp;"""),4)&amp;"" (Purpose: ""&amp;IF(OR(ISBLANK(U15),U15=""N/A""),L15,U15)&amp;"") ""&amp;apt&amp;"" | Ref: ""&amp;ref&amp;"" | BU: ""&amp;L15&amp;"" | Head: ""&amp;M15),""Payment Disbursement (Purpose: ""&amp;IF(ISNUMBER(SEARCH(""salary"",M15)),""Salary"",U15)&amp;"") | To: ""&amp;payee&amp;"" | Ref: ""&amp;ref&amp;"" |"&amp;" BU: ""&amp;L15&amp;"" | Head: ""&amp;M15&amp;apt)))))"),"Payment Disbursement (Purpose: EPF) | To: BILLDESK | Ref: N/A | BU: Casa Romana | Head: EPF/ESI")</f>
        <v>Payment Disbursement (Purpose: EPF) | To: BILLDESK | Ref: N/A | BU: Casa Romana | Head: EPF/ESI</v>
      </c>
    </row>
    <row r="16" ht="15.75" customHeight="1">
      <c r="A16" s="36">
        <v>14.0</v>
      </c>
      <c r="B16" s="56" t="str">
        <f t="shared" si="3"/>
        <v>#NAME?</v>
      </c>
      <c r="C16" s="94">
        <f t="shared" si="5"/>
        <v>4</v>
      </c>
      <c r="D16" s="95">
        <v>46126.0</v>
      </c>
      <c r="E16" s="95">
        <f t="shared" si="2"/>
        <v>46126</v>
      </c>
      <c r="F16" s="96" t="s">
        <v>591</v>
      </c>
      <c r="G16" s="97" t="s">
        <v>652</v>
      </c>
      <c r="H16" s="98"/>
      <c r="I16" s="99"/>
      <c r="J16" s="99">
        <v>100000.0</v>
      </c>
      <c r="K16" s="99">
        <f t="shared" si="4"/>
        <v>159560.01</v>
      </c>
      <c r="L16" s="62" t="s">
        <v>211</v>
      </c>
      <c r="M16" s="62" t="s">
        <v>47</v>
      </c>
      <c r="N16" s="63"/>
      <c r="O16" s="62" t="s">
        <v>60</v>
      </c>
      <c r="P16" s="30" t="s">
        <v>213</v>
      </c>
      <c r="Q16" s="63" t="s">
        <v>50</v>
      </c>
      <c r="R16" s="100"/>
      <c r="S16" s="100"/>
      <c r="T16" s="100"/>
      <c r="U16" s="101" t="s">
        <v>75</v>
      </c>
      <c r="V16" s="30"/>
      <c r="W16" s="30" t="str">
        <f>IFERROR(__xludf.DUMMYFUNCTION("LET(ref,IF(ISBLANK(H16),""N/A"",H16),apt,IF(ISBLANK(T16),"""","" | Apt#: ""&amp;T16),payee,TRIM(IFERROR(REGEXEXTRACT(SUBSTITUTE(G16,CHAR(10),"" ""),""(?i)(?:NEFT|RTGS)\s+[A-Z0-9]+\s+(.+?)\s+[A-Z]{4}0[A-Z0-9]{6}""),IFERROR(REGEXEXTRACT(SUBSTITUTE(G16,CHAR(10),"&amp;""" ""),""(?i)TO\s+(?:[0-9]+\s+TRANSFER TO\s+[0-9]+\s+TO\s+)?(.+)$""),G16))),IF(ISBLANK(U16),""Remarks Compulsory For Narration"",TRIM(IF(M16=""Internal"",IF(ISNUMBER(SEARCH(""DWARKADHIS"",G16)),IF(I16&gt;0,""Internal Fund Transfer (From xHTRA to BOM 905)"","&amp;"""Internal Fund Transfer (From BOM 905 to xHTRA)"")&amp;"" | Ref: ""&amp;ref&amp;"" | Type: ""&amp;P16&amp;"" | BU: ""&amp;L16&amp;"" | Head: ""&amp;M16,""Internal Transfer | Ref: ""&amp;ref&amp;"" | Type: ""&amp;P16&amp;"" | BU: ""&amp;L16&amp;"" | Head: ""&amp;M16),IF(N(J16)&gt;0,IF(P16=""Customer Collection"",""Re"&amp;"ceipt Credit (Collection) ""&amp;apt&amp;"" | Ref: ""&amp;ref&amp;"" | From: ""&amp;IF(ISNUMBER(SEARCH(""SOHNA ROAD"",G16)),""Sohna Road"",""Party"")&amp;"" | BU: ""&amp;L16,""Receipt Credit from x""&amp;RIGHT(IFERROR(MID(G16,FIND(""-"",SUBSTITUTE(G16,""-"",""-"",3))+1,LEN(G16)),""0000"&amp;"""),4)&amp;"" (Purpose: ""&amp;IF(OR(ISBLANK(U16),U16=""N/A""),L16,U16)&amp;"") ""&amp;apt&amp;"" | Ref: ""&amp;ref&amp;"" | BU: ""&amp;L16&amp;"" | Head: ""&amp;M16),""Payment Disbursement (Purpose: ""&amp;IF(ISNUMBER(SEARCH(""salary"",M16)),""Salary"",U16)&amp;"") | To: ""&amp;payee&amp;"" | Ref: ""&amp;ref&amp;"" |"&amp;" BU: ""&amp;L16&amp;"" | Head: ""&amp;M16&amp;apt)))))"),"Internal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17" ht="15.75" customHeight="1">
      <c r="A17" s="36">
        <v>15.0</v>
      </c>
      <c r="B17" s="56" t="str">
        <f t="shared" si="3"/>
        <v>#NAME?</v>
      </c>
      <c r="C17" s="94">
        <f t="shared" si="5"/>
        <v>4</v>
      </c>
      <c r="D17" s="95">
        <v>46126.0</v>
      </c>
      <c r="E17" s="95">
        <f t="shared" si="2"/>
        <v>46126</v>
      </c>
      <c r="F17" s="96" t="s">
        <v>591</v>
      </c>
      <c r="G17" s="97" t="s">
        <v>659</v>
      </c>
      <c r="H17" s="98"/>
      <c r="I17" s="99">
        <v>100000.0</v>
      </c>
      <c r="J17" s="99"/>
      <c r="K17" s="99">
        <f t="shared" si="4"/>
        <v>59560.01</v>
      </c>
      <c r="L17" s="62" t="s">
        <v>45</v>
      </c>
      <c r="M17" s="62" t="s">
        <v>47</v>
      </c>
      <c r="N17" s="63"/>
      <c r="O17" s="62" t="s">
        <v>60</v>
      </c>
      <c r="P17" s="30" t="s">
        <v>74</v>
      </c>
      <c r="Q17" s="63" t="s">
        <v>50</v>
      </c>
      <c r="R17" s="100"/>
      <c r="S17" s="100"/>
      <c r="T17" s="100"/>
      <c r="U17" s="101" t="s">
        <v>75</v>
      </c>
      <c r="V17" s="30"/>
      <c r="W17" s="30" t="str">
        <f>IFERROR(__xludf.DUMMYFUNCTION("LET(ref,IF(ISBLANK(H17),""N/A"",H17),apt,IF(ISBLANK(T17),"""","" | Apt#: ""&amp;T17),payee,TRIM(IFERROR(REGEXEXTRACT(SUBSTITUTE(G17,CHAR(10),"" ""),""(?i)(?:NEFT|RTGS)\s+[A-Z0-9]+\s+(.+?)\s+[A-Z]{4}0[A-Z0-9]{6}""),IFERROR(REGEXEXTRACT(SUBSTITUTE(G17,CHAR(10),"&amp;""" ""),""(?i)TO\s+(?:[0-9]+\s+TRANSFER TO\s+[0-9]+\s+TO\s+)?(.+)$""),G17))),IF(ISBLANK(U17),""Remarks Compulsory For Narration"",TRIM(IF(M17=""Internal"",IF(ISNUMBER(SEARCH(""DWARKADHIS"",G17)),IF(I17&gt;0,""Internal Fund Transfer (From xHTRA to BOM 905)"","&amp;"""Internal Fund Transfer (From BOM 905 to xHTRA)"")&amp;"" | Ref: ""&amp;ref&amp;"" | Type: ""&amp;P17&amp;"" | BU: ""&amp;L17&amp;"" | Head: ""&amp;M17,""Internal Transfer | Ref: ""&amp;ref&amp;"" | Type: ""&amp;P17&amp;"" | BU: ""&amp;L17&amp;"" | Head: ""&amp;M17),IF(N(J17)&gt;0,IF(P17=""Customer Collection"",""Re"&amp;"ceipt Credit (Collection) ""&amp;apt&amp;"" | Ref: ""&amp;ref&amp;"" | From: ""&amp;IF(ISNUMBER(SEARCH(""SOHNA ROAD"",G17)),""Sohna Road"",""Party"")&amp;"" | BU: ""&amp;L17,""Receipt Credit from x""&amp;RIGHT(IFERROR(MID(G17,FIND(""-"",SUBSTITUTE(G17,""-"",""-"",3))+1,LEN(G17)),""0000"&amp;"""),4)&amp;"" (Purpose: ""&amp;IF(OR(ISBLANK(U17),U17=""N/A""),L17,U17)&amp;"") ""&amp;apt&amp;"" | Ref: ""&amp;ref&amp;"" | BU: ""&amp;L17&amp;"" | Head: ""&amp;M17),""Payment Disbursement (Purpose: ""&amp;IF(ISNUMBER(SEARCH(""salary"",M17)),""Salary"",U17)&amp;"") | To: ""&amp;payee&amp;"" | Ref: ""&amp;ref&amp;"" |"&amp;" BU: ""&amp;L17&amp;"" | Head: ""&amp;M17&amp;apt)))))"),"Internal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18" ht="15.75" customHeight="1">
      <c r="A18" s="36">
        <v>16.0</v>
      </c>
      <c r="B18" s="56" t="str">
        <f t="shared" si="3"/>
        <v>#NAME?</v>
      </c>
      <c r="C18" s="94">
        <f t="shared" si="5"/>
        <v>4</v>
      </c>
      <c r="D18" s="95">
        <v>46127.0</v>
      </c>
      <c r="E18" s="95">
        <f t="shared" si="2"/>
        <v>46127</v>
      </c>
      <c r="F18" s="96" t="s">
        <v>591</v>
      </c>
      <c r="G18" s="97" t="s">
        <v>666</v>
      </c>
      <c r="H18" s="98"/>
      <c r="I18" s="99"/>
      <c r="J18" s="99">
        <v>700000.0</v>
      </c>
      <c r="K18" s="99">
        <f t="shared" si="4"/>
        <v>759560.01</v>
      </c>
      <c r="L18" s="62" t="s">
        <v>211</v>
      </c>
      <c r="M18" s="62" t="s">
        <v>47</v>
      </c>
      <c r="N18" s="63"/>
      <c r="O18" s="62" t="s">
        <v>60</v>
      </c>
      <c r="P18" s="30" t="s">
        <v>213</v>
      </c>
      <c r="Q18" s="63" t="s">
        <v>50</v>
      </c>
      <c r="R18" s="100"/>
      <c r="S18" s="100"/>
      <c r="T18" s="100"/>
      <c r="U18" s="101" t="s">
        <v>75</v>
      </c>
      <c r="V18" s="30"/>
      <c r="W18" s="30" t="str">
        <f>IFERROR(__xludf.DUMMYFUNCTION("LET(ref,IF(ISBLANK(H18),""N/A"",H18),apt,IF(ISBLANK(T18),"""","" | Apt#: ""&amp;T18),payee,TRIM(IFERROR(REGEXEXTRACT(SUBSTITUTE(G18,CHAR(10),"" ""),""(?i)(?:NEFT|RTGS)\s+[A-Z0-9]+\s+(.+?)\s+[A-Z]{4}0[A-Z0-9]{6}""),IFERROR(REGEXEXTRACT(SUBSTITUTE(G18,CHAR(10),"&amp;""" ""),""(?i)TO\s+(?:[0-9]+\s+TRANSFER TO\s+[0-9]+\s+TO\s+)?(.+)$""),G18))),IF(ISBLANK(U18),""Remarks Compulsory For Narration"",TRIM(IF(M18=""Internal"",IF(ISNUMBER(SEARCH(""DWARKADHIS"",G18)),IF(I18&gt;0,""Internal Fund Transfer (From xHTRA to BOM 905)"","&amp;"""Internal Fund Transfer (From BOM 905 to xHTRA)"")&amp;"" | Ref: ""&amp;ref&amp;"" | Type: ""&amp;P18&amp;"" | BU: ""&amp;L18&amp;"" | Head: ""&amp;M18,""Internal Transfer | Ref: ""&amp;ref&amp;"" | Type: ""&amp;P18&amp;"" | BU: ""&amp;L18&amp;"" | Head: ""&amp;M18),IF(N(J18)&gt;0,IF(P18=""Customer Collection"",""Re"&amp;"ceipt Credit (Collection) ""&amp;apt&amp;"" | Ref: ""&amp;ref&amp;"" | From: ""&amp;IF(ISNUMBER(SEARCH(""SOHNA ROAD"",G18)),""Sohna Road"",""Party"")&amp;"" | BU: ""&amp;L18,""Receipt Credit from x""&amp;RIGHT(IFERROR(MID(G18,FIND(""-"",SUBSTITUTE(G18,""-"",""-"",3))+1,LEN(G18)),""0000"&amp;"""),4)&amp;"" (Purpose: ""&amp;IF(OR(ISBLANK(U18),U18=""N/A""),L18,U18)&amp;"") ""&amp;apt&amp;"" | Ref: ""&amp;ref&amp;"" | BU: ""&amp;L18&amp;"" | Head: ""&amp;M18),""Payment Disbursement (Purpose: ""&amp;IF(ISNUMBER(SEARCH(""salary"",M18)),""Salary"",U18)&amp;"") | To: ""&amp;payee&amp;"" | Ref: ""&amp;ref&amp;"" |"&amp;" BU: ""&amp;L18&amp;"" | Head: ""&amp;M18&amp;apt)))))"),"Internal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19" ht="15.75" customHeight="1">
      <c r="A19" s="36">
        <v>17.0</v>
      </c>
      <c r="B19" s="56" t="str">
        <f t="shared" si="3"/>
        <v>#NAME?</v>
      </c>
      <c r="C19" s="94">
        <f t="shared" si="5"/>
        <v>4</v>
      </c>
      <c r="D19" s="95">
        <v>46127.0</v>
      </c>
      <c r="E19" s="95">
        <f t="shared" si="2"/>
        <v>46127</v>
      </c>
      <c r="F19" s="96" t="s">
        <v>591</v>
      </c>
      <c r="G19" s="97" t="s">
        <v>672</v>
      </c>
      <c r="H19" s="98"/>
      <c r="I19" s="99">
        <v>500000.0</v>
      </c>
      <c r="J19" s="99"/>
      <c r="K19" s="99">
        <f t="shared" si="4"/>
        <v>259560.01</v>
      </c>
      <c r="L19" s="62" t="s">
        <v>45</v>
      </c>
      <c r="M19" s="62" t="s">
        <v>47</v>
      </c>
      <c r="N19" s="63"/>
      <c r="O19" s="62" t="s">
        <v>60</v>
      </c>
      <c r="P19" s="30" t="s">
        <v>74</v>
      </c>
      <c r="Q19" s="63" t="s">
        <v>50</v>
      </c>
      <c r="R19" s="100"/>
      <c r="S19" s="100"/>
      <c r="T19" s="100"/>
      <c r="U19" s="101" t="s">
        <v>75</v>
      </c>
      <c r="V19" s="30"/>
      <c r="W19" s="30" t="str">
        <f>IFERROR(__xludf.DUMMYFUNCTION("LET(ref,IF(ISBLANK(H19),""N/A"",H19),apt,IF(ISBLANK(T19),"""","" | Apt#: ""&amp;T19),payee,TRIM(IFERROR(REGEXEXTRACT(SUBSTITUTE(G19,CHAR(10),"" ""),""(?i)(?:NEFT|RTGS)\s+[A-Z0-9]+\s+(.+?)\s+[A-Z]{4}0[A-Z0-9]{6}""),IFERROR(REGEXEXTRACT(SUBSTITUTE(G19,CHAR(10),"&amp;""" ""),""(?i)TO\s+(?:[0-9]+\s+TRANSFER TO\s+[0-9]+\s+TO\s+)?(.+)$""),G19))),IF(ISBLANK(U19),""Remarks Compulsory For Narration"",TRIM(IF(M19=""Internal"",IF(ISNUMBER(SEARCH(""DWARKADHIS"",G19)),IF(I19&gt;0,""Internal Fund Transfer (From xHTRA to BOM 905)"","&amp;"""Internal Fund Transfer (From BOM 905 to xHTRA)"")&amp;"" | Ref: ""&amp;ref&amp;"" | Type: ""&amp;P19&amp;"" | BU: ""&amp;L19&amp;"" | Head: ""&amp;M19,""Internal Transfer | Ref: ""&amp;ref&amp;"" | Type: ""&amp;P19&amp;"" | BU: ""&amp;L19&amp;"" | Head: ""&amp;M19),IF(N(J19)&gt;0,IF(P19=""Customer Collection"",""Re"&amp;"ceipt Credit (Collection) ""&amp;apt&amp;"" | Ref: ""&amp;ref&amp;"" | From: ""&amp;IF(ISNUMBER(SEARCH(""SOHNA ROAD"",G19)),""Sohna Road"",""Party"")&amp;"" | BU: ""&amp;L19,""Receipt Credit from x""&amp;RIGHT(IFERROR(MID(G19,FIND(""-"",SUBSTITUTE(G19,""-"",""-"",3))+1,LEN(G19)),""0000"&amp;"""),4)&amp;"" (Purpose: ""&amp;IF(OR(ISBLANK(U19),U19=""N/A""),L19,U19)&amp;"") ""&amp;apt&amp;"" | Ref: ""&amp;ref&amp;"" | BU: ""&amp;L19&amp;"" | Head: ""&amp;M19),""Payment Disbursement (Purpose: ""&amp;IF(ISNUMBER(SEARCH(""salary"",M19)),""Salary"",U19)&amp;"") | To: ""&amp;payee&amp;"" | Ref: ""&amp;ref&amp;"" |"&amp;" BU: ""&amp;L19&amp;"" | Head: ""&amp;M19&amp;apt)))))"),"Internal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20" ht="15.75" customHeight="1">
      <c r="A20" s="36">
        <v>18.0</v>
      </c>
      <c r="B20" s="56" t="str">
        <f t="shared" si="3"/>
        <v>#NAME?</v>
      </c>
      <c r="C20" s="94">
        <f t="shared" si="5"/>
        <v>4</v>
      </c>
      <c r="D20" s="95">
        <v>46127.0</v>
      </c>
      <c r="E20" s="95">
        <f t="shared" si="2"/>
        <v>46127</v>
      </c>
      <c r="F20" s="96" t="s">
        <v>591</v>
      </c>
      <c r="G20" s="97" t="s">
        <v>678</v>
      </c>
      <c r="H20" s="98"/>
      <c r="I20" s="99">
        <v>36298.0</v>
      </c>
      <c r="J20" s="99"/>
      <c r="K20" s="99">
        <f t="shared" si="4"/>
        <v>223262.01</v>
      </c>
      <c r="L20" s="62" t="s">
        <v>41</v>
      </c>
      <c r="M20" s="62" t="s">
        <v>101</v>
      </c>
      <c r="N20" s="63"/>
      <c r="O20" s="62" t="s">
        <v>60</v>
      </c>
      <c r="P20" s="30" t="s">
        <v>43</v>
      </c>
      <c r="Q20" s="63" t="s">
        <v>44</v>
      </c>
      <c r="R20" s="100"/>
      <c r="S20" s="100"/>
      <c r="T20" s="100"/>
      <c r="U20" s="101" t="s">
        <v>75</v>
      </c>
      <c r="V20" s="30"/>
      <c r="W20" s="30" t="str">
        <f>IFERROR(__xludf.DUMMYFUNCTION("LET(ref,IF(ISBLANK(H20),""N/A"",H20),apt,IF(ISBLANK(T20),"""","" | Apt#: ""&amp;T20),payee,TRIM(IFERROR(REGEXEXTRACT(SUBSTITUTE(G20,CHAR(10),"" ""),""(?i)(?:NEFT|RTGS)\s+[A-Z0-9]+\s+(.+?)\s+[A-Z]{4}0[A-Z0-9]{6}""),IFERROR(REGEXEXTRACT(SUBSTITUTE(G20,CHAR(10),"&amp;""" ""),""(?i)TO\s+(?:[0-9]+\s+TRANSFER TO\s+[0-9]+\s+TO\s+)?(.+)$""),G20))),IF(ISBLANK(U20),""Remarks Compulsory For Narration"",TRIM(IF(M20=""Internal"",IF(ISNUMBER(SEARCH(""DWARKADHIS"",G20)),IF(I20&gt;0,""Internal Fund Transfer (From xHTRA to BOM 905)"","&amp;"""Internal Fund Transfer (From BOM 905 to xHTRA)"")&amp;"" | Ref: ""&amp;ref&amp;"" | Type: ""&amp;P20&amp;"" | BU: ""&amp;L20&amp;"" | Head: ""&amp;M20,""Internal Transfer | Ref: ""&amp;ref&amp;"" | Type: ""&amp;P20&amp;"" | BU: ""&amp;L20&amp;"" | Head: ""&amp;M20),IF(N(J20)&gt;0,IF(P20=""Customer Collection"",""Re"&amp;"ceipt Credit (Collection) ""&amp;apt&amp;"" | Ref: ""&amp;ref&amp;"" | From: ""&amp;IF(ISNUMBER(SEARCH(""SOHNA ROAD"",G20)),""Sohna Road"",""Party"")&amp;"" | BU: ""&amp;L20,""Receipt Credit from x""&amp;RIGHT(IFERROR(MID(G20,FIND(""-"",SUBSTITUTE(G20,""-"",""-"",3))+1,LEN(G20)),""0000"&amp;"""),4)&amp;"" (Purpose: ""&amp;IF(OR(ISBLANK(U20),U20=""N/A""),L20,U20)&amp;"") ""&amp;apt&amp;"" | Ref: ""&amp;ref&amp;"" | BU: ""&amp;L20&amp;"" | Head: ""&amp;M20),""Payment Disbursement (Purpose: ""&amp;IF(ISNUMBER(SEARCH(""salary"",M20)),""Salary"",U20)&amp;"") | To: ""&amp;payee&amp;"" | Ref: ""&amp;ref&amp;"" |"&amp;" BU: ""&amp;L20&amp;"" | Head: ""&amp;M20&amp;apt)))))"),"Payment Disbursement (Purpose: Salary) | To: Diksha Sharma | Ref: N/A | BU: HO | Head: Salary HO")</f>
        <v>Payment Disbursement (Purpose: Salary) | To: Diksha Sharma | Ref: N/A | BU: HO | Head: Salary HO</v>
      </c>
    </row>
    <row r="21" ht="15.75" customHeight="1">
      <c r="A21" s="36">
        <v>19.0</v>
      </c>
      <c r="B21" s="56" t="str">
        <f t="shared" si="3"/>
        <v>#NAME?</v>
      </c>
      <c r="C21" s="94">
        <f t="shared" si="5"/>
        <v>4</v>
      </c>
      <c r="D21" s="95">
        <v>46127.0</v>
      </c>
      <c r="E21" s="95">
        <f t="shared" si="2"/>
        <v>46127</v>
      </c>
      <c r="F21" s="96" t="s">
        <v>591</v>
      </c>
      <c r="G21" s="97" t="s">
        <v>685</v>
      </c>
      <c r="H21" s="98"/>
      <c r="I21" s="99">
        <v>39898.0</v>
      </c>
      <c r="J21" s="99"/>
      <c r="K21" s="99">
        <f t="shared" si="4"/>
        <v>183364.01</v>
      </c>
      <c r="L21" s="62" t="s">
        <v>41</v>
      </c>
      <c r="M21" s="62" t="s">
        <v>101</v>
      </c>
      <c r="N21" s="63"/>
      <c r="O21" s="62" t="s">
        <v>60</v>
      </c>
      <c r="P21" s="30" t="s">
        <v>43</v>
      </c>
      <c r="Q21" s="63" t="s">
        <v>44</v>
      </c>
      <c r="R21" s="100"/>
      <c r="S21" s="100"/>
      <c r="T21" s="100"/>
      <c r="U21" s="101" t="s">
        <v>75</v>
      </c>
      <c r="V21" s="30"/>
      <c r="W21" s="30" t="str">
        <f>IFERROR(__xludf.DUMMYFUNCTION("LET(ref,IF(ISBLANK(H21),""N/A"",H21),apt,IF(ISBLANK(T21),"""","" | Apt#: ""&amp;T21),payee,TRIM(IFERROR(REGEXEXTRACT(SUBSTITUTE(G21,CHAR(10),"" ""),""(?i)(?:NEFT|RTGS)\s+[A-Z0-9]+\s+(.+?)\s+[A-Z]{4}0[A-Z0-9]{6}""),IFERROR(REGEXEXTRACT(SUBSTITUTE(G21,CHAR(10),"&amp;""" ""),""(?i)TO\s+(?:[0-9]+\s+TRANSFER TO\s+[0-9]+\s+TO\s+)?(.+)$""),G21))),IF(ISBLANK(U21),""Remarks Compulsory For Narration"",TRIM(IF(M21=""Internal"",IF(ISNUMBER(SEARCH(""DWARKADHIS"",G21)),IF(I21&gt;0,""Internal Fund Transfer (From xHTRA to BOM 905)"","&amp;"""Internal Fund Transfer (From BOM 905 to xHTRA)"")&amp;"" | Ref: ""&amp;ref&amp;"" | Type: ""&amp;P21&amp;"" | BU: ""&amp;L21&amp;"" | Head: ""&amp;M21,""Internal Transfer | Ref: ""&amp;ref&amp;"" | Type: ""&amp;P21&amp;"" | BU: ""&amp;L21&amp;"" | Head: ""&amp;M21),IF(N(J21)&gt;0,IF(P21=""Customer Collection"",""Re"&amp;"ceipt Credit (Collection) ""&amp;apt&amp;"" | Ref: ""&amp;ref&amp;"" | From: ""&amp;IF(ISNUMBER(SEARCH(""SOHNA ROAD"",G21)),""Sohna Road"",""Party"")&amp;"" | BU: ""&amp;L21,""Receipt Credit from x""&amp;RIGHT(IFERROR(MID(G21,FIND(""-"",SUBSTITUTE(G21,""-"",""-"",3))+1,LEN(G21)),""0000"&amp;"""),4)&amp;"" (Purpose: ""&amp;IF(OR(ISBLANK(U21),U21=""N/A""),L21,U21)&amp;"") ""&amp;apt&amp;"" | Ref: ""&amp;ref&amp;"" | BU: ""&amp;L21&amp;"" | Head: ""&amp;M21),""Payment Disbursement (Purpose: ""&amp;IF(ISNUMBER(SEARCH(""salary"",M21)),""Salary"",U21)&amp;"") | To: ""&amp;payee&amp;"" | Ref: ""&amp;ref&amp;"" |"&amp;" BU: ""&amp;L21&amp;"" | Head: ""&amp;M21&amp;apt)))))"),"Payment Disbursement (Purpose: Salary) | To: Rahul Singla | Ref: N/A | BU: HO | Head: Salary HO")</f>
        <v>Payment Disbursement (Purpose: Salary) | To: Rahul Singla | Ref: N/A | BU: HO | Head: Salary HO</v>
      </c>
    </row>
    <row r="22" ht="15.75" customHeight="1">
      <c r="A22" s="36">
        <v>20.0</v>
      </c>
      <c r="B22" s="56" t="str">
        <f t="shared" si="3"/>
        <v>#NAME?</v>
      </c>
      <c r="C22" s="94">
        <f t="shared" si="5"/>
        <v>4</v>
      </c>
      <c r="D22" s="95">
        <v>46127.0</v>
      </c>
      <c r="E22" s="95">
        <f t="shared" si="2"/>
        <v>46127</v>
      </c>
      <c r="F22" s="96" t="s">
        <v>591</v>
      </c>
      <c r="G22" s="97" t="s">
        <v>691</v>
      </c>
      <c r="H22" s="98"/>
      <c r="I22" s="99">
        <v>72500.0</v>
      </c>
      <c r="J22" s="99"/>
      <c r="K22" s="99">
        <f t="shared" si="4"/>
        <v>110864.01</v>
      </c>
      <c r="L22" s="62" t="s">
        <v>41</v>
      </c>
      <c r="M22" s="62" t="s">
        <v>118</v>
      </c>
      <c r="N22" s="63"/>
      <c r="O22" s="62" t="s">
        <v>60</v>
      </c>
      <c r="P22" s="30" t="s">
        <v>43</v>
      </c>
      <c r="Q22" s="63" t="s">
        <v>44</v>
      </c>
      <c r="R22" s="100"/>
      <c r="S22" s="100"/>
      <c r="T22" s="100"/>
      <c r="U22" s="101" t="s">
        <v>119</v>
      </c>
      <c r="V22" s="30"/>
      <c r="W22" s="30" t="str">
        <f>IFERROR(__xludf.DUMMYFUNCTION("LET(ref,IF(ISBLANK(H22),""N/A"",H22),apt,IF(ISBLANK(T22),"""","" | Apt#: ""&amp;T22),payee,TRIM(IFERROR(REGEXEXTRACT(SUBSTITUTE(G22,CHAR(10),"" ""),""(?i)(?:NEFT|RTGS)\s+[A-Z0-9]+\s+(.+?)\s+[A-Z]{4}0[A-Z0-9]{6}""),IFERROR(REGEXEXTRACT(SUBSTITUTE(G22,CHAR(10),"&amp;""" ""),""(?i)TO\s+(?:[0-9]+\s+TRANSFER TO\s+[0-9]+\s+TO\s+)?(.+)$""),G22))),IF(ISBLANK(U22),""Remarks Compulsory For Narration"",TRIM(IF(M22=""Internal"",IF(ISNUMBER(SEARCH(""DWARKADHIS"",G22)),IF(I22&gt;0,""Internal Fund Transfer (From xHTRA to BOM 905)"","&amp;"""Internal Fund Transfer (From BOM 905 to xHTRA)"")&amp;"" | Ref: ""&amp;ref&amp;"" | Type: ""&amp;P22&amp;"" | BU: ""&amp;L22&amp;"" | Head: ""&amp;M22,""Internal Transfer | Ref: ""&amp;ref&amp;"" | Type: ""&amp;P22&amp;"" | BU: ""&amp;L22&amp;"" | Head: ""&amp;M22),IF(N(J22)&gt;0,IF(P22=""Customer Collection"",""Re"&amp;"ceipt Credit (Collection) ""&amp;apt&amp;"" | Ref: ""&amp;ref&amp;"" | From: ""&amp;IF(ISNUMBER(SEARCH(""SOHNA ROAD"",G22)),""Sohna Road"",""Party"")&amp;"" | BU: ""&amp;L22,""Receipt Credit from x""&amp;RIGHT(IFERROR(MID(G22,FIND(""-"",SUBSTITUTE(G22,""-"",""-"",3))+1,LEN(G22)),""0000"&amp;"""),4)&amp;"" (Purpose: ""&amp;IF(OR(ISBLANK(U22),U22=""N/A""),L22,U22)&amp;"") ""&amp;apt&amp;"" | Ref: ""&amp;ref&amp;"" | BU: ""&amp;L22&amp;"" | Head: ""&amp;M22),""Payment Disbursement (Purpose: ""&amp;IF(ISNUMBER(SEARCH(""salary"",M22)),""Salary"",U22)&amp;"") | To: ""&amp;payee&amp;"" | Ref: ""&amp;ref&amp;"" |"&amp;" BU: ""&amp;L22&amp;"" | Head: ""&amp;M22&amp;apt)))))"),"Payment Disbursement (Purpose: Professional Fee) | To: Nikhil Manocha and CO | Ref: N/A | BU: HO | Head: Professional")</f>
        <v>Payment Disbursement (Purpose: Professional Fee) | To: Nikhil Manocha and CO | Ref: N/A | BU: HO | Head: Professional</v>
      </c>
    </row>
    <row r="23" ht="15.75" customHeight="1">
      <c r="A23" s="36">
        <v>21.0</v>
      </c>
      <c r="B23" s="56" t="str">
        <f t="shared" si="3"/>
        <v>#NAME?</v>
      </c>
      <c r="C23" s="94">
        <f t="shared" si="5"/>
        <v>4</v>
      </c>
      <c r="D23" s="95">
        <v>46127.0</v>
      </c>
      <c r="E23" s="95">
        <f t="shared" si="2"/>
        <v>46127</v>
      </c>
      <c r="F23" s="96" t="s">
        <v>591</v>
      </c>
      <c r="G23" s="97" t="s">
        <v>697</v>
      </c>
      <c r="H23" s="98"/>
      <c r="I23" s="99">
        <v>36298.0</v>
      </c>
      <c r="J23" s="99"/>
      <c r="K23" s="99">
        <f t="shared" si="4"/>
        <v>74566.01</v>
      </c>
      <c r="L23" s="62" t="s">
        <v>41</v>
      </c>
      <c r="M23" s="62" t="s">
        <v>101</v>
      </c>
      <c r="N23" s="63"/>
      <c r="O23" s="62" t="s">
        <v>60</v>
      </c>
      <c r="P23" s="30" t="s">
        <v>43</v>
      </c>
      <c r="Q23" s="63" t="s">
        <v>44</v>
      </c>
      <c r="R23" s="100"/>
      <c r="S23" s="100"/>
      <c r="T23" s="100"/>
      <c r="U23" s="101" t="s">
        <v>75</v>
      </c>
      <c r="V23" s="30"/>
      <c r="W23" s="30" t="str">
        <f>IFERROR(__xludf.DUMMYFUNCTION("LET(ref,IF(ISBLANK(H23),""N/A"",H23),apt,IF(ISBLANK(T23),"""","" | Apt#: ""&amp;T23),payee,TRIM(IFERROR(REGEXEXTRACT(SUBSTITUTE(G23,CHAR(10),"" ""),""(?i)(?:NEFT|RTGS)\s+[A-Z0-9]+\s+(.+?)\s+[A-Z]{4}0[A-Z0-9]{6}""),IFERROR(REGEXEXTRACT(SUBSTITUTE(G23,CHAR(10),"&amp;""" ""),""(?i)TO\s+(?:[0-9]+\s+TRANSFER TO\s+[0-9]+\s+TO\s+)?(.+)$""),G23))),IF(ISBLANK(U23),""Remarks Compulsory For Narration"",TRIM(IF(M23=""Internal"",IF(ISNUMBER(SEARCH(""DWARKADHIS"",G23)),IF(I23&gt;0,""Internal Fund Transfer (From xHTRA to BOM 905)"","&amp;"""Internal Fund Transfer (From BOM 905 to xHTRA)"")&amp;"" | Ref: ""&amp;ref&amp;"" | Type: ""&amp;P23&amp;"" | BU: ""&amp;L23&amp;"" | Head: ""&amp;M23,""Internal Transfer | Ref: ""&amp;ref&amp;"" | Type: ""&amp;P23&amp;"" | BU: ""&amp;L23&amp;"" | Head: ""&amp;M23),IF(N(J23)&gt;0,IF(P23=""Customer Collection"",""Re"&amp;"ceipt Credit (Collection) ""&amp;apt&amp;"" | Ref: ""&amp;ref&amp;"" | From: ""&amp;IF(ISNUMBER(SEARCH(""SOHNA ROAD"",G23)),""Sohna Road"",""Party"")&amp;"" | BU: ""&amp;L23,""Receipt Credit from x""&amp;RIGHT(IFERROR(MID(G23,FIND(""-"",SUBSTITUTE(G23,""-"",""-"",3))+1,LEN(G23)),""0000"&amp;"""),4)&amp;"" (Purpose: ""&amp;IF(OR(ISBLANK(U23),U23=""N/A""),L23,U23)&amp;"") ""&amp;apt&amp;"" | Ref: ""&amp;ref&amp;"" | BU: ""&amp;L23&amp;"" | Head: ""&amp;M23),""Payment Disbursement (Purpose: ""&amp;IF(ISNUMBER(SEARCH(""salary"",M23)),""Salary"",U23)&amp;"") | To: ""&amp;payee&amp;"" | Ref: ""&amp;ref&amp;"" |"&amp;" BU: ""&amp;L23&amp;"" | Head: ""&amp;M23&amp;apt)))))"),"Payment Disbursement (Purpose: Salary) | To: Mr. MUKESH KUMAR RAY | Ref: N/A | BU: HO | Head: Salary HO")</f>
        <v>Payment Disbursement (Purpose: Salary) | To: Mr. MUKESH KUMAR RAY | Ref: N/A | BU: HO | Head: Salary HO</v>
      </c>
    </row>
    <row r="24" ht="15.75" customHeight="1">
      <c r="A24" s="36">
        <v>22.0</v>
      </c>
      <c r="B24" s="56" t="str">
        <f t="shared" si="3"/>
        <v>#NAME?</v>
      </c>
      <c r="C24" s="94">
        <f t="shared" si="5"/>
        <v>4</v>
      </c>
      <c r="D24" s="95">
        <v>46128.0</v>
      </c>
      <c r="E24" s="95">
        <f t="shared" si="2"/>
        <v>46128</v>
      </c>
      <c r="F24" s="96" t="s">
        <v>591</v>
      </c>
      <c r="G24" s="97" t="s">
        <v>701</v>
      </c>
      <c r="H24" s="98"/>
      <c r="I24" s="99"/>
      <c r="J24" s="99">
        <v>200000.0</v>
      </c>
      <c r="K24" s="99">
        <f t="shared" si="4"/>
        <v>274566.01</v>
      </c>
      <c r="L24" s="62" t="s">
        <v>211</v>
      </c>
      <c r="M24" s="62" t="s">
        <v>47</v>
      </c>
      <c r="N24" s="63"/>
      <c r="O24" s="62" t="s">
        <v>60</v>
      </c>
      <c r="P24" s="30" t="s">
        <v>213</v>
      </c>
      <c r="Q24" s="63" t="s">
        <v>50</v>
      </c>
      <c r="R24" s="100"/>
      <c r="S24" s="100"/>
      <c r="T24" s="100"/>
      <c r="U24" s="101" t="s">
        <v>75</v>
      </c>
      <c r="V24" s="30"/>
      <c r="W24" s="30" t="str">
        <f>IFERROR(__xludf.DUMMYFUNCTION("LET(ref,IF(ISBLANK(H24),""N/A"",H24),apt,IF(ISBLANK(T24),"""","" | Apt#: ""&amp;T24),payee,TRIM(IFERROR(REGEXEXTRACT(SUBSTITUTE(G24,CHAR(10),"" ""),""(?i)(?:NEFT|RTGS)\s+[A-Z0-9]+\s+(.+?)\s+[A-Z]{4}0[A-Z0-9]{6}""),IFERROR(REGEXEXTRACT(SUBSTITUTE(G24,CHAR(10),"&amp;""" ""),""(?i)TO\s+(?:[0-9]+\s+TRANSFER TO\s+[0-9]+\s+TO\s+)?(.+)$""),G24))),IF(ISBLANK(U24),""Remarks Compulsory For Narration"",TRIM(IF(M24=""Internal"",IF(ISNUMBER(SEARCH(""DWARKADHIS"",G24)),IF(I24&gt;0,""Internal Fund Transfer (From xHTRA to BOM 905)"","&amp;"""Internal Fund Transfer (From BOM 905 to xHTRA)"")&amp;"" | Ref: ""&amp;ref&amp;"" | Type: ""&amp;P24&amp;"" | BU: ""&amp;L24&amp;"" | Head: ""&amp;M24,""Internal Transfer | Ref: ""&amp;ref&amp;"" | Type: ""&amp;P24&amp;"" | BU: ""&amp;L24&amp;"" | Head: ""&amp;M24),IF(N(J24)&gt;0,IF(P24=""Customer Collection"",""Re"&amp;"ceipt Credit (Collection) ""&amp;apt&amp;"" | Ref: ""&amp;ref&amp;"" | From: ""&amp;IF(ISNUMBER(SEARCH(""SOHNA ROAD"",G24)),""Sohna Road"",""Party"")&amp;"" | BU: ""&amp;L24,""Receipt Credit from x""&amp;RIGHT(IFERROR(MID(G24,FIND(""-"",SUBSTITUTE(G24,""-"",""-"",3))+1,LEN(G24)),""0000"&amp;"""),4)&amp;"" (Purpose: ""&amp;IF(OR(ISBLANK(U24),U24=""N/A""),L24,U24)&amp;"") ""&amp;apt&amp;"" | Ref: ""&amp;ref&amp;"" | BU: ""&amp;L24&amp;"" | Head: ""&amp;M24),""Payment Disbursement (Purpose: ""&amp;IF(ISNUMBER(SEARCH(""salary"",M24)),""Salary"",U24)&amp;"") | To: ""&amp;payee&amp;"" | Ref: ""&amp;ref&amp;"" |"&amp;" BU: ""&amp;L24&amp;"" | Head: ""&amp;M24&amp;apt)))))"),"Internal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25" ht="15.75" customHeight="1">
      <c r="A25" s="36">
        <v>23.0</v>
      </c>
      <c r="B25" s="56" t="str">
        <f t="shared" si="3"/>
        <v>#NAME?</v>
      </c>
      <c r="C25" s="94">
        <f t="shared" si="5"/>
        <v>4</v>
      </c>
      <c r="D25" s="95">
        <v>46128.0</v>
      </c>
      <c r="E25" s="95">
        <f t="shared" si="2"/>
        <v>46128</v>
      </c>
      <c r="F25" s="96" t="s">
        <v>591</v>
      </c>
      <c r="G25" s="97" t="s">
        <v>702</v>
      </c>
      <c r="H25" s="98"/>
      <c r="I25" s="99">
        <v>250000.0</v>
      </c>
      <c r="J25" s="99"/>
      <c r="K25" s="99">
        <f t="shared" si="4"/>
        <v>24566.01</v>
      </c>
      <c r="L25" s="62" t="s">
        <v>45</v>
      </c>
      <c r="M25" s="62" t="s">
        <v>47</v>
      </c>
      <c r="N25" s="63"/>
      <c r="O25" s="62" t="s">
        <v>60</v>
      </c>
      <c r="P25" s="30" t="s">
        <v>74</v>
      </c>
      <c r="Q25" s="63" t="s">
        <v>50</v>
      </c>
      <c r="R25" s="100"/>
      <c r="S25" s="100"/>
      <c r="T25" s="100"/>
      <c r="U25" s="101" t="s">
        <v>75</v>
      </c>
      <c r="V25" s="30"/>
      <c r="W25" s="30" t="str">
        <f>IFERROR(__xludf.DUMMYFUNCTION("LET(ref,IF(ISBLANK(H25),""N/A"",H25),apt,IF(ISBLANK(T25),"""","" | Apt#: ""&amp;T25),payee,TRIM(IFERROR(REGEXEXTRACT(SUBSTITUTE(G25,CHAR(10),"" ""),""(?i)(?:NEFT|RTGS)\s+[A-Z0-9]+\s+(.+?)\s+[A-Z]{4}0[A-Z0-9]{6}""),IFERROR(REGEXEXTRACT(SUBSTITUTE(G25,CHAR(10),"&amp;""" ""),""(?i)TO\s+(?:[0-9]+\s+TRANSFER TO\s+[0-9]+\s+TO\s+)?(.+)$""),G25))),IF(ISBLANK(U25),""Remarks Compulsory For Narration"",TRIM(IF(M25=""Internal"",IF(ISNUMBER(SEARCH(""DWARKADHIS"",G25)),IF(I25&gt;0,""Internal Fund Transfer (From xHTRA to BOM 905)"","&amp;"""Internal Fund Transfer (From BOM 905 to xHTRA)"")&amp;"" | Ref: ""&amp;ref&amp;"" | Type: ""&amp;P25&amp;"" | BU: ""&amp;L25&amp;"" | Head: ""&amp;M25,""Internal Transfer | Ref: ""&amp;ref&amp;"" | Type: ""&amp;P25&amp;"" | BU: ""&amp;L25&amp;"" | Head: ""&amp;M25),IF(N(J25)&gt;0,IF(P25=""Customer Collection"",""Re"&amp;"ceipt Credit (Collection) ""&amp;apt&amp;"" | Ref: ""&amp;ref&amp;"" | From: ""&amp;IF(ISNUMBER(SEARCH(""SOHNA ROAD"",G25)),""Sohna Road"",""Party"")&amp;"" | BU: ""&amp;L25,""Receipt Credit from x""&amp;RIGHT(IFERROR(MID(G25,FIND(""-"",SUBSTITUTE(G25,""-"",""-"",3))+1,LEN(G25)),""0000"&amp;"""),4)&amp;"" (Purpose: ""&amp;IF(OR(ISBLANK(U25),U25=""N/A""),L25,U25)&amp;"") ""&amp;apt&amp;"" | Ref: ""&amp;ref&amp;"" | BU: ""&amp;L25&amp;"" | Head: ""&amp;M25),""Payment Disbursement (Purpose: ""&amp;IF(ISNUMBER(SEARCH(""salary"",M25)),""Salary"",U25)&amp;"") | To: ""&amp;payee&amp;"" | Ref: ""&amp;ref&amp;"" |"&amp;" BU: ""&amp;L25&amp;"" | Head: ""&amp;M25&amp;apt)))))"),"Internal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26" ht="15.75" customHeight="1">
      <c r="A26" s="36">
        <v>24.0</v>
      </c>
      <c r="B26" s="56" t="str">
        <f t="shared" si="3"/>
        <v>#NAME?</v>
      </c>
      <c r="C26" s="94">
        <f t="shared" si="5"/>
        <v>4</v>
      </c>
      <c r="D26" s="95">
        <v>46130.0</v>
      </c>
      <c r="E26" s="95">
        <f t="shared" si="2"/>
        <v>46130</v>
      </c>
      <c r="F26" s="96" t="s">
        <v>591</v>
      </c>
      <c r="G26" s="97" t="s">
        <v>707</v>
      </c>
      <c r="H26" s="98"/>
      <c r="I26" s="99"/>
      <c r="J26" s="99">
        <v>100000.0</v>
      </c>
      <c r="K26" s="99">
        <f t="shared" si="4"/>
        <v>124566.01</v>
      </c>
      <c r="L26" s="62" t="s">
        <v>211</v>
      </c>
      <c r="M26" s="62" t="s">
        <v>47</v>
      </c>
      <c r="N26" s="63"/>
      <c r="O26" s="62" t="s">
        <v>60</v>
      </c>
      <c r="P26" s="30" t="s">
        <v>213</v>
      </c>
      <c r="Q26" s="63" t="s">
        <v>50</v>
      </c>
      <c r="R26" s="100"/>
      <c r="S26" s="100"/>
      <c r="T26" s="100"/>
      <c r="U26" s="101" t="s">
        <v>75</v>
      </c>
      <c r="V26" s="30"/>
      <c r="W26" s="30" t="str">
        <f>IFERROR(__xludf.DUMMYFUNCTION("LET(ref,IF(ISBLANK(H26),""N/A"",H26),apt,IF(ISBLANK(T26),"""","" | Apt#: ""&amp;T26),payee,TRIM(IFERROR(REGEXEXTRACT(SUBSTITUTE(G26,CHAR(10),"" ""),""(?i)(?:NEFT|RTGS)\s+[A-Z0-9]+\s+(.+?)\s+[A-Z]{4}0[A-Z0-9]{6}""),IFERROR(REGEXEXTRACT(SUBSTITUTE(G26,CHAR(10),"&amp;""" ""),""(?i)TO\s+(?:[0-9]+\s+TRANSFER TO\s+[0-9]+\s+TO\s+)?(.+)$""),G26))),IF(ISBLANK(U26),""Remarks Compulsory For Narration"",TRIM(IF(M26=""Internal"",IF(ISNUMBER(SEARCH(""DWARKADHIS"",G26)),IF(I26&gt;0,""Internal Fund Transfer (From xHTRA to BOM 905)"","&amp;"""Internal Fund Transfer (From BOM 905 to xHTRA)"")&amp;"" | Ref: ""&amp;ref&amp;"" | Type: ""&amp;P26&amp;"" | BU: ""&amp;L26&amp;"" | Head: ""&amp;M26,""Internal Transfer | Ref: ""&amp;ref&amp;"" | Type: ""&amp;P26&amp;"" | BU: ""&amp;L26&amp;"" | Head: ""&amp;M26),IF(N(J26)&gt;0,IF(P26=""Customer Collection"",""Re"&amp;"ceipt Credit (Collection) ""&amp;apt&amp;"" | Ref: ""&amp;ref&amp;"" | From: ""&amp;IF(ISNUMBER(SEARCH(""SOHNA ROAD"",G26)),""Sohna Road"",""Party"")&amp;"" | BU: ""&amp;L26,""Receipt Credit from x""&amp;RIGHT(IFERROR(MID(G26,FIND(""-"",SUBSTITUTE(G26,""-"",""-"",3))+1,LEN(G26)),""0000"&amp;"""),4)&amp;"" (Purpose: ""&amp;IF(OR(ISBLANK(U26),U26=""N/A""),L26,U26)&amp;"") ""&amp;apt&amp;"" | Ref: ""&amp;ref&amp;"" | BU: ""&amp;L26&amp;"" | Head: ""&amp;M26),""Payment Disbursement (Purpose: ""&amp;IF(ISNUMBER(SEARCH(""salary"",M26)),""Salary"",U26)&amp;"") | To: ""&amp;payee&amp;"" | Ref: ""&amp;ref&amp;"" |"&amp;" BU: ""&amp;L26&amp;"" | Head: ""&amp;M26&amp;apt)))))"),"Internal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27" ht="15.75" customHeight="1">
      <c r="A27" s="36">
        <v>25.0</v>
      </c>
      <c r="B27" s="56" t="str">
        <f t="shared" si="3"/>
        <v>#NAME?</v>
      </c>
      <c r="C27" s="94">
        <f t="shared" si="5"/>
        <v>4</v>
      </c>
      <c r="D27" s="95">
        <v>46132.0</v>
      </c>
      <c r="E27" s="95">
        <f t="shared" si="2"/>
        <v>46132</v>
      </c>
      <c r="F27" s="96" t="s">
        <v>591</v>
      </c>
      <c r="G27" s="97" t="s">
        <v>710</v>
      </c>
      <c r="H27" s="98"/>
      <c r="I27" s="99"/>
      <c r="J27" s="99">
        <v>800000.0</v>
      </c>
      <c r="K27" s="99">
        <f t="shared" si="4"/>
        <v>924566.01</v>
      </c>
      <c r="L27" s="62" t="s">
        <v>211</v>
      </c>
      <c r="M27" s="62" t="s">
        <v>47</v>
      </c>
      <c r="N27" s="63"/>
      <c r="O27" s="62" t="s">
        <v>60</v>
      </c>
      <c r="P27" s="30" t="s">
        <v>213</v>
      </c>
      <c r="Q27" s="63" t="s">
        <v>50</v>
      </c>
      <c r="R27" s="100"/>
      <c r="S27" s="100"/>
      <c r="T27" s="100"/>
      <c r="U27" s="101" t="s">
        <v>75</v>
      </c>
      <c r="V27" s="30"/>
      <c r="W27" s="30" t="str">
        <f>IFERROR(__xludf.DUMMYFUNCTION("LET(ref,IF(ISBLANK(H27),""N/A"",H27),apt,IF(ISBLANK(T27),"""","" | Apt#: ""&amp;T27),payee,TRIM(IFERROR(REGEXEXTRACT(SUBSTITUTE(G27,CHAR(10),"" ""),""(?i)(?:NEFT|RTGS)\s+[A-Z0-9]+\s+(.+?)\s+[A-Z]{4}0[A-Z0-9]{6}""),IFERROR(REGEXEXTRACT(SUBSTITUTE(G27,CHAR(10),"&amp;""" ""),""(?i)TO\s+(?:[0-9]+\s+TRANSFER TO\s+[0-9]+\s+TO\s+)?(.+)$""),G27))),IF(ISBLANK(U27),""Remarks Compulsory For Narration"",TRIM(IF(M27=""Internal"",IF(ISNUMBER(SEARCH(""DWARKADHIS"",G27)),IF(I27&gt;0,""Internal Fund Transfer (From xHTRA to BOM 905)"","&amp;"""Internal Fund Transfer (From BOM 905 to xHTRA)"")&amp;"" | Ref: ""&amp;ref&amp;"" | Type: ""&amp;P27&amp;"" | BU: ""&amp;L27&amp;"" | Head: ""&amp;M27,""Internal Transfer | Ref: ""&amp;ref&amp;"" | Type: ""&amp;P27&amp;"" | BU: ""&amp;L27&amp;"" | Head: ""&amp;M27),IF(N(J27)&gt;0,IF(P27=""Customer Collection"",""Re"&amp;"ceipt Credit (Collection) ""&amp;apt&amp;"" | Ref: ""&amp;ref&amp;"" | From: ""&amp;IF(ISNUMBER(SEARCH(""SOHNA ROAD"",G27)),""Sohna Road"",""Party"")&amp;"" | BU: ""&amp;L27,""Receipt Credit from x""&amp;RIGHT(IFERROR(MID(G27,FIND(""-"",SUBSTITUTE(G27,""-"",""-"",3))+1,LEN(G27)),""0000"&amp;"""),4)&amp;"" (Purpose: ""&amp;IF(OR(ISBLANK(U27),U27=""N/A""),L27,U27)&amp;"") ""&amp;apt&amp;"" | Ref: ""&amp;ref&amp;"" | BU: ""&amp;L27&amp;"" | Head: ""&amp;M27),""Payment Disbursement (Purpose: ""&amp;IF(ISNUMBER(SEARCH(""salary"",M27)),""Salary"",U27)&amp;"") | To: ""&amp;payee&amp;"" | Ref: ""&amp;ref&amp;"" |"&amp;" BU: ""&amp;L27&amp;"" | Head: ""&amp;M27&amp;apt)))))"),"Internal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28" ht="15.75" customHeight="1">
      <c r="A28" s="36">
        <v>26.0</v>
      </c>
      <c r="B28" s="56" t="str">
        <f t="shared" si="3"/>
        <v>#NAME?</v>
      </c>
      <c r="C28" s="94">
        <f t="shared" si="5"/>
        <v>4</v>
      </c>
      <c r="D28" s="95">
        <v>46132.0</v>
      </c>
      <c r="E28" s="95">
        <f t="shared" si="2"/>
        <v>46132</v>
      </c>
      <c r="F28" s="96" t="s">
        <v>591</v>
      </c>
      <c r="G28" s="97" t="s">
        <v>713</v>
      </c>
      <c r="H28" s="98"/>
      <c r="I28" s="99">
        <v>630000.0</v>
      </c>
      <c r="J28" s="99"/>
      <c r="K28" s="99">
        <f t="shared" si="4"/>
        <v>294566.01</v>
      </c>
      <c r="L28" s="62" t="s">
        <v>45</v>
      </c>
      <c r="M28" s="62" t="s">
        <v>47</v>
      </c>
      <c r="N28" s="63"/>
      <c r="O28" s="62" t="s">
        <v>60</v>
      </c>
      <c r="P28" s="30" t="s">
        <v>74</v>
      </c>
      <c r="Q28" s="63" t="s">
        <v>50</v>
      </c>
      <c r="R28" s="100"/>
      <c r="S28" s="100"/>
      <c r="T28" s="100"/>
      <c r="U28" s="101" t="s">
        <v>75</v>
      </c>
      <c r="V28" s="30"/>
      <c r="W28" s="30" t="str">
        <f>IFERROR(__xludf.DUMMYFUNCTION("LET(ref,IF(ISBLANK(H28),""N/A"",H28),apt,IF(ISBLANK(T28),"""","" | Apt#: ""&amp;T28),payee,TRIM(IFERROR(REGEXEXTRACT(SUBSTITUTE(G28,CHAR(10),"" ""),""(?i)(?:NEFT|RTGS)\s+[A-Z0-9]+\s+(.+?)\s+[A-Z]{4}0[A-Z0-9]{6}""),IFERROR(REGEXEXTRACT(SUBSTITUTE(G28,CHAR(10),"&amp;""" ""),""(?i)TO\s+(?:[0-9]+\s+TRANSFER TO\s+[0-9]+\s+TO\s+)?(.+)$""),G28))),IF(ISBLANK(U28),""Remarks Compulsory For Narration"",TRIM(IF(M28=""Internal"",IF(ISNUMBER(SEARCH(""DWARKADHIS"",G28)),IF(I28&gt;0,""Internal Fund Transfer (From xHTRA to BOM 905)"","&amp;"""Internal Fund Transfer (From BOM 905 to xHTRA)"")&amp;"" | Ref: ""&amp;ref&amp;"" | Type: ""&amp;P28&amp;"" | BU: ""&amp;L28&amp;"" | Head: ""&amp;M28,""Internal Transfer | Ref: ""&amp;ref&amp;"" | Type: ""&amp;P28&amp;"" | BU: ""&amp;L28&amp;"" | Head: ""&amp;M28),IF(N(J28)&gt;0,IF(P28=""Customer Collection"",""Re"&amp;"ceipt Credit (Collection) ""&amp;apt&amp;"" | Ref: ""&amp;ref&amp;"" | From: ""&amp;IF(ISNUMBER(SEARCH(""SOHNA ROAD"",G28)),""Sohna Road"",""Party"")&amp;"" | BU: ""&amp;L28,""Receipt Credit from x""&amp;RIGHT(IFERROR(MID(G28,FIND(""-"",SUBSTITUTE(G28,""-"",""-"",3))+1,LEN(G28)),""0000"&amp;"""),4)&amp;"" (Purpose: ""&amp;IF(OR(ISBLANK(U28),U28=""N/A""),L28,U28)&amp;"") ""&amp;apt&amp;"" | Ref: ""&amp;ref&amp;"" | BU: ""&amp;L28&amp;"" | Head: ""&amp;M28),""Payment Disbursement (Purpose: ""&amp;IF(ISNUMBER(SEARCH(""salary"",M28)),""Salary"",U28)&amp;"") | To: ""&amp;payee&amp;"" | Ref: ""&amp;ref&amp;"" |"&amp;" BU: ""&amp;L28&amp;"" | Head: ""&amp;M28&amp;apt)))))"),"Internal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29" ht="15.75" customHeight="1">
      <c r="A29" s="36">
        <v>27.0</v>
      </c>
      <c r="B29" s="56" t="str">
        <f t="shared" si="3"/>
        <v>#NAME?</v>
      </c>
      <c r="C29" s="94">
        <f t="shared" si="5"/>
        <v>4</v>
      </c>
      <c r="D29" s="95">
        <v>46132.0</v>
      </c>
      <c r="E29" s="95">
        <f t="shared" si="2"/>
        <v>46132</v>
      </c>
      <c r="F29" s="96" t="s">
        <v>591</v>
      </c>
      <c r="G29" s="97" t="s">
        <v>717</v>
      </c>
      <c r="H29" s="98"/>
      <c r="I29" s="99">
        <v>266484.0</v>
      </c>
      <c r="J29" s="99"/>
      <c r="K29" s="99">
        <f t="shared" si="4"/>
        <v>28082.01</v>
      </c>
      <c r="L29" s="62" t="s">
        <v>41</v>
      </c>
      <c r="M29" s="62" t="s">
        <v>718</v>
      </c>
      <c r="N29" s="63"/>
      <c r="O29" s="62" t="s">
        <v>60</v>
      </c>
      <c r="P29" s="30" t="s">
        <v>43</v>
      </c>
      <c r="Q29" s="63" t="s">
        <v>44</v>
      </c>
      <c r="R29" s="100"/>
      <c r="S29" s="100"/>
      <c r="T29" s="100"/>
      <c r="U29" s="101" t="s">
        <v>718</v>
      </c>
      <c r="V29" s="30"/>
      <c r="W29" s="30" t="str">
        <f>IFERROR(__xludf.DUMMYFUNCTION("LET(ref,IF(ISBLANK(H29),""N/A"",H29),apt,IF(ISBLANK(T29),"""","" | Apt#: ""&amp;T29),payee,TRIM(IFERROR(REGEXEXTRACT(SUBSTITUTE(G29,CHAR(10),"" ""),""(?i)(?:NEFT|RTGS)\s+[A-Z0-9]+\s+(.+?)\s+[A-Z]{4}0[A-Z0-9]{6}""),IFERROR(REGEXEXTRACT(SUBSTITUTE(G29,CHAR(10),"&amp;""" ""),""(?i)TO\s+(?:[0-9]+\s+TRANSFER TO\s+[0-9]+\s+TO\s+)?(.+)$""),G29))),IF(ISBLANK(U29),""Remarks Compulsory For Narration"",TRIM(IF(M29=""Internal"",IF(ISNUMBER(SEARCH(""DWARKADHIS"",G29)),IF(I29&gt;0,""Internal Fund Transfer (From xHTRA to BOM 905)"","&amp;"""Internal Fund Transfer (From BOM 905 to xHTRA)"")&amp;"" | Ref: ""&amp;ref&amp;"" | Type: ""&amp;P29&amp;"" | BU: ""&amp;L29&amp;"" | Head: ""&amp;M29,""Internal Transfer | Ref: ""&amp;ref&amp;"" | Type: ""&amp;P29&amp;"" | BU: ""&amp;L29&amp;"" | Head: ""&amp;M29),IF(N(J29)&gt;0,IF(P29=""Customer Collection"",""Re"&amp;"ceipt Credit (Collection) ""&amp;apt&amp;"" | Ref: ""&amp;ref&amp;"" | From: ""&amp;IF(ISNUMBER(SEARCH(""SOHNA ROAD"",G29)),""Sohna Road"",""Party"")&amp;"" | BU: ""&amp;L29,""Receipt Credit from x""&amp;RIGHT(IFERROR(MID(G29,FIND(""-"",SUBSTITUTE(G29,""-"",""-"",3))+1,LEN(G29)),""0000"&amp;"""),4)&amp;"" (Purpose: ""&amp;IF(OR(ISBLANK(U29),U29=""N/A""),L29,U29)&amp;"") ""&amp;apt&amp;"" | Ref: ""&amp;ref&amp;"" | BU: ""&amp;L29&amp;"" | Head: ""&amp;M29),""Payment Disbursement (Purpose: ""&amp;IF(ISNUMBER(SEARCH(""salary"",M29)),""Salary"",U29)&amp;"") | To: ""&amp;payee&amp;"" | Ref: ""&amp;ref&amp;"" |"&amp;" BU: ""&amp;L29&amp;"" | Head: ""&amp;M29&amp;apt)))))"),"Payment Disbursement (Purpose: Tax) | To: BANK OF MAHARASHTRA GST POOL ACCOUNT | Ref: N/A | BU: HO | Head: Tax")</f>
        <v>Payment Disbursement (Purpose: Tax) | To: BANK OF MAHARASHTRA GST POOL ACCOUNT | Ref: N/A | BU: HO | Head: Tax</v>
      </c>
    </row>
    <row r="30" ht="15.75" customHeight="1">
      <c r="A30" s="36">
        <v>28.0</v>
      </c>
      <c r="B30" s="56" t="str">
        <f t="shared" si="3"/>
        <v>#NAME?</v>
      </c>
      <c r="C30" s="94">
        <f t="shared" si="5"/>
        <v>4</v>
      </c>
      <c r="D30" s="95">
        <v>46132.0</v>
      </c>
      <c r="E30" s="95">
        <f t="shared" si="2"/>
        <v>46132</v>
      </c>
      <c r="F30" s="96" t="s">
        <v>591</v>
      </c>
      <c r="G30" s="97" t="s">
        <v>722</v>
      </c>
      <c r="H30" s="98"/>
      <c r="I30" s="99"/>
      <c r="J30" s="99">
        <v>538435.0</v>
      </c>
      <c r="K30" s="99">
        <f t="shared" si="4"/>
        <v>566517.01</v>
      </c>
      <c r="L30" s="62" t="s">
        <v>45</v>
      </c>
      <c r="M30" s="62" t="s">
        <v>47</v>
      </c>
      <c r="N30" s="63"/>
      <c r="O30" s="62" t="s">
        <v>60</v>
      </c>
      <c r="P30" s="30" t="s">
        <v>74</v>
      </c>
      <c r="Q30" s="63" t="s">
        <v>50</v>
      </c>
      <c r="R30" s="100"/>
      <c r="S30" s="100"/>
      <c r="T30" s="100"/>
      <c r="U30" s="101" t="s">
        <v>75</v>
      </c>
      <c r="V30" s="30"/>
      <c r="W30" s="30" t="str">
        <f>IFERROR(__xludf.DUMMYFUNCTION("LET(ref,IF(ISBLANK(H30),""N/A"",H30),apt,IF(ISBLANK(T30),"""","" | Apt#: ""&amp;T30),payee,TRIM(IFERROR(REGEXEXTRACT(SUBSTITUTE(G30,CHAR(10),"" ""),""(?i)(?:NEFT|RTGS)\s+[A-Z0-9]+\s+(.+?)\s+[A-Z]{4}0[A-Z0-9]{6}""),IFERROR(REGEXEXTRACT(SUBSTITUTE(G30,CHAR(10),"&amp;""" ""),""(?i)TO\s+(?:[0-9]+\s+TRANSFER TO\s+[0-9]+\s+TO\s+)?(.+)$""),G30))),IF(ISBLANK(U30),""Remarks Compulsory For Narration"",TRIM(IF(M30=""Internal"",IF(ISNUMBER(SEARCH(""DWARKADHIS"",G30)),IF(I30&gt;0,""Internal Fund Transfer (From xHTRA to BOM 905)"","&amp;"""Internal Fund Transfer (From BOM 905 to xHTRA)"")&amp;"" | Ref: ""&amp;ref&amp;"" | Type: ""&amp;P30&amp;"" | BU: ""&amp;L30&amp;"" | Head: ""&amp;M30,""Internal Transfer | Ref: ""&amp;ref&amp;"" | Type: ""&amp;P30&amp;"" | BU: ""&amp;L30&amp;"" | Head: ""&amp;M30),IF(N(J30)&gt;0,IF(P30=""Customer Collection"",""Re"&amp;"ceipt Credit (Collection) ""&amp;apt&amp;"" | Ref: ""&amp;ref&amp;"" | From: ""&amp;IF(ISNUMBER(SEARCH(""SOHNA ROAD"",G30)),""Sohna Road"",""Party"")&amp;"" | BU: ""&amp;L30,""Receipt Credit from x""&amp;RIGHT(IFERROR(MID(G30,FIND(""-"",SUBSTITUTE(G30,""-"",""-"",3))+1,LEN(G30)),""0000"&amp;"""),4)&amp;"" (Purpose: ""&amp;IF(OR(ISBLANK(U30),U30=""N/A""),L30,U30)&amp;"") ""&amp;apt&amp;"" | Ref: ""&amp;ref&amp;"" | BU: ""&amp;L30&amp;"" | Head: ""&amp;M30),""Payment Disbursement (Purpose: ""&amp;IF(ISNUMBER(SEARCH(""salary"",M30)),""Salary"",U30)&amp;"") | To: ""&amp;payee&amp;"" | Ref: ""&amp;ref&amp;"" |"&amp;" BU: ""&amp;L30&amp;"" | Head: ""&amp;M30&amp;apt)))))"),"Internal Fund Transfer (From BOM 905 to xHTRA) | Ref: N/A | Type: Free &amp; IDW Loan | BU: Casa Romana | Head: Internal")</f>
        <v>Internal Fund Transfer (From BOM 905 to xHTRA) | Ref: N/A | Type: Free &amp; IDW Loan | BU: Casa Romana | Head: Internal</v>
      </c>
    </row>
    <row r="31" ht="15.75" customHeight="1">
      <c r="A31" s="36">
        <v>29.0</v>
      </c>
      <c r="B31" s="56" t="str">
        <f t="shared" si="3"/>
        <v>#NAME?</v>
      </c>
      <c r="C31" s="94">
        <f t="shared" si="5"/>
        <v>4</v>
      </c>
      <c r="D31" s="95">
        <v>46133.0</v>
      </c>
      <c r="E31" s="95">
        <f t="shared" si="2"/>
        <v>46133</v>
      </c>
      <c r="F31" s="96" t="s">
        <v>591</v>
      </c>
      <c r="G31" s="97" t="s">
        <v>725</v>
      </c>
      <c r="H31" s="98"/>
      <c r="I31" s="99">
        <v>538435.0</v>
      </c>
      <c r="J31" s="99"/>
      <c r="K31" s="99">
        <f t="shared" si="4"/>
        <v>28082.01</v>
      </c>
      <c r="L31" s="62" t="s">
        <v>45</v>
      </c>
      <c r="M31" s="62" t="s">
        <v>726</v>
      </c>
      <c r="N31" s="63"/>
      <c r="O31" s="62" t="s">
        <v>60</v>
      </c>
      <c r="P31" s="30" t="s">
        <v>57</v>
      </c>
      <c r="Q31" s="63" t="s">
        <v>58</v>
      </c>
      <c r="R31" s="100"/>
      <c r="S31" s="100"/>
      <c r="T31" s="100"/>
      <c r="U31" s="101" t="s">
        <v>728</v>
      </c>
      <c r="V31" s="30"/>
      <c r="W31" s="30" t="str">
        <f>IFERROR(__xludf.DUMMYFUNCTION("LET(ref,IF(ISBLANK(H31),""N/A"",H31),apt,IF(ISBLANK(T31),"""","" | Apt#: ""&amp;T31),payee,TRIM(IFERROR(REGEXEXTRACT(SUBSTITUTE(G31,CHAR(10),"" ""),""(?i)(?:NEFT|RTGS)\s+[A-Z0-9]+\s+(.+?)\s+[A-Z]{4}0[A-Z0-9]{6}""),IFERROR(REGEXEXTRACT(SUBSTITUTE(G31,CHAR(10),"&amp;""" ""),""(?i)TO\s+(?:[0-9]+\s+TRANSFER TO\s+[0-9]+\s+TO\s+)?(.+)$""),G31))),IF(ISBLANK(U31),""Remarks Compulsory For Narration"",TRIM(IF(M31=""Internal"",IF(ISNUMBER(SEARCH(""DWARKADHIS"",G31)),IF(I31&gt;0,""Internal Fund Transfer (From xHTRA to BOM 905)"","&amp;"""Internal Fund Transfer (From BOM 905 to xHTRA)"")&amp;"" | Ref: ""&amp;ref&amp;"" | Type: ""&amp;P31&amp;"" | BU: ""&amp;L31&amp;"" | Head: ""&amp;M31,""Internal Transfer | Ref: ""&amp;ref&amp;"" | Type: ""&amp;P31&amp;"" | BU: ""&amp;L31&amp;"" | Head: ""&amp;M31),IF(N(J31)&gt;0,IF(P31=""Customer Collection"",""Re"&amp;"ceipt Credit (Collection) ""&amp;apt&amp;"" | Ref: ""&amp;ref&amp;"" | From: ""&amp;IF(ISNUMBER(SEARCH(""SOHNA ROAD"",G31)),""Sohna Road"",""Party"")&amp;"" | BU: ""&amp;L31,""Receipt Credit from x""&amp;RIGHT(IFERROR(MID(G31,FIND(""-"",SUBSTITUTE(G31,""-"",""-"",3))+1,LEN(G31)),""0000"&amp;"""),4)&amp;"" (Purpose: ""&amp;IF(OR(ISBLANK(U31),U31=""N/A""),L31,U31)&amp;"") ""&amp;apt&amp;"" | Ref: ""&amp;ref&amp;"" | BU: ""&amp;L31&amp;"" | Head: ""&amp;M31),""Payment Disbursement (Purpose: ""&amp;IF(ISNUMBER(SEARCH(""salary"",M31)),""Salary"",U31)&amp;"") | To: ""&amp;payee&amp;"" | Ref: ""&amp;ref&amp;"" |"&amp;" BU: ""&amp;L31&amp;"" | Head: ""&amp;M31&amp;apt)))))"),"Payment Disbursement (Purpose: Electricity Charges - DHBVN) | To: BILLDESK | Ref: N/A | BU: Casa Romana | Head: Electricity")</f>
        <v>Payment Disbursement (Purpose: Electricity Charges - DHBVN) | To: BILLDESK | Ref: N/A | BU: Casa Romana | Head: Electricity</v>
      </c>
    </row>
    <row r="32" ht="15.75" customHeight="1">
      <c r="A32" s="36">
        <v>30.0</v>
      </c>
      <c r="B32" s="56" t="str">
        <f t="shared" si="3"/>
        <v>#NAME?</v>
      </c>
      <c r="C32" s="94">
        <f t="shared" si="5"/>
        <v>4</v>
      </c>
      <c r="D32" s="95">
        <v>46134.0</v>
      </c>
      <c r="E32" s="95">
        <f t="shared" si="2"/>
        <v>46134</v>
      </c>
      <c r="F32" s="96" t="s">
        <v>591</v>
      </c>
      <c r="G32" s="97" t="s">
        <v>730</v>
      </c>
      <c r="H32" s="98"/>
      <c r="I32" s="99"/>
      <c r="J32" s="99">
        <v>17082.0</v>
      </c>
      <c r="K32" s="99">
        <f t="shared" si="4"/>
        <v>45164.01</v>
      </c>
      <c r="L32" s="62" t="s">
        <v>45</v>
      </c>
      <c r="M32" s="62" t="s">
        <v>47</v>
      </c>
      <c r="N32" s="63"/>
      <c r="O32" s="62" t="s">
        <v>60</v>
      </c>
      <c r="P32" s="30" t="s">
        <v>51</v>
      </c>
      <c r="Q32" s="63" t="s">
        <v>50</v>
      </c>
      <c r="R32" s="100"/>
      <c r="S32" s="100"/>
      <c r="T32" s="100"/>
      <c r="U32" s="101" t="s">
        <v>75</v>
      </c>
      <c r="V32" s="30"/>
      <c r="W32" s="30" t="str">
        <f>IFERROR(__xludf.DUMMYFUNCTION("LET(ref,IF(ISBLANK(H32),""N/A"",H32),apt,IF(ISBLANK(T32),"""","" | Apt#: ""&amp;T32),payee,TRIM(IFERROR(REGEXEXTRACT(SUBSTITUTE(G32,CHAR(10),"" ""),""(?i)(?:NEFT|RTGS)\s+[A-Z0-9]+\s+(.+?)\s+[A-Z]{4}0[A-Z0-9]{6}""),IFERROR(REGEXEXTRACT(SUBSTITUTE(G32,CHAR(10),"&amp;""" ""),""(?i)TO\s+(?:[0-9]+\s+TRANSFER TO\s+[0-9]+\s+TO\s+)?(.+)$""),G32))),IF(ISBLANK(U32),""Remarks Compulsory For Narration"",TRIM(IF(M32=""Internal"",IF(ISNUMBER(SEARCH(""DWARKADHIS"",G32)),IF(I32&gt;0,""Internal Fund Transfer (From xHTRA to BOM 905)"","&amp;"""Internal Fund Transfer (From BOM 905 to xHTRA)"")&amp;"" | Ref: ""&amp;ref&amp;"" | Type: ""&amp;P32&amp;"" | BU: ""&amp;L32&amp;"" | Head: ""&amp;M32,""Internal Transfer | Ref: ""&amp;ref&amp;"" | Type: ""&amp;P32&amp;"" | BU: ""&amp;L32&amp;"" | Head: ""&amp;M32),IF(N(J32)&gt;0,IF(P32=""Customer Collection"",""Re"&amp;"ceipt Credit (Collection) ""&amp;apt&amp;"" | Ref: ""&amp;ref&amp;"" | From: ""&amp;IF(ISNUMBER(SEARCH(""SOHNA ROAD"",G32)),""Sohna Road"",""Party"")&amp;"" | BU: ""&amp;L32,""Receipt Credit from x""&amp;RIGHT(IFERROR(MID(G32,FIND(""-"",SUBSTITUTE(G32,""-"",""-"",3))+1,LEN(G32)),""0000"&amp;"""),4)&amp;"" (Purpose: ""&amp;IF(OR(ISBLANK(U32),U32=""N/A""),L32,U32)&amp;"") ""&amp;apt&amp;"" | Ref: ""&amp;ref&amp;"" | BU: ""&amp;L32&amp;"" | Head: ""&amp;M32),""Payment Disbursement (Purpose: ""&amp;IF(ISNUMBER(SEARCH(""salary"",M32)),""Salary"",U32)&amp;"") | To: ""&amp;payee&amp;"" | Ref: ""&amp;ref&amp;"" |"&amp;" BU: ""&amp;L32&amp;"" | Head: ""&amp;M32&amp;apt)))))"),"Internal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33" ht="15.75" customHeight="1">
      <c r="A33" s="36">
        <v>31.0</v>
      </c>
      <c r="B33" s="56" t="str">
        <f t="shared" si="3"/>
        <v>#NAME?</v>
      </c>
      <c r="C33" s="94">
        <f t="shared" si="5"/>
        <v>4</v>
      </c>
      <c r="D33" s="95">
        <v>46134.0</v>
      </c>
      <c r="E33" s="95">
        <f t="shared" si="2"/>
        <v>46134</v>
      </c>
      <c r="F33" s="96" t="s">
        <v>591</v>
      </c>
      <c r="G33" s="97" t="s">
        <v>732</v>
      </c>
      <c r="H33" s="98"/>
      <c r="I33" s="99">
        <v>11088.0</v>
      </c>
      <c r="J33" s="99"/>
      <c r="K33" s="99">
        <f t="shared" si="4"/>
        <v>34076.01</v>
      </c>
      <c r="L33" s="62" t="s">
        <v>41</v>
      </c>
      <c r="M33" s="62" t="s">
        <v>67</v>
      </c>
      <c r="N33" s="63"/>
      <c r="O33" s="62" t="s">
        <v>60</v>
      </c>
      <c r="P33" s="30" t="s">
        <v>43</v>
      </c>
      <c r="Q33" s="63" t="s">
        <v>44</v>
      </c>
      <c r="R33" s="100"/>
      <c r="S33" s="100"/>
      <c r="T33" s="100"/>
      <c r="U33" s="101" t="s">
        <v>734</v>
      </c>
      <c r="V33" s="30"/>
      <c r="W33" s="30" t="str">
        <f>IFERROR(__xludf.DUMMYFUNCTION("LET(ref,IF(ISBLANK(H33),""N/A"",H33),apt,IF(ISBLANK(T33),"""","" | Apt#: ""&amp;T33),payee,TRIM(IFERROR(REGEXEXTRACT(SUBSTITUTE(G33,CHAR(10),"" ""),""(?i)(?:NEFT|RTGS)\s+[A-Z0-9]+\s+(.+?)\s+[A-Z]{4}0[A-Z0-9]{6}""),IFERROR(REGEXEXTRACT(SUBSTITUTE(G33,CHAR(10),"&amp;""" ""),""(?i)TO\s+(?:[0-9]+\s+TRANSFER TO\s+[0-9]+\s+TO\s+)?(.+)$""),G33))),IF(ISBLANK(U33),""Remarks Compulsory For Narration"",TRIM(IF(M33=""Internal"",IF(ISNUMBER(SEARCH(""DWARKADHIS"",G33)),IF(I33&gt;0,""Internal Fund Transfer (From xHTRA to BOM 905)"","&amp;"""Internal Fund Transfer (From BOM 905 to xHTRA)"")&amp;"" | Ref: ""&amp;ref&amp;"" | Type: ""&amp;P33&amp;"" | BU: ""&amp;L33&amp;"" | Head: ""&amp;M33,""Internal Transfer | Ref: ""&amp;ref&amp;"" | Type: ""&amp;P33&amp;"" | BU: ""&amp;L33&amp;"" | Head: ""&amp;M33),IF(N(J33)&gt;0,IF(P33=""Customer Collection"",""Re"&amp;"ceipt Credit (Collection) ""&amp;apt&amp;"" | Ref: ""&amp;ref&amp;"" | From: ""&amp;IF(ISNUMBER(SEARCH(""SOHNA ROAD"",G33)),""Sohna Road"",""Party"")&amp;"" | BU: ""&amp;L33,""Receipt Credit from x""&amp;RIGHT(IFERROR(MID(G33,FIND(""-"",SUBSTITUTE(G33,""-"",""-"",3))+1,LEN(G33)),""0000"&amp;"""),4)&amp;"" (Purpose: ""&amp;IF(OR(ISBLANK(U33),U33=""N/A""),L33,U33)&amp;"") ""&amp;apt&amp;"" | Ref: ""&amp;ref&amp;"" | BU: ""&amp;L33&amp;"" | Head: ""&amp;M33),""Payment Disbursement (Purpose: ""&amp;IF(ISNUMBER(SEARCH(""salary"",M33)),""Salary"",U33)&amp;"") | To: ""&amp;payee&amp;"" | Ref: ""&amp;ref&amp;"" |"&amp;" BU: ""&amp;L33&amp;"" | Head: ""&amp;M33&amp;apt)))))"),"Payment Disbursement (Purpose: Advertising Expenses) | To: Falcon Advertisers | Ref: N/A | BU: HO | Head: Vendor")</f>
        <v>Payment Disbursement (Purpose: Advertising Expenses) | To: Falcon Advertisers | Ref: N/A | BU: HO | Head: Vendor</v>
      </c>
    </row>
    <row r="34" ht="15.75" customHeight="1">
      <c r="A34" s="36">
        <v>32.0</v>
      </c>
      <c r="B34" s="56" t="str">
        <f t="shared" si="3"/>
        <v>#NAME?</v>
      </c>
      <c r="C34" s="94">
        <f t="shared" si="5"/>
        <v>4</v>
      </c>
      <c r="D34" s="95">
        <v>46135.0</v>
      </c>
      <c r="E34" s="95">
        <f t="shared" si="2"/>
        <v>46135</v>
      </c>
      <c r="F34" s="96" t="s">
        <v>591</v>
      </c>
      <c r="G34" s="97" t="s">
        <v>735</v>
      </c>
      <c r="H34" s="98"/>
      <c r="I34" s="99"/>
      <c r="J34" s="99">
        <v>300000.0</v>
      </c>
      <c r="K34" s="99">
        <f t="shared" si="4"/>
        <v>334076.01</v>
      </c>
      <c r="L34" s="62" t="s">
        <v>211</v>
      </c>
      <c r="M34" s="62" t="s">
        <v>47</v>
      </c>
      <c r="N34" s="63"/>
      <c r="O34" s="62" t="s">
        <v>60</v>
      </c>
      <c r="P34" s="30" t="s">
        <v>213</v>
      </c>
      <c r="Q34" s="63" t="s">
        <v>50</v>
      </c>
      <c r="R34" s="100"/>
      <c r="S34" s="100"/>
      <c r="T34" s="100"/>
      <c r="U34" s="101" t="s">
        <v>75</v>
      </c>
      <c r="V34" s="30"/>
      <c r="W34" s="30" t="str">
        <f>IFERROR(__xludf.DUMMYFUNCTION("LET(ref,IF(ISBLANK(H34),""N/A"",H34),apt,IF(ISBLANK(T34),"""","" | Apt#: ""&amp;T34),payee,TRIM(IFERROR(REGEXEXTRACT(SUBSTITUTE(G34,CHAR(10),"" ""),""(?i)(?:NEFT|RTGS)\s+[A-Z0-9]+\s+(.+?)\s+[A-Z]{4}0[A-Z0-9]{6}""),IFERROR(REGEXEXTRACT(SUBSTITUTE(G34,CHAR(10),"&amp;""" ""),""(?i)TO\s+(?:[0-9]+\s+TRANSFER TO\s+[0-9]+\s+TO\s+)?(.+)$""),G34))),IF(ISBLANK(U34),""Remarks Compulsory For Narration"",TRIM(IF(M34=""Internal"",IF(ISNUMBER(SEARCH(""DWARKADHIS"",G34)),IF(I34&gt;0,""Internal Fund Transfer (From xHTRA to BOM 905)"","&amp;"""Internal Fund Transfer (From BOM 905 to xHTRA)"")&amp;"" | Ref: ""&amp;ref&amp;"" | Type: ""&amp;P34&amp;"" | BU: ""&amp;L34&amp;"" | Head: ""&amp;M34,""Internal Transfer | Ref: ""&amp;ref&amp;"" | Type: ""&amp;P34&amp;"" | BU: ""&amp;L34&amp;"" | Head: ""&amp;M34),IF(N(J34)&gt;0,IF(P34=""Customer Collection"",""Re"&amp;"ceipt Credit (Collection) ""&amp;apt&amp;"" | Ref: ""&amp;ref&amp;"" | From: ""&amp;IF(ISNUMBER(SEARCH(""SOHNA ROAD"",G34)),""Sohna Road"",""Party"")&amp;"" | BU: ""&amp;L34,""Receipt Credit from x""&amp;RIGHT(IFERROR(MID(G34,FIND(""-"",SUBSTITUTE(G34,""-"",""-"",3))+1,LEN(G34)),""0000"&amp;"""),4)&amp;"" (Purpose: ""&amp;IF(OR(ISBLANK(U34),U34=""N/A""),L34,U34)&amp;"") ""&amp;apt&amp;"" | Ref: ""&amp;ref&amp;"" | BU: ""&amp;L34&amp;"" | Head: ""&amp;M34),""Payment Disbursement (Purpose: ""&amp;IF(ISNUMBER(SEARCH(""salary"",M34)),""Salary"",U34)&amp;"") | To: ""&amp;payee&amp;"" | Ref: ""&amp;ref&amp;"" |"&amp;" BU: ""&amp;L34&amp;"" | Head: ""&amp;M34&amp;apt)))))"),"Internal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35" ht="15.75" customHeight="1">
      <c r="A35" s="36">
        <v>33.0</v>
      </c>
      <c r="B35" s="56" t="str">
        <f t="shared" si="3"/>
        <v>#NAME?</v>
      </c>
      <c r="C35" s="94">
        <f t="shared" si="5"/>
        <v>4</v>
      </c>
      <c r="D35" s="95">
        <v>46135.0</v>
      </c>
      <c r="E35" s="95">
        <f t="shared" si="2"/>
        <v>46135</v>
      </c>
      <c r="F35" s="96" t="s">
        <v>591</v>
      </c>
      <c r="G35" s="97" t="s">
        <v>741</v>
      </c>
      <c r="H35" s="98"/>
      <c r="I35" s="99"/>
      <c r="J35" s="99">
        <v>50000.0</v>
      </c>
      <c r="K35" s="99">
        <f t="shared" si="4"/>
        <v>384076.01</v>
      </c>
      <c r="L35" s="62" t="s">
        <v>211</v>
      </c>
      <c r="M35" s="62" t="s">
        <v>47</v>
      </c>
      <c r="N35" s="63"/>
      <c r="O35" s="62" t="s">
        <v>60</v>
      </c>
      <c r="P35" s="30" t="s">
        <v>213</v>
      </c>
      <c r="Q35" s="63" t="s">
        <v>50</v>
      </c>
      <c r="R35" s="100"/>
      <c r="S35" s="100"/>
      <c r="T35" s="100"/>
      <c r="U35" s="101" t="s">
        <v>75</v>
      </c>
      <c r="V35" s="30"/>
      <c r="W35" s="30" t="str">
        <f>IFERROR(__xludf.DUMMYFUNCTION("LET(ref,IF(ISBLANK(H35),""N/A"",H35),apt,IF(ISBLANK(T35),"""","" | Apt#: ""&amp;T35),payee,TRIM(IFERROR(REGEXEXTRACT(SUBSTITUTE(G35,CHAR(10),"" ""),""(?i)(?:NEFT|RTGS)\s+[A-Z0-9]+\s+(.+?)\s+[A-Z]{4}0[A-Z0-9]{6}""),IFERROR(REGEXEXTRACT(SUBSTITUTE(G35,CHAR(10),"&amp;""" ""),""(?i)TO\s+(?:[0-9]+\s+TRANSFER TO\s+[0-9]+\s+TO\s+)?(.+)$""),G35))),IF(ISBLANK(U35),""Remarks Compulsory For Narration"",TRIM(IF(M35=""Internal"",IF(ISNUMBER(SEARCH(""DWARKADHIS"",G35)),IF(I35&gt;0,""Internal Fund Transfer (From xHTRA to BOM 905)"","&amp;"""Internal Fund Transfer (From BOM 905 to xHTRA)"")&amp;"" | Ref: ""&amp;ref&amp;"" | Type: ""&amp;P35&amp;"" | BU: ""&amp;L35&amp;"" | Head: ""&amp;M35,""Internal Transfer | Ref: ""&amp;ref&amp;"" | Type: ""&amp;P35&amp;"" | BU: ""&amp;L35&amp;"" | Head: ""&amp;M35),IF(N(J35)&gt;0,IF(P35=""Customer Collection"",""Re"&amp;"ceipt Credit (Collection) ""&amp;apt&amp;"" | Ref: ""&amp;ref&amp;"" | From: ""&amp;IF(ISNUMBER(SEARCH(""SOHNA ROAD"",G35)),""Sohna Road"",""Party"")&amp;"" | BU: ""&amp;L35,""Receipt Credit from x""&amp;RIGHT(IFERROR(MID(G35,FIND(""-"",SUBSTITUTE(G35,""-"",""-"",3))+1,LEN(G35)),""0000"&amp;"""),4)&amp;"" (Purpose: ""&amp;IF(OR(ISBLANK(U35),U35=""N/A""),L35,U35)&amp;"") ""&amp;apt&amp;"" | Ref: ""&amp;ref&amp;"" | BU: ""&amp;L35&amp;"" | Head: ""&amp;M35),""Payment Disbursement (Purpose: ""&amp;IF(ISNUMBER(SEARCH(""salary"",M35)),""Salary"",U35)&amp;"") | To: ""&amp;payee&amp;"" | Ref: ""&amp;ref&amp;"" |"&amp;" BU: ""&amp;L35&amp;"" | Head: ""&amp;M35&amp;apt)))))"),"Internal Fund Transfer (From BOM 905 to xHTRA) | Ref: N/A | Type: AH - CR | BU: Aravali Heights | Head: Internal")</f>
        <v>Internal Fund Transfer (From BOM 905 to xHTRA) | Ref: N/A | Type: AH - CR | BU: Aravali Heights | Head: Internal</v>
      </c>
    </row>
    <row r="36" ht="15.75" customHeight="1">
      <c r="A36" s="36">
        <v>34.0</v>
      </c>
      <c r="B36" s="56" t="str">
        <f t="shared" si="3"/>
        <v>#NAME?</v>
      </c>
      <c r="C36" s="94">
        <f t="shared" si="5"/>
        <v>4</v>
      </c>
      <c r="D36" s="95">
        <v>46135.0</v>
      </c>
      <c r="E36" s="95">
        <f t="shared" si="2"/>
        <v>46135</v>
      </c>
      <c r="F36" s="96" t="s">
        <v>591</v>
      </c>
      <c r="G36" s="97" t="s">
        <v>747</v>
      </c>
      <c r="H36" s="98"/>
      <c r="I36" s="99">
        <v>120000.0</v>
      </c>
      <c r="J36" s="99"/>
      <c r="K36" s="99">
        <f t="shared" si="4"/>
        <v>264076.01</v>
      </c>
      <c r="L36" s="62" t="s">
        <v>45</v>
      </c>
      <c r="M36" s="62" t="s">
        <v>47</v>
      </c>
      <c r="N36" s="63"/>
      <c r="O36" s="62" t="s">
        <v>60</v>
      </c>
      <c r="P36" s="30" t="s">
        <v>74</v>
      </c>
      <c r="Q36" s="63" t="s">
        <v>50</v>
      </c>
      <c r="R36" s="100"/>
      <c r="S36" s="100"/>
      <c r="T36" s="100"/>
      <c r="U36" s="101" t="s">
        <v>75</v>
      </c>
      <c r="V36" s="30"/>
      <c r="W36" s="30" t="str">
        <f>IFERROR(__xludf.DUMMYFUNCTION("LET(ref,IF(ISBLANK(H36),""N/A"",H36),apt,IF(ISBLANK(T36),"""","" | Apt#: ""&amp;T36),payee,TRIM(IFERROR(REGEXEXTRACT(SUBSTITUTE(G36,CHAR(10),"" ""),""(?i)(?:NEFT|RTGS)\s+[A-Z0-9]+\s+(.+?)\s+[A-Z]{4}0[A-Z0-9]{6}""),IFERROR(REGEXEXTRACT(SUBSTITUTE(G36,CHAR(10),"&amp;""" ""),""(?i)TO\s+(?:[0-9]+\s+TRANSFER TO\s+[0-9]+\s+TO\s+)?(.+)$""),G36))),IF(ISBLANK(U36),""Remarks Compulsory For Narration"",TRIM(IF(M36=""Internal"",IF(ISNUMBER(SEARCH(""DWARKADHIS"",G36)),IF(I36&gt;0,""Internal Fund Transfer (From xHTRA to BOM 905)"","&amp;"""Internal Fund Transfer (From BOM 905 to xHTRA)"")&amp;"" | Ref: ""&amp;ref&amp;"" | Type: ""&amp;P36&amp;"" | BU: ""&amp;L36&amp;"" | Head: ""&amp;M36,""Internal Transfer | Ref: ""&amp;ref&amp;"" | Type: ""&amp;P36&amp;"" | BU: ""&amp;L36&amp;"" | Head: ""&amp;M36),IF(N(J36)&gt;0,IF(P36=""Customer Collection"",""Re"&amp;"ceipt Credit (Collection) ""&amp;apt&amp;"" | Ref: ""&amp;ref&amp;"" | From: ""&amp;IF(ISNUMBER(SEARCH(""SOHNA ROAD"",G36)),""Sohna Road"",""Party"")&amp;"" | BU: ""&amp;L36,""Receipt Credit from x""&amp;RIGHT(IFERROR(MID(G36,FIND(""-"",SUBSTITUTE(G36,""-"",""-"",3))+1,LEN(G36)),""0000"&amp;"""),4)&amp;"" (Purpose: ""&amp;IF(OR(ISBLANK(U36),U36=""N/A""),L36,U36)&amp;"") ""&amp;apt&amp;"" | Ref: ""&amp;ref&amp;"" | BU: ""&amp;L36&amp;"" | Head: ""&amp;M36),""Payment Disbursement (Purpose: ""&amp;IF(ISNUMBER(SEARCH(""salary"",M36)),""Salary"",U36)&amp;"") | To: ""&amp;payee&amp;"" | Ref: ""&amp;ref&amp;"" |"&amp;" BU: ""&amp;L36&amp;"" | Head: ""&amp;M36&amp;apt)))))"),"Internal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37" ht="15.75" customHeight="1">
      <c r="A37" s="36">
        <v>35.0</v>
      </c>
      <c r="B37" s="56" t="str">
        <f t="shared" si="3"/>
        <v>#NAME?</v>
      </c>
      <c r="C37" s="94">
        <f t="shared" si="5"/>
        <v>4</v>
      </c>
      <c r="D37" s="95">
        <v>46135.0</v>
      </c>
      <c r="E37" s="95">
        <f t="shared" si="2"/>
        <v>46135</v>
      </c>
      <c r="F37" s="96" t="s">
        <v>591</v>
      </c>
      <c r="G37" s="97" t="s">
        <v>753</v>
      </c>
      <c r="H37" s="98"/>
      <c r="I37" s="99"/>
      <c r="J37" s="99">
        <v>32373.0</v>
      </c>
      <c r="K37" s="125">
        <f t="shared" si="4"/>
        <v>296449.01</v>
      </c>
      <c r="L37" s="62" t="s">
        <v>45</v>
      </c>
      <c r="M37" s="62" t="s">
        <v>47</v>
      </c>
      <c r="N37" s="63"/>
      <c r="O37" s="62" t="s">
        <v>60</v>
      </c>
      <c r="P37" s="30" t="s">
        <v>47</v>
      </c>
      <c r="Q37" s="63"/>
      <c r="R37" s="100"/>
      <c r="S37" s="100"/>
      <c r="T37" s="100"/>
      <c r="U37" s="101" t="s">
        <v>75</v>
      </c>
      <c r="V37" s="30"/>
      <c r="W37" s="30" t="str">
        <f>IFERROR(__xludf.DUMMYFUNCTION("LET(ref,IF(ISBLANK(H37),""N/A"",H37),apt,IF(ISBLANK(T37),"""","" | Apt#: ""&amp;T37),payee,TRIM(IFERROR(REGEXEXTRACT(SUBSTITUTE(G37,CHAR(10),"" ""),""(?i)(?:NEFT|RTGS)\s+[A-Z0-9]+\s+(.+?)\s+[A-Z]{4}0[A-Z0-9]{6}""),IFERROR(REGEXEXTRACT(SUBSTITUTE(G37,CHAR(10),"&amp;""" ""),""(?i)TO\s+(?:[0-9]+\s+TRANSFER TO\s+[0-9]+\s+TO\s+)?(.+)$""),G37))),IF(ISBLANK(U37),""Remarks Compulsory For Narration"",TRIM(IF(M37=""Internal"",IF(ISNUMBER(SEARCH(""DWARKADHIS"",G37)),IF(I37&gt;0,""Internal Fund Transfer (From xHTRA to BOM 905)"","&amp;"""Internal Fund Transfer (From BOM 905 to xHTRA)"")&amp;"" | Ref: ""&amp;ref&amp;"" | Type: ""&amp;P37&amp;"" | BU: ""&amp;L37&amp;"" | Head: ""&amp;M37,""Internal Transfer | Ref: ""&amp;ref&amp;"" | Type: ""&amp;P37&amp;"" | BU: ""&amp;L37&amp;"" | Head: ""&amp;M37),IF(N(J37)&gt;0,IF(P37=""Customer Collection"",""Re"&amp;"ceipt Credit (Collection) ""&amp;apt&amp;"" | Ref: ""&amp;ref&amp;"" | From: ""&amp;IF(ISNUMBER(SEARCH(""SOHNA ROAD"",G37)),""Sohna Road"",""Party"")&amp;"" | BU: ""&amp;L37,""Receipt Credit from x""&amp;RIGHT(IFERROR(MID(G37,FIND(""-"",SUBSTITUTE(G37,""-"",""-"",3))+1,LEN(G37)),""0000"&amp;"""),4)&amp;"" (Purpose: ""&amp;IF(OR(ISBLANK(U37),U37=""N/A""),L37,U37)&amp;"") ""&amp;apt&amp;"" | Ref: ""&amp;ref&amp;"" | BU: ""&amp;L37&amp;"" | Head: ""&amp;M37),""Payment Disbursement (Purpose: ""&amp;IF(ISNUMBER(SEARCH(""salary"",M37)),""Salary"",U37)&amp;"") | To: ""&amp;payee&amp;"" | Ref: ""&amp;ref&amp;"" |"&amp;" BU: ""&amp;L37&amp;"" | Head: ""&amp;M37&amp;apt)))))"),"Internal Fund Transfer (From BOM 905 to xHTRA) | Ref: N/A | Type: Internal | BU: Casa Romana | Head: Internal")</f>
        <v>Internal Fund Transfer (From BOM 905 to xHTRA) | Ref: N/A | Type: Internal | BU: Casa Romana | Head: Internal</v>
      </c>
    </row>
    <row r="38" ht="15.75" customHeight="1">
      <c r="A38" s="36">
        <v>36.0</v>
      </c>
      <c r="B38" s="56" t="str">
        <f t="shared" si="3"/>
        <v>#NAME?</v>
      </c>
      <c r="C38" s="94">
        <f t="shared" si="5"/>
        <v>4</v>
      </c>
      <c r="D38" s="95">
        <v>46135.0</v>
      </c>
      <c r="E38" s="95">
        <f t="shared" si="2"/>
        <v>46135</v>
      </c>
      <c r="F38" s="96" t="s">
        <v>591</v>
      </c>
      <c r="G38" s="97" t="s">
        <v>758</v>
      </c>
      <c r="H38" s="98"/>
      <c r="I38" s="99">
        <v>50000.0</v>
      </c>
      <c r="J38" s="99"/>
      <c r="K38" s="99">
        <f t="shared" si="4"/>
        <v>246449.01</v>
      </c>
      <c r="L38" s="62" t="s">
        <v>211</v>
      </c>
      <c r="M38" s="62" t="s">
        <v>718</v>
      </c>
      <c r="N38" s="63"/>
      <c r="O38" s="62" t="s">
        <v>60</v>
      </c>
      <c r="P38" s="30" t="s">
        <v>213</v>
      </c>
      <c r="Q38" s="63" t="s">
        <v>44</v>
      </c>
      <c r="R38" s="100"/>
      <c r="S38" s="100"/>
      <c r="T38" s="100"/>
      <c r="U38" s="101" t="s">
        <v>761</v>
      </c>
      <c r="V38" s="30"/>
      <c r="W38" s="30" t="str">
        <f>IFERROR(__xludf.DUMMYFUNCTION("LET(ref,IF(ISBLANK(H38),""N/A"",H38),apt,IF(ISBLANK(T38),"""","" | Apt#: ""&amp;T38),payee,TRIM(IFERROR(REGEXEXTRACT(SUBSTITUTE(G38,CHAR(10),"" ""),""(?i)(?:NEFT|RTGS)\s+[A-Z0-9]+\s+(.+?)\s+[A-Z]{4}0[A-Z0-9]{6}""),IFERROR(REGEXEXTRACT(SUBSTITUTE(G38,CHAR(10),"&amp;""" ""),""(?i)TO\s+(?:[0-9]+\s+TRANSFER TO\s+[0-9]+\s+TO\s+)?(.+)$""),G38))),IF(ISBLANK(U38),""Remarks Compulsory For Narration"",TRIM(IF(M38=""Internal"",IF(ISNUMBER(SEARCH(""DWARKADHIS"",G38)),IF(I38&gt;0,""Internal Fund Transfer (From xHTRA to BOM 905)"","&amp;"""Internal Fund Transfer (From BOM 905 to xHTRA)"")&amp;"" | Ref: ""&amp;ref&amp;"" | Type: ""&amp;P38&amp;"" | BU: ""&amp;L38&amp;"" | Head: ""&amp;M38,""Internal Transfer | Ref: ""&amp;ref&amp;"" | Type: ""&amp;P38&amp;"" | BU: ""&amp;L38&amp;"" | Head: ""&amp;M38),IF(N(J38)&gt;0,IF(P38=""Customer Collection"",""Re"&amp;"ceipt Credit (Collection) ""&amp;apt&amp;"" | Ref: ""&amp;ref&amp;"" | From: ""&amp;IF(ISNUMBER(SEARCH(""SOHNA ROAD"",G38)),""Sohna Road"",""Party"")&amp;"" | BU: ""&amp;L38,""Receipt Credit from x""&amp;RIGHT(IFERROR(MID(G38,FIND(""-"",SUBSTITUTE(G38,""-"",""-"",3))+1,LEN(G38)),""0000"&amp;"""),4)&amp;"" (Purpose: ""&amp;IF(OR(ISBLANK(U38),U38=""N/A""),L38,U38)&amp;"") ""&amp;apt&amp;"" | Ref: ""&amp;ref&amp;"" | BU: ""&amp;L38&amp;"" | Head: ""&amp;M38),""Payment Disbursement (Purpose: ""&amp;IF(ISNUMBER(SEARCH(""salary"",M38)),""Salary"",U38)&amp;"") | To: ""&amp;payee&amp;"" | Ref: ""&amp;ref&amp;"" |"&amp;" BU: ""&amp;L38&amp;"" | Head: ""&amp;M38&amp;apt)))))"),"Payment Disbursement (Purpose: TDS ) | To: Central Govt Taxes | Ref: N/A | BU: Aravali Heights | Head: Tax")</f>
        <v>Payment Disbursement (Purpose: TDS ) | To: Central Govt Taxes | Ref: N/A | BU: Aravali Heights | Head: Tax</v>
      </c>
    </row>
    <row r="39" ht="15.75" customHeight="1">
      <c r="A39" s="36">
        <v>37.0</v>
      </c>
      <c r="B39" s="56" t="str">
        <f t="shared" si="3"/>
        <v>#NAME?</v>
      </c>
      <c r="C39" s="94">
        <f t="shared" si="5"/>
        <v>4</v>
      </c>
      <c r="D39" s="95">
        <v>46135.0</v>
      </c>
      <c r="E39" s="95">
        <f t="shared" si="2"/>
        <v>46135</v>
      </c>
      <c r="F39" s="96" t="s">
        <v>591</v>
      </c>
      <c r="G39" s="97" t="s">
        <v>766</v>
      </c>
      <c r="H39" s="98"/>
      <c r="I39" s="99">
        <v>32373.0</v>
      </c>
      <c r="J39" s="99"/>
      <c r="K39" s="99">
        <f t="shared" si="4"/>
        <v>214076.01</v>
      </c>
      <c r="L39" s="62" t="s">
        <v>45</v>
      </c>
      <c r="M39" s="62" t="s">
        <v>718</v>
      </c>
      <c r="N39" s="63"/>
      <c r="O39" s="62" t="s">
        <v>60</v>
      </c>
      <c r="P39" s="30" t="s">
        <v>767</v>
      </c>
      <c r="Q39" s="63" t="s">
        <v>44</v>
      </c>
      <c r="R39" s="100"/>
      <c r="S39" s="100"/>
      <c r="T39" s="100"/>
      <c r="U39" s="101" t="s">
        <v>761</v>
      </c>
      <c r="V39" s="30"/>
      <c r="W39" s="30" t="str">
        <f>IFERROR(__xludf.DUMMYFUNCTION("LET(ref,IF(ISBLANK(H39),""N/A"",H39),apt,IF(ISBLANK(T39),"""","" | Apt#: ""&amp;T39),payee,TRIM(IFERROR(REGEXEXTRACT(SUBSTITUTE(G39,CHAR(10),"" ""),""(?i)(?:NEFT|RTGS)\s+[A-Z0-9]+\s+(.+?)\s+[A-Z]{4}0[A-Z0-9]{6}""),IFERROR(REGEXEXTRACT(SUBSTITUTE(G39,CHAR(10),"&amp;""" ""),""(?i)TO\s+(?:[0-9]+\s+TRANSFER TO\s+[0-9]+\s+TO\s+)?(.+)$""),G39))),IF(ISBLANK(U39),""Remarks Compulsory For Narration"",TRIM(IF(M39=""Internal"",IF(ISNUMBER(SEARCH(""DWARKADHIS"",G39)),IF(I39&gt;0,""Internal Fund Transfer (From xHTRA to BOM 905)"","&amp;"""Internal Fund Transfer (From BOM 905 to xHTRA)"")&amp;"" | Ref: ""&amp;ref&amp;"" | Type: ""&amp;P39&amp;"" | BU: ""&amp;L39&amp;"" | Head: ""&amp;M39,""Internal Transfer | Ref: ""&amp;ref&amp;"" | Type: ""&amp;P39&amp;"" | BU: ""&amp;L39&amp;"" | Head: ""&amp;M39),IF(N(J39)&gt;0,IF(P39=""Customer Collection"",""Re"&amp;"ceipt Credit (Collection) ""&amp;apt&amp;"" | Ref: ""&amp;ref&amp;"" | From: ""&amp;IF(ISNUMBER(SEARCH(""SOHNA ROAD"",G39)),""Sohna Road"",""Party"")&amp;"" | BU: ""&amp;L39,""Receipt Credit from x""&amp;RIGHT(IFERROR(MID(G39,FIND(""-"",SUBSTITUTE(G39,""-"",""-"",3))+1,LEN(G39)),""0000"&amp;"""),4)&amp;"" (Purpose: ""&amp;IF(OR(ISBLANK(U39),U39=""N/A""),L39,U39)&amp;"") ""&amp;apt&amp;"" | Ref: ""&amp;ref&amp;"" | BU: ""&amp;L39&amp;"" | Head: ""&amp;M39),""Payment Disbursement (Purpose: ""&amp;IF(ISNUMBER(SEARCH(""salary"",M39)),""Salary"",U39)&amp;"") | To: ""&amp;payee&amp;"" | Ref: ""&amp;ref&amp;"" |"&amp;" BU: ""&amp;L39&amp;"" | Head: ""&amp;M39&amp;apt)))))"),"Payment Disbursement (Purpose: TDS ) | To: Central Govt Taxes | Ref: N/A | BU: Casa Romana | Head: Tax")</f>
        <v>Payment Disbursement (Purpose: TDS ) | To: Central Govt Taxes | Ref: N/A | BU: Casa Romana | Head: Tax</v>
      </c>
    </row>
    <row r="40" ht="15.75" customHeight="1">
      <c r="A40" s="36">
        <v>38.0</v>
      </c>
      <c r="B40" s="56" t="str">
        <f t="shared" si="3"/>
        <v>#NAME?</v>
      </c>
      <c r="C40" s="94">
        <f t="shared" si="5"/>
        <v>4</v>
      </c>
      <c r="D40" s="95">
        <v>46135.0</v>
      </c>
      <c r="E40" s="95">
        <f t="shared" si="2"/>
        <v>46135</v>
      </c>
      <c r="F40" s="96" t="s">
        <v>591</v>
      </c>
      <c r="G40" s="97" t="s">
        <v>772</v>
      </c>
      <c r="H40" s="98"/>
      <c r="I40" s="99">
        <v>169261.0</v>
      </c>
      <c r="J40" s="99"/>
      <c r="K40" s="99">
        <f t="shared" si="4"/>
        <v>44815.01</v>
      </c>
      <c r="L40" s="62" t="s">
        <v>45</v>
      </c>
      <c r="M40" s="62" t="s">
        <v>718</v>
      </c>
      <c r="N40" s="63"/>
      <c r="O40" s="62" t="s">
        <v>60</v>
      </c>
      <c r="P40" s="30" t="s">
        <v>43</v>
      </c>
      <c r="Q40" s="63" t="s">
        <v>44</v>
      </c>
      <c r="R40" s="100"/>
      <c r="S40" s="100"/>
      <c r="T40" s="100"/>
      <c r="U40" s="101" t="s">
        <v>761</v>
      </c>
      <c r="V40" s="30"/>
      <c r="W40" s="30" t="str">
        <f>IFERROR(__xludf.DUMMYFUNCTION("LET(ref,IF(ISBLANK(H40),""N/A"",H40),apt,IF(ISBLANK(T40),"""","" | Apt#: ""&amp;T40),payee,TRIM(IFERROR(REGEXEXTRACT(SUBSTITUTE(G40,CHAR(10),"" ""),""(?i)(?:NEFT|RTGS)\s+[A-Z0-9]+\s+(.+?)\s+[A-Z]{4}0[A-Z0-9]{6}""),IFERROR(REGEXEXTRACT(SUBSTITUTE(G40,CHAR(10),"&amp;""" ""),""(?i)TO\s+(?:[0-9]+\s+TRANSFER TO\s+[0-9]+\s+TO\s+)?(.+)$""),G40))),IF(ISBLANK(U40),""Remarks Compulsory For Narration"",TRIM(IF(M40=""Internal"",IF(ISNUMBER(SEARCH(""DWARKADHIS"",G40)),IF(I40&gt;0,""Internal Fund Transfer (From xHTRA to BOM 905)"","&amp;"""Internal Fund Transfer (From BOM 905 to xHTRA)"")&amp;"" | Ref: ""&amp;ref&amp;"" | Type: ""&amp;P40&amp;"" | BU: ""&amp;L40&amp;"" | Head: ""&amp;M40,""Internal Transfer | Ref: ""&amp;ref&amp;"" | Type: ""&amp;P40&amp;"" | BU: ""&amp;L40&amp;"" | Head: ""&amp;M40),IF(N(J40)&gt;0,IF(P40=""Customer Collection"",""Re"&amp;"ceipt Credit (Collection) ""&amp;apt&amp;"" | Ref: ""&amp;ref&amp;"" | From: ""&amp;IF(ISNUMBER(SEARCH(""SOHNA ROAD"",G40)),""Sohna Road"",""Party"")&amp;"" | BU: ""&amp;L40,""Receipt Credit from x""&amp;RIGHT(IFERROR(MID(G40,FIND(""-"",SUBSTITUTE(G40,""-"",""-"",3))+1,LEN(G40)),""0000"&amp;"""),4)&amp;"" (Purpose: ""&amp;IF(OR(ISBLANK(U40),U40=""N/A""),L40,U40)&amp;"") ""&amp;apt&amp;"" | Ref: ""&amp;ref&amp;"" | BU: ""&amp;L40&amp;"" | Head: ""&amp;M40),""Payment Disbursement (Purpose: ""&amp;IF(ISNUMBER(SEARCH(""salary"",M40)),""Salary"",U40)&amp;"") | To: ""&amp;payee&amp;"" | Ref: ""&amp;ref&amp;"" |"&amp;" BU: ""&amp;L40&amp;"" | Head: ""&amp;M40&amp;apt)))))"),"Payment Disbursement (Purpose: TDS ) | To: Central Govt Taxes | Ref: N/A | BU: Casa Romana | Head: Tax")</f>
        <v>Payment Disbursement (Purpose: TDS ) | To: Central Govt Taxes | Ref: N/A | BU: Casa Romana | Head: Tax</v>
      </c>
    </row>
    <row r="41" ht="15.75" customHeight="1">
      <c r="A41" s="36">
        <v>39.0</v>
      </c>
      <c r="B41" s="56" t="str">
        <f t="shared" si="3"/>
        <v>#NAME?</v>
      </c>
      <c r="C41" s="94">
        <f t="shared" si="5"/>
        <v>4</v>
      </c>
      <c r="D41" s="95">
        <v>46136.0</v>
      </c>
      <c r="E41" s="95">
        <f t="shared" si="2"/>
        <v>46136</v>
      </c>
      <c r="F41" s="96" t="s">
        <v>591</v>
      </c>
      <c r="G41" s="97" t="s">
        <v>776</v>
      </c>
      <c r="H41" s="98"/>
      <c r="I41" s="99"/>
      <c r="J41" s="99">
        <v>700000.0</v>
      </c>
      <c r="K41" s="99">
        <f t="shared" si="4"/>
        <v>744815.01</v>
      </c>
      <c r="L41" s="62" t="s">
        <v>45</v>
      </c>
      <c r="M41" s="62" t="s">
        <v>47</v>
      </c>
      <c r="N41" s="63"/>
      <c r="O41" s="62" t="s">
        <v>60</v>
      </c>
      <c r="P41" s="30" t="s">
        <v>82</v>
      </c>
      <c r="Q41" s="63" t="s">
        <v>50</v>
      </c>
      <c r="R41" s="100"/>
      <c r="S41" s="100"/>
      <c r="T41" s="100"/>
      <c r="U41" s="101" t="s">
        <v>75</v>
      </c>
      <c r="V41" s="30"/>
      <c r="W41" s="30" t="str">
        <f>IFERROR(__xludf.DUMMYFUNCTION("LET(ref,IF(ISBLANK(H41),""N/A"",H41),apt,IF(ISBLANK(T41),"""","" | Apt#: ""&amp;T41),payee,TRIM(IFERROR(REGEXEXTRACT(SUBSTITUTE(G41,CHAR(10),"" ""),""(?i)(?:NEFT|RTGS)\s+[A-Z0-9]+\s+(.+?)\s+[A-Z]{4}0[A-Z0-9]{6}""),IFERROR(REGEXEXTRACT(SUBSTITUTE(G41,CHAR(10),"&amp;""" ""),""(?i)TO\s+(?:[0-9]+\s+TRANSFER TO\s+[0-9]+\s+TO\s+)?(.+)$""),G41))),IF(ISBLANK(U41),""Remarks Compulsory For Narration"",TRIM(IF(M41=""Internal"",IF(ISNUMBER(SEARCH(""DWARKADHIS"",G41)),IF(I41&gt;0,""Internal Fund Transfer (From xHTRA to BOM 905)"","&amp;"""Internal Fund Transfer (From BOM 905 to xHTRA)"")&amp;"" | Ref: ""&amp;ref&amp;"" | Type: ""&amp;P41&amp;"" | BU: ""&amp;L41&amp;"" | Head: ""&amp;M41,""Internal Transfer | Ref: ""&amp;ref&amp;"" | Type: ""&amp;P41&amp;"" | BU: ""&amp;L41&amp;"" | Head: ""&amp;M41),IF(N(J41)&gt;0,IF(P41=""Customer Collection"",""Re"&amp;"ceipt Credit (Collection) ""&amp;apt&amp;"" | Ref: ""&amp;ref&amp;"" | From: ""&amp;IF(ISNUMBER(SEARCH(""SOHNA ROAD"",G41)),""Sohna Road"",""Party"")&amp;"" | BU: ""&amp;L41,""Receipt Credit from x""&amp;RIGHT(IFERROR(MID(G41,FIND(""-"",SUBSTITUTE(G41,""-"",""-"",3))+1,LEN(G41)),""0000"&amp;"""),4)&amp;"" (Purpose: ""&amp;IF(OR(ISBLANK(U41),U41=""N/A""),L41,U41)&amp;"") ""&amp;apt&amp;"" | Ref: ""&amp;ref&amp;"" | BU: ""&amp;L41&amp;"" | Head: ""&amp;M41),""Payment Disbursement (Purpose: ""&amp;IF(ISNUMBER(SEARCH(""salary"",M41)),""Salary"",U41)&amp;"") | To: ""&amp;payee&amp;"" | Ref: ""&amp;ref&amp;"" |"&amp;" BU: ""&amp;L41&amp;"" | Head: ""&amp;M41&amp;apt)))))"),"Internal Transfer | Ref: N/A | Type: Credit- no effect | BU: Casa Romana | Head: Internal")</f>
        <v>Internal Transfer | Ref: N/A | Type: Credit- no effect | BU: Casa Romana | Head: Internal</v>
      </c>
    </row>
    <row r="42" ht="15.75" customHeight="1">
      <c r="A42" s="36">
        <v>40.0</v>
      </c>
      <c r="B42" s="56" t="str">
        <f t="shared" si="3"/>
        <v>#NAME?</v>
      </c>
      <c r="C42" s="94">
        <f t="shared" si="5"/>
        <v>4</v>
      </c>
      <c r="D42" s="95">
        <v>46136.0</v>
      </c>
      <c r="E42" s="95">
        <f t="shared" si="2"/>
        <v>46136</v>
      </c>
      <c r="F42" s="96" t="s">
        <v>591</v>
      </c>
      <c r="G42" s="97" t="s">
        <v>782</v>
      </c>
      <c r="H42" s="98"/>
      <c r="I42" s="99">
        <v>700000.0</v>
      </c>
      <c r="J42" s="99"/>
      <c r="K42" s="99">
        <f t="shared" si="4"/>
        <v>44815.01</v>
      </c>
      <c r="L42" s="62" t="s">
        <v>45</v>
      </c>
      <c r="M42" s="62" t="s">
        <v>47</v>
      </c>
      <c r="N42" s="63"/>
      <c r="O42" s="62" t="s">
        <v>60</v>
      </c>
      <c r="P42" s="30" t="s">
        <v>74</v>
      </c>
      <c r="Q42" s="63" t="s">
        <v>50</v>
      </c>
      <c r="R42" s="100"/>
      <c r="S42" s="100"/>
      <c r="T42" s="100"/>
      <c r="U42" s="101" t="s">
        <v>75</v>
      </c>
      <c r="V42" s="30"/>
      <c r="W42" s="30" t="str">
        <f>IFERROR(__xludf.DUMMYFUNCTION("LET(ref,IF(ISBLANK(H42),""N/A"",H42),apt,IF(ISBLANK(T42),"""","" | Apt#: ""&amp;T42),payee,TRIM(IFERROR(REGEXEXTRACT(SUBSTITUTE(G42,CHAR(10),"" ""),""(?i)(?:NEFT|RTGS)\s+[A-Z0-9]+\s+(.+?)\s+[A-Z]{4}0[A-Z0-9]{6}""),IFERROR(REGEXEXTRACT(SUBSTITUTE(G42,CHAR(10),"&amp;""" ""),""(?i)TO\s+(?:[0-9]+\s+TRANSFER TO\s+[0-9]+\s+TO\s+)?(.+)$""),G42))),IF(ISBLANK(U42),""Remarks Compulsory For Narration"",TRIM(IF(M42=""Internal"",IF(ISNUMBER(SEARCH(""DWARKADHIS"",G42)),IF(I42&gt;0,""Internal Fund Transfer (From xHTRA to BOM 905)"","&amp;"""Internal Fund Transfer (From BOM 905 to xHTRA)"")&amp;"" | Ref: ""&amp;ref&amp;"" | Type: ""&amp;P42&amp;"" | BU: ""&amp;L42&amp;"" | Head: ""&amp;M42,""Internal Transfer | Ref: ""&amp;ref&amp;"" | Type: ""&amp;P42&amp;"" | BU: ""&amp;L42&amp;"" | Head: ""&amp;M42),IF(N(J42)&gt;0,IF(P42=""Customer Collection"",""Re"&amp;"ceipt Credit (Collection) ""&amp;apt&amp;"" | Ref: ""&amp;ref&amp;"" | From: ""&amp;IF(ISNUMBER(SEARCH(""SOHNA ROAD"",G42)),""Sohna Road"",""Party"")&amp;"" | BU: ""&amp;L42,""Receipt Credit from x""&amp;RIGHT(IFERROR(MID(G42,FIND(""-"",SUBSTITUTE(G42,""-"",""-"",3))+1,LEN(G42)),""0000"&amp;"""),4)&amp;"" (Purpose: ""&amp;IF(OR(ISBLANK(U42),U42=""N/A""),L42,U42)&amp;"") ""&amp;apt&amp;"" | Ref: ""&amp;ref&amp;"" | BU: ""&amp;L42&amp;"" | Head: ""&amp;M42),""Payment Disbursement (Purpose: ""&amp;IF(ISNUMBER(SEARCH(""salary"",M42)),""Salary"",U42)&amp;"") | To: ""&amp;payee&amp;"" | Ref: ""&amp;ref&amp;"" |"&amp;" BU: ""&amp;L42&amp;"" | Head: ""&amp;M42&amp;apt)))))"),"Internal Fund Transfer (From xHTRA to BOM 905) | Ref: N/A | Type: Free &amp; IDW Loan | BU: Casa Romana | Head: Internal")</f>
        <v>Internal Fund Transfer (From xHTRA to BOM 905) | Ref: N/A | Type: Free &amp; IDW Loan | BU: Casa Romana | Head: Internal</v>
      </c>
    </row>
    <row r="43" ht="15.75" customHeight="1">
      <c r="A43" s="36">
        <v>41.0</v>
      </c>
      <c r="B43" s="56" t="str">
        <f t="shared" si="3"/>
        <v>#NAME?</v>
      </c>
      <c r="C43" s="94">
        <f t="shared" si="5"/>
        <v>4</v>
      </c>
      <c r="D43" s="95">
        <v>46136.0</v>
      </c>
      <c r="E43" s="95">
        <f t="shared" si="2"/>
        <v>46136</v>
      </c>
      <c r="F43" s="96" t="s">
        <v>591</v>
      </c>
      <c r="G43" s="97" t="s">
        <v>787</v>
      </c>
      <c r="H43" s="98"/>
      <c r="I43" s="99">
        <v>9300.0</v>
      </c>
      <c r="J43" s="99"/>
      <c r="K43" s="99">
        <f t="shared" si="4"/>
        <v>35515.01</v>
      </c>
      <c r="L43" s="62" t="s">
        <v>45</v>
      </c>
      <c r="M43" s="62"/>
      <c r="N43" s="63"/>
      <c r="O43" s="62" t="s">
        <v>60</v>
      </c>
      <c r="P43" s="30" t="s">
        <v>43</v>
      </c>
      <c r="Q43" s="63" t="s">
        <v>44</v>
      </c>
      <c r="R43" s="100"/>
      <c r="S43" s="100"/>
      <c r="T43" s="100"/>
      <c r="U43" s="101" t="s">
        <v>75</v>
      </c>
      <c r="V43" s="30"/>
      <c r="W43" s="30" t="str">
        <f>IFERROR(__xludf.DUMMYFUNCTION("LET(ref,IF(ISBLANK(H43),""N/A"",H43),apt,IF(ISBLANK(T43),"""","" | Apt#: ""&amp;T43),payee,TRIM(IFERROR(REGEXEXTRACT(SUBSTITUTE(G43,CHAR(10),"" ""),""(?i)(?:NEFT|RTGS)\s+[A-Z0-9]+\s+(.+?)\s+[A-Z]{4}0[A-Z0-9]{6}""),IFERROR(REGEXEXTRACT(SUBSTITUTE(G43,CHAR(10),"&amp;""" ""),""(?i)TO\s+(?:[0-9]+\s+TRANSFER TO\s+[0-9]+\s+TO\s+)?(.+)$""),G43))),IF(ISBLANK(U43),""Remarks Compulsory For Narration"",TRIM(IF(M43=""Internal"",IF(ISNUMBER(SEARCH(""DWARKADHIS"",G43)),IF(I43&gt;0,""Internal Fund Transfer (From xHTRA to BOM 905)"","&amp;"""Internal Fund Transfer (From BOM 905 to xHTRA)"")&amp;"" | Ref: ""&amp;ref&amp;"" | Type: ""&amp;P43&amp;"" | BU: ""&amp;L43&amp;"" | Head: ""&amp;M43,""Internal Transfer | Ref: ""&amp;ref&amp;"" | Type: ""&amp;P43&amp;"" | BU: ""&amp;L43&amp;"" | Head: ""&amp;M43),IF(N(J43)&gt;0,IF(P43=""Customer Collection"",""Re"&amp;"ceipt Credit (Collection) ""&amp;apt&amp;"" | Ref: ""&amp;ref&amp;"" | From: ""&amp;IF(ISNUMBER(SEARCH(""SOHNA ROAD"",G43)),""Sohna Road"",""Party"")&amp;"" | BU: ""&amp;L43,""Receipt Credit from x""&amp;RIGHT(IFERROR(MID(G43,FIND(""-"",SUBSTITUTE(G43,""-"",""-"",3))+1,LEN(G43)),""0000"&amp;"""),4)&amp;"" (Purpose: ""&amp;IF(OR(ISBLANK(U43),U43=""N/A""),L43,U43)&amp;"") ""&amp;apt&amp;"" | Ref: ""&amp;ref&amp;"" | BU: ""&amp;L43&amp;"" | Head: ""&amp;M43),""Payment Disbursement (Purpose: ""&amp;IF(ISNUMBER(SEARCH(""salary"",M43)),""Salary"",U43)&amp;"") | To: ""&amp;payee&amp;"" | Ref: ""&amp;ref&amp;"" |"&amp;" BU: ""&amp;L43&amp;"" | Head: ""&amp;M43&amp;apt)))))"),"Payment Disbursement (Purpose: N/A) | To: Shivam Sorewala | Ref: N/A | BU: Casa Romana | Head:")</f>
        <v>Payment Disbursement (Purpose: N/A) | To: Shivam Sorewala | Ref: N/A | BU: Casa Romana | Head:</v>
      </c>
    </row>
    <row r="44" ht="15.75" customHeight="1">
      <c r="A44" s="36">
        <v>42.0</v>
      </c>
      <c r="B44" s="56" t="str">
        <f t="shared" si="3"/>
        <v>#NAME?</v>
      </c>
      <c r="C44" s="94">
        <f t="shared" si="5"/>
        <v>4</v>
      </c>
      <c r="D44" s="95">
        <v>46139.0</v>
      </c>
      <c r="E44" s="95">
        <f t="shared" si="2"/>
        <v>46139</v>
      </c>
      <c r="F44" s="96" t="s">
        <v>591</v>
      </c>
      <c r="G44" s="97" t="s">
        <v>793</v>
      </c>
      <c r="H44" s="98"/>
      <c r="I44" s="99"/>
      <c r="J44" s="99">
        <v>30000.0</v>
      </c>
      <c r="K44" s="99">
        <f t="shared" si="4"/>
        <v>65515.01</v>
      </c>
      <c r="L44" s="62" t="s">
        <v>45</v>
      </c>
      <c r="M44" s="62" t="s">
        <v>47</v>
      </c>
      <c r="N44" s="63"/>
      <c r="O44" s="62" t="s">
        <v>60</v>
      </c>
      <c r="P44" s="30" t="s">
        <v>51</v>
      </c>
      <c r="Q44" s="63" t="s">
        <v>50</v>
      </c>
      <c r="R44" s="100"/>
      <c r="S44" s="100"/>
      <c r="T44" s="100"/>
      <c r="U44" s="101" t="s">
        <v>75</v>
      </c>
      <c r="V44" s="30"/>
      <c r="W44" s="30" t="str">
        <f>IFERROR(__xludf.DUMMYFUNCTION("LET(ref,IF(ISBLANK(H44),""N/A"",H44),apt,IF(ISBLANK(T44),"""","" | Apt#: ""&amp;T44),payee,TRIM(IFERROR(REGEXEXTRACT(SUBSTITUTE(G44,CHAR(10),"" ""),""(?i)(?:NEFT|RTGS)\s+[A-Z0-9]+\s+(.+?)\s+[A-Z]{4}0[A-Z0-9]{6}""),IFERROR(REGEXEXTRACT(SUBSTITUTE(G44,CHAR(10),"&amp;""" ""),""(?i)TO\s+(?:[0-9]+\s+TRANSFER TO\s+[0-9]+\s+TO\s+)?(.+)$""),G44))),IF(ISBLANK(U44),""Remarks Compulsory For Narration"",TRIM(IF(M44=""Internal"",IF(ISNUMBER(SEARCH(""DWARKADHIS"",G44)),IF(I44&gt;0,""Internal Fund Transfer (From xHTRA to BOM 905)"","&amp;"""Internal Fund Transfer (From BOM 905 to xHTRA)"")&amp;"" | Ref: ""&amp;ref&amp;"" | Type: ""&amp;P44&amp;"" | BU: ""&amp;L44&amp;"" | Head: ""&amp;M44,""Internal Transfer | Ref: ""&amp;ref&amp;"" | Type: ""&amp;P44&amp;"" | BU: ""&amp;L44&amp;"" | Head: ""&amp;M44),IF(N(J44)&gt;0,IF(P44=""Customer Collection"",""Re"&amp;"ceipt Credit (Collection) ""&amp;apt&amp;"" | Ref: ""&amp;ref&amp;"" | From: ""&amp;IF(ISNUMBER(SEARCH(""SOHNA ROAD"",G44)),""Sohna Road"",""Party"")&amp;"" | BU: ""&amp;L44,""Receipt Credit from x""&amp;RIGHT(IFERROR(MID(G44,FIND(""-"",SUBSTITUTE(G44,""-"",""-"",3))+1,LEN(G44)),""0000"&amp;"""),4)&amp;"" (Purpose: ""&amp;IF(OR(ISBLANK(U44),U44=""N/A""),L44,U44)&amp;"") ""&amp;apt&amp;"" | Ref: ""&amp;ref&amp;"" | BU: ""&amp;L44&amp;"" | Head: ""&amp;M44),""Payment Disbursement (Purpose: ""&amp;IF(ISNUMBER(SEARCH(""salary"",M44)),""Salary"",U44)&amp;"") | To: ""&amp;payee&amp;"" | Ref: ""&amp;ref&amp;"" |"&amp;" BU: ""&amp;L44&amp;"" | Head: ""&amp;M44&amp;apt)))))"),"Internal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45" ht="15.75" customHeight="1">
      <c r="A45" s="36">
        <v>43.0</v>
      </c>
      <c r="B45" s="56" t="str">
        <f t="shared" si="3"/>
        <v>#NAME?</v>
      </c>
      <c r="C45" s="94">
        <f t="shared" si="5"/>
        <v>4</v>
      </c>
      <c r="D45" s="95">
        <v>46141.0</v>
      </c>
      <c r="E45" s="95">
        <f t="shared" si="2"/>
        <v>46141</v>
      </c>
      <c r="F45" s="96" t="s">
        <v>591</v>
      </c>
      <c r="G45" s="97" t="s">
        <v>798</v>
      </c>
      <c r="H45" s="98"/>
      <c r="I45" s="99">
        <v>12.3</v>
      </c>
      <c r="J45" s="99"/>
      <c r="K45" s="99">
        <f t="shared" si="4"/>
        <v>65502.71</v>
      </c>
      <c r="L45" s="62" t="s">
        <v>45</v>
      </c>
      <c r="M45" s="62" t="s">
        <v>328</v>
      </c>
      <c r="N45" s="63"/>
      <c r="O45" s="62" t="s">
        <v>60</v>
      </c>
      <c r="P45" s="30" t="s">
        <v>43</v>
      </c>
      <c r="Q45" s="63" t="s">
        <v>329</v>
      </c>
      <c r="R45" s="100"/>
      <c r="S45" s="100"/>
      <c r="T45" s="100"/>
      <c r="U45" s="101" t="s">
        <v>328</v>
      </c>
      <c r="V45" s="30"/>
      <c r="W45" s="30" t="str">
        <f>IFERROR(__xludf.DUMMYFUNCTION("LET(ref,IF(ISBLANK(H45),""N/A"",H45),apt,IF(ISBLANK(T45),"""","" | Apt#: ""&amp;T45),payee,TRIM(IFERROR(REGEXEXTRACT(SUBSTITUTE(G45,CHAR(10),"" ""),""(?i)(?:NEFT|RTGS)\s+[A-Z0-9]+\s+(.+?)\s+[A-Z]{4}0[A-Z0-9]{6}""),IFERROR(REGEXEXTRACT(SUBSTITUTE(G45,CHAR(10),"&amp;""" ""),""(?i)TO\s+(?:[0-9]+\s+TRANSFER TO\s+[0-9]+\s+TO\s+)?(.+)$""),G45))),IF(ISBLANK(U45),""Remarks Compulsory For Narration"",TRIM(IF(M45=""Internal"",IF(ISNUMBER(SEARCH(""DWARKADHIS"",G45)),IF(I45&gt;0,""Internal Fund Transfer (From xHTRA to BOM 905)"","&amp;"""Internal Fund Transfer (From BOM 905 to xHTRA)"")&amp;"" | Ref: ""&amp;ref&amp;"" | Type: ""&amp;P45&amp;"" | BU: ""&amp;L45&amp;"" | Head: ""&amp;M45,""Internal Transfer | Ref: ""&amp;ref&amp;"" | Type: ""&amp;P45&amp;"" | BU: ""&amp;L45&amp;"" | Head: ""&amp;M45),IF(N(J45)&gt;0,IF(P45=""Customer Collection"",""Re"&amp;"ceipt Credit (Collection) ""&amp;apt&amp;"" | Ref: ""&amp;ref&amp;"" | From: ""&amp;IF(ISNUMBER(SEARCH(""SOHNA ROAD"",G45)),""Sohna Road"",""Party"")&amp;"" | BU: ""&amp;L45,""Receipt Credit from x""&amp;RIGHT(IFERROR(MID(G45,FIND(""-"",SUBSTITUTE(G45,""-"",""-"",3))+1,LEN(G45)),""0000"&amp;"""),4)&amp;"" (Purpose: ""&amp;IF(OR(ISBLANK(U45),U45=""N/A""),L45,U45)&amp;"") ""&amp;apt&amp;"" | Ref: ""&amp;ref&amp;"" | BU: ""&amp;L45&amp;"" | Head: ""&amp;M45),""Payment Disbursement (Purpose: ""&amp;IF(ISNUMBER(SEARCH(""salary"",M45)),""Salary"",U45)&amp;"") | To: ""&amp;payee&amp;"" | Ref: ""&amp;ref&amp;"" |"&amp;" BU: ""&amp;L45&amp;"" | Head: ""&amp;M45&amp;apt)))))"),"Payment Disbursement (Purpose: Bank Charges) | To: MONTHLY SMS CHA | Ref: N/A | BU: Casa Romana | Head: Bank Charges")</f>
        <v>Payment Disbursement (Purpose: Bank Charges) | To: MONTHLY SMS CHA | Ref: N/A | BU: Casa Romana | Head: Bank Charges</v>
      </c>
    </row>
    <row r="46" ht="15.75" customHeight="1">
      <c r="A46" s="36">
        <v>44.0</v>
      </c>
      <c r="B46" s="56" t="str">
        <f t="shared" si="3"/>
        <v>#NAME?</v>
      </c>
      <c r="C46" s="94">
        <f t="shared" si="5"/>
        <v>4</v>
      </c>
      <c r="D46" s="95">
        <v>46141.0</v>
      </c>
      <c r="E46" s="95">
        <f t="shared" si="2"/>
        <v>46141</v>
      </c>
      <c r="F46" s="96" t="s">
        <v>591</v>
      </c>
      <c r="G46" s="97" t="s">
        <v>612</v>
      </c>
      <c r="H46" s="98"/>
      <c r="I46" s="99">
        <v>2.21</v>
      </c>
      <c r="J46" s="99"/>
      <c r="K46" s="99">
        <f t="shared" si="4"/>
        <v>65500.5</v>
      </c>
      <c r="L46" s="62" t="s">
        <v>45</v>
      </c>
      <c r="M46" s="62" t="s">
        <v>328</v>
      </c>
      <c r="N46" s="63"/>
      <c r="O46" s="62" t="s">
        <v>60</v>
      </c>
      <c r="P46" s="30" t="s">
        <v>43</v>
      </c>
      <c r="Q46" s="63" t="s">
        <v>329</v>
      </c>
      <c r="R46" s="100"/>
      <c r="S46" s="100"/>
      <c r="T46" s="100"/>
      <c r="U46" s="101" t="s">
        <v>330</v>
      </c>
      <c r="V46" s="30"/>
      <c r="W46" s="30" t="str">
        <f>IFERROR(__xludf.DUMMYFUNCTION("LET(ref,IF(ISBLANK(H46),""N/A"",H46),apt,IF(ISBLANK(T46),"""","" | Apt#: ""&amp;T46),payee,TRIM(IFERROR(REGEXEXTRACT(SUBSTITUTE(G46,CHAR(10),"" ""),""(?i)(?:NEFT|RTGS)\s+[A-Z0-9]+\s+(.+?)\s+[A-Z]{4}0[A-Z0-9]{6}""),IFERROR(REGEXEXTRACT(SUBSTITUTE(G46,CHAR(10),"&amp;""" ""),""(?i)TO\s+(?:[0-9]+\s+TRANSFER TO\s+[0-9]+\s+TO\s+)?(.+)$""),G46))),IF(ISBLANK(U46),""Remarks Compulsory For Narration"",TRIM(IF(M46=""Internal"",IF(ISNUMBER(SEARCH(""DWARKADHIS"",G46)),IF(I46&gt;0,""Internal Fund Transfer (From xHTRA to BOM 905)"","&amp;"""Internal Fund Transfer (From BOM 905 to xHTRA)"")&amp;"" | Ref: ""&amp;ref&amp;"" | Type: ""&amp;P46&amp;"" | BU: ""&amp;L46&amp;"" | Head: ""&amp;M46,""Internal Transfer | Ref: ""&amp;ref&amp;"" | Type: ""&amp;P46&amp;"" | BU: ""&amp;L46&amp;"" | Head: ""&amp;M46),IF(N(J46)&gt;0,IF(P46=""Customer Collection"",""Re"&amp;"ceipt Credit (Collection) ""&amp;apt&amp;"" | Ref: ""&amp;ref&amp;"" | From: ""&amp;IF(ISNUMBER(SEARCH(""SOHNA ROAD"",G46)),""Sohna Road"",""Party"")&amp;"" | BU: ""&amp;L46,""Receipt Credit from x""&amp;RIGHT(IFERROR(MID(G46,FIND(""-"",SUBSTITUTE(G46,""-"",""-"",3))+1,LEN(G46)),""0000"&amp;"""),4)&amp;"" (Purpose: ""&amp;IF(OR(ISBLANK(U46),U46=""N/A""),L46,U46)&amp;"") ""&amp;apt&amp;"" | Ref: ""&amp;ref&amp;"" | BU: ""&amp;L46&amp;"" | Head: ""&amp;M46),""Payment Disbursement (Purpose: ""&amp;IF(ISNUMBER(SEARCH(""salary"",M46)),""Salary"",U46)&amp;"") | To: ""&amp;payee&amp;"" | Ref: ""&amp;ref&amp;"" |"&amp;" BU: ""&amp;L46&amp;"" | Head: ""&amp;M46&amp;apt)))))"),"Payment Disbursement (Purpose: GST On Bank Charges) | To: GST | Ref: N/A | BU: Casa Romana | Head: Bank Charges")</f>
        <v>Payment Disbursement (Purpose: GST On Bank Charges) | To: GST | Ref: N/A | BU: Casa Romana | Head: Bank Charges</v>
      </c>
    </row>
    <row r="47" ht="15.75" customHeight="1">
      <c r="A47" s="36">
        <v>45.0</v>
      </c>
      <c r="B47" s="56" t="str">
        <f t="shared" si="3"/>
        <v>#NAME?</v>
      </c>
      <c r="C47" s="94">
        <f t="shared" si="5"/>
        <v>4</v>
      </c>
      <c r="D47" s="95">
        <v>46142.0</v>
      </c>
      <c r="E47" s="95">
        <f t="shared" si="2"/>
        <v>46142</v>
      </c>
      <c r="F47" s="96" t="s">
        <v>591</v>
      </c>
      <c r="G47" s="97" t="s">
        <v>808</v>
      </c>
      <c r="H47" s="98"/>
      <c r="I47" s="99"/>
      <c r="J47" s="99">
        <v>15000.0</v>
      </c>
      <c r="K47" s="99">
        <f t="shared" si="4"/>
        <v>80500.5</v>
      </c>
      <c r="L47" s="62" t="s">
        <v>45</v>
      </c>
      <c r="M47" s="62" t="s">
        <v>47</v>
      </c>
      <c r="N47" s="63"/>
      <c r="O47" s="62" t="s">
        <v>60</v>
      </c>
      <c r="P47" s="30" t="s">
        <v>51</v>
      </c>
      <c r="Q47" s="63" t="s">
        <v>50</v>
      </c>
      <c r="R47" s="100"/>
      <c r="S47" s="100"/>
      <c r="T47" s="100"/>
      <c r="U47" s="101" t="s">
        <v>75</v>
      </c>
      <c r="V47" s="30"/>
      <c r="W47" s="30" t="str">
        <f>IFERROR(__xludf.DUMMYFUNCTION("LET(ref,IF(ISBLANK(H47),""N/A"",H47),apt,IF(ISBLANK(T47),"""","" | Apt#: ""&amp;T47),payee,TRIM(IFERROR(REGEXEXTRACT(SUBSTITUTE(G47,CHAR(10),"" ""),""(?i)(?:NEFT|RTGS)\s+[A-Z0-9]+\s+(.+?)\s+[A-Z]{4}0[A-Z0-9]{6}""),IFERROR(REGEXEXTRACT(SUBSTITUTE(G47,CHAR(10),"&amp;""" ""),""(?i)TO\s+(?:[0-9]+\s+TRANSFER TO\s+[0-9]+\s+TO\s+)?(.+)$""),G47))),IF(ISBLANK(U47),""Remarks Compulsory For Narration"",TRIM(IF(M47=""Internal"",IF(ISNUMBER(SEARCH(""DWARKADHIS"",G47)),IF(I47&gt;0,""Internal Fund Transfer (From xHTRA to BOM 905)"","&amp;"""Internal Fund Transfer (From BOM 905 to xHTRA)"")&amp;"" | Ref: ""&amp;ref&amp;"" | Type: ""&amp;P47&amp;"" | BU: ""&amp;L47&amp;"" | Head: ""&amp;M47,""Internal Transfer | Ref: ""&amp;ref&amp;"" | Type: ""&amp;P47&amp;"" | BU: ""&amp;L47&amp;"" | Head: ""&amp;M47),IF(N(J47)&gt;0,IF(P47=""Customer Collection"",""Re"&amp;"ceipt Credit (Collection) ""&amp;apt&amp;"" | Ref: ""&amp;ref&amp;"" | From: ""&amp;IF(ISNUMBER(SEARCH(""SOHNA ROAD"",G47)),""Sohna Road"",""Party"")&amp;"" | BU: ""&amp;L47,""Receipt Credit from x""&amp;RIGHT(IFERROR(MID(G47,FIND(""-"",SUBSTITUTE(G47,""-"",""-"",3))+1,LEN(G47)),""0000"&amp;"""),4)&amp;"" (Purpose: ""&amp;IF(OR(ISBLANK(U47),U47=""N/A""),L47,U47)&amp;"") ""&amp;apt&amp;"" | Ref: ""&amp;ref&amp;"" | BU: ""&amp;L47&amp;"" | Head: ""&amp;M47),""Payment Disbursement (Purpose: ""&amp;IF(ISNUMBER(SEARCH(""salary"",M47)),""Salary"",U47)&amp;"") | To: ""&amp;payee&amp;"" | Ref: ""&amp;ref&amp;"" |"&amp;" BU: ""&amp;L47&amp;"" | Head: ""&amp;M47&amp;apt)))))"),"Internal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48" ht="15.75" customHeight="1">
      <c r="A48" s="36">
        <v>46.0</v>
      </c>
      <c r="B48" s="56" t="str">
        <f t="shared" si="3"/>
        <v>#NAME?</v>
      </c>
      <c r="C48" s="94">
        <f t="shared" si="5"/>
        <v>4</v>
      </c>
      <c r="D48" s="95">
        <v>46142.0</v>
      </c>
      <c r="E48" s="95">
        <f t="shared" si="2"/>
        <v>46142</v>
      </c>
      <c r="F48" s="96" t="s">
        <v>591</v>
      </c>
      <c r="G48" s="97" t="s">
        <v>817</v>
      </c>
      <c r="H48" s="98"/>
      <c r="I48" s="99"/>
      <c r="J48" s="99">
        <v>49146.2</v>
      </c>
      <c r="K48" s="127">
        <f t="shared" si="4"/>
        <v>129646.7</v>
      </c>
      <c r="L48" s="62" t="s">
        <v>45</v>
      </c>
      <c r="M48" s="62" t="s">
        <v>47</v>
      </c>
      <c r="N48" s="63"/>
      <c r="O48" s="62" t="s">
        <v>60</v>
      </c>
      <c r="P48" s="30" t="s">
        <v>51</v>
      </c>
      <c r="Q48" s="63" t="s">
        <v>50</v>
      </c>
      <c r="R48" s="100"/>
      <c r="S48" s="100"/>
      <c r="T48" s="100"/>
      <c r="U48" s="101" t="s">
        <v>75</v>
      </c>
      <c r="V48" s="30"/>
      <c r="W48" s="30" t="str">
        <f>IFERROR(__xludf.DUMMYFUNCTION("LET(ref,IF(ISBLANK(H48),""N/A"",H48),apt,IF(ISBLANK(T48),"""","" | Apt#: ""&amp;T48),payee,TRIM(IFERROR(REGEXEXTRACT(SUBSTITUTE(G48,CHAR(10),"" ""),""(?i)(?:NEFT|RTGS)\s+[A-Z0-9]+\s+(.+?)\s+[A-Z]{4}0[A-Z0-9]{6}""),IFERROR(REGEXEXTRACT(SUBSTITUTE(G48,CHAR(10),"&amp;""" ""),""(?i)TO\s+(?:[0-9]+\s+TRANSFER TO\s+[0-9]+\s+TO\s+)?(.+)$""),G48))),IF(ISBLANK(U48),""Remarks Compulsory For Narration"",TRIM(IF(M48=""Internal"",IF(ISNUMBER(SEARCH(""DWARKADHIS"",G48)),IF(I48&gt;0,""Internal Fund Transfer (From xHTRA to BOM 905)"","&amp;"""Internal Fund Transfer (From BOM 905 to xHTRA)"")&amp;"" | Ref: ""&amp;ref&amp;"" | Type: ""&amp;P48&amp;"" | BU: ""&amp;L48&amp;"" | Head: ""&amp;M48,""Internal Transfer | Ref: ""&amp;ref&amp;"" | Type: ""&amp;P48&amp;"" | BU: ""&amp;L48&amp;"" | Head: ""&amp;M48),IF(N(J48)&gt;0,IF(P48=""Customer Collection"",""Re"&amp;"ceipt Credit (Collection) ""&amp;apt&amp;"" | Ref: ""&amp;ref&amp;"" | From: ""&amp;IF(ISNUMBER(SEARCH(""SOHNA ROAD"",G48)),""Sohna Road"",""Party"")&amp;"" | BU: ""&amp;L48,""Receipt Credit from x""&amp;RIGHT(IFERROR(MID(G48,FIND(""-"",SUBSTITUTE(G48,""-"",""-"",3))+1,LEN(G48)),""0000"&amp;"""),4)&amp;"" (Purpose: ""&amp;IF(OR(ISBLANK(U48),U48=""N/A""),L48,U48)&amp;"") ""&amp;apt&amp;"" | Ref: ""&amp;ref&amp;"" | BU: ""&amp;L48&amp;"" | Head: ""&amp;M48),""Payment Disbursement (Purpose: ""&amp;IF(ISNUMBER(SEARCH(""salary"",M48)),""Salary"",U48)&amp;"") | To: ""&amp;payee&amp;"" | Ref: ""&amp;ref&amp;"" |"&amp;" BU: ""&amp;L48&amp;"" | Head: ""&amp;M48&amp;apt)))))"),"Internal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49" ht="15.75" customHeight="1">
      <c r="A49" s="36">
        <v>47.0</v>
      </c>
      <c r="B49" s="56" t="str">
        <f t="shared" si="3"/>
        <v>#NAME?</v>
      </c>
      <c r="C49" s="94">
        <f t="shared" si="5"/>
        <v>5</v>
      </c>
      <c r="D49" s="95">
        <v>46143.0</v>
      </c>
      <c r="E49" s="95">
        <f t="shared" si="2"/>
        <v>46143</v>
      </c>
      <c r="F49" s="96" t="s">
        <v>591</v>
      </c>
      <c r="G49" s="97" t="s">
        <v>824</v>
      </c>
      <c r="H49" s="98"/>
      <c r="I49" s="99"/>
      <c r="J49" s="99">
        <v>20479.0</v>
      </c>
      <c r="K49" s="99">
        <f t="shared" si="4"/>
        <v>150125.7</v>
      </c>
      <c r="L49" s="62" t="s">
        <v>45</v>
      </c>
      <c r="M49" s="62" t="s">
        <v>47</v>
      </c>
      <c r="N49" s="63"/>
      <c r="O49" s="62" t="s">
        <v>60</v>
      </c>
      <c r="P49" s="30" t="s">
        <v>51</v>
      </c>
      <c r="Q49" s="63" t="s">
        <v>50</v>
      </c>
      <c r="R49" s="100"/>
      <c r="S49" s="100"/>
      <c r="T49" s="100"/>
      <c r="U49" s="101" t="s">
        <v>75</v>
      </c>
      <c r="V49" s="30"/>
      <c r="W49" s="30" t="str">
        <f>IFERROR(__xludf.DUMMYFUNCTION("LET(ref,IF(ISBLANK(H49),""N/A"",H49),apt,IF(ISBLANK(T49),"""","" | Apt#: ""&amp;T49),payee,TRIM(IFERROR(REGEXEXTRACT(SUBSTITUTE(G49,CHAR(10),"" ""),""(?i)(?:NEFT|RTGS)\s+[A-Z0-9]+\s+(.+?)\s+[A-Z]{4}0[A-Z0-9]{6}""),IFERROR(REGEXEXTRACT(SUBSTITUTE(G49,CHAR(10),"&amp;""" ""),""(?i)TO\s+(?:[0-9]+\s+TRANSFER TO\s+[0-9]+\s+TO\s+)?(.+)$""),G49))),IF(ISBLANK(U49),""Remarks Compulsory For Narration"",TRIM(IF(M49=""Internal"",IF(ISNUMBER(SEARCH(""DWARKADHIS"",G49)),IF(I49&gt;0,""Internal Fund Transfer (From xHTRA to BOM 905)"","&amp;"""Internal Fund Transfer (From BOM 905 to xHTRA)"")&amp;"" | Ref: ""&amp;ref&amp;"" | Type: ""&amp;P49&amp;"" | BU: ""&amp;L49&amp;"" | Head: ""&amp;M49,""Internal Transfer | Ref: ""&amp;ref&amp;"" | Type: ""&amp;P49&amp;"" | BU: ""&amp;L49&amp;"" | Head: ""&amp;M49),IF(N(J49)&gt;0,IF(P49=""Customer Collection"",""Re"&amp;"ceipt Credit (Collection) ""&amp;apt&amp;"" | Ref: ""&amp;ref&amp;"" | From: ""&amp;IF(ISNUMBER(SEARCH(""SOHNA ROAD"",G49)),""Sohna Road"",""Party"")&amp;"" | BU: ""&amp;L49,""Receipt Credit from x""&amp;RIGHT(IFERROR(MID(G49,FIND(""-"",SUBSTITUTE(G49,""-"",""-"",3))+1,LEN(G49)),""0000"&amp;"""),4)&amp;"" (Purpose: ""&amp;IF(OR(ISBLANK(U49),U49=""N/A""),L49,U49)&amp;"") ""&amp;apt&amp;"" | Ref: ""&amp;ref&amp;"" | BU: ""&amp;L49&amp;"" | Head: ""&amp;M49),""Payment Disbursement (Purpose: ""&amp;IF(ISNUMBER(SEARCH(""salary"",M49)),""Salary"",U49)&amp;"") | To: ""&amp;payee&amp;"" | Ref: ""&amp;ref&amp;"" |"&amp;" BU: ""&amp;L49&amp;"" | Head: ""&amp;M49&amp;apt)))))"),"Internal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0" ht="15.75" customHeight="1">
      <c r="A50" s="36">
        <v>48.0</v>
      </c>
      <c r="B50" s="56" t="str">
        <f t="shared" si="3"/>
        <v>#NAME?</v>
      </c>
      <c r="C50" s="94">
        <f t="shared" si="5"/>
        <v>5</v>
      </c>
      <c r="D50" s="95">
        <v>46146.0</v>
      </c>
      <c r="E50" s="95">
        <f t="shared" si="2"/>
        <v>46146</v>
      </c>
      <c r="F50" s="96" t="s">
        <v>591</v>
      </c>
      <c r="G50" s="97" t="s">
        <v>831</v>
      </c>
      <c r="H50" s="98"/>
      <c r="I50" s="99"/>
      <c r="J50" s="99">
        <v>339059.4</v>
      </c>
      <c r="K50" s="99">
        <f t="shared" si="4"/>
        <v>489185.1</v>
      </c>
      <c r="L50" s="62" t="s">
        <v>45</v>
      </c>
      <c r="M50" s="62" t="s">
        <v>47</v>
      </c>
      <c r="N50" s="63"/>
      <c r="O50" s="62" t="s">
        <v>60</v>
      </c>
      <c r="P50" s="30" t="s">
        <v>51</v>
      </c>
      <c r="Q50" s="63" t="s">
        <v>50</v>
      </c>
      <c r="R50" s="100"/>
      <c r="S50" s="100"/>
      <c r="T50" s="100"/>
      <c r="U50" s="101" t="s">
        <v>75</v>
      </c>
      <c r="V50" s="30"/>
      <c r="W50" s="30" t="str">
        <f>IFERROR(__xludf.DUMMYFUNCTION("LET(ref,IF(ISBLANK(H50),""N/A"",H50),apt,IF(ISBLANK(T50),"""","" | Apt#: ""&amp;T50),payee,TRIM(IFERROR(REGEXEXTRACT(SUBSTITUTE(G50,CHAR(10),"" ""),""(?i)(?:NEFT|RTGS)\s+[A-Z0-9]+\s+(.+?)\s+[A-Z]{4}0[A-Z0-9]{6}""),IFERROR(REGEXEXTRACT(SUBSTITUTE(G50,CHAR(10),"&amp;""" ""),""(?i)TO\s+(?:[0-9]+\s+TRANSFER TO\s+[0-9]+\s+TO\s+)?(.+)$""),G50))),IF(ISBLANK(U50),""Remarks Compulsory For Narration"",TRIM(IF(M50=""Internal"",IF(ISNUMBER(SEARCH(""DWARKADHIS"",G50)),IF(I50&gt;0,""Internal Fund Transfer (From xHTRA to BOM 905)"","&amp;"""Internal Fund Transfer (From BOM 905 to xHTRA)"")&amp;"" | Ref: ""&amp;ref&amp;"" | Type: ""&amp;P50&amp;"" | BU: ""&amp;L50&amp;"" | Head: ""&amp;M50,""Internal Transfer | Ref: ""&amp;ref&amp;"" | Type: ""&amp;P50&amp;"" | BU: ""&amp;L50&amp;"" | Head: ""&amp;M50),IF(N(J50)&gt;0,IF(P50=""Customer Collection"",""Re"&amp;"ceipt Credit (Collection) ""&amp;apt&amp;"" | Ref: ""&amp;ref&amp;"" | From: ""&amp;IF(ISNUMBER(SEARCH(""SOHNA ROAD"",G50)),""Sohna Road"",""Party"")&amp;"" | BU: ""&amp;L50,""Receipt Credit from x""&amp;RIGHT(IFERROR(MID(G50,FIND(""-"",SUBSTITUTE(G50,""-"",""-"",3))+1,LEN(G50)),""0000"&amp;"""),4)&amp;"" (Purpose: ""&amp;IF(OR(ISBLANK(U50),U50=""N/A""),L50,U50)&amp;"") ""&amp;apt&amp;"" | Ref: ""&amp;ref&amp;"" | BU: ""&amp;L50&amp;"" | Head: ""&amp;M50),""Payment Disbursement (Purpose: ""&amp;IF(ISNUMBER(SEARCH(""salary"",M50)),""Salary"",U50)&amp;"") | To: ""&amp;payee&amp;"" | Ref: ""&amp;ref&amp;"" |"&amp;" BU: ""&amp;L50&amp;"" | Head: ""&amp;M50&amp;apt)))))"),"Internal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1" ht="15.75" customHeight="1">
      <c r="A51" s="36">
        <v>49.0</v>
      </c>
      <c r="B51" s="56" t="str">
        <f t="shared" si="3"/>
        <v>#NAME?</v>
      </c>
      <c r="C51" s="94">
        <f t="shared" si="5"/>
        <v>5</v>
      </c>
      <c r="D51" s="95">
        <v>46146.0</v>
      </c>
      <c r="E51" s="95">
        <f t="shared" si="2"/>
        <v>46146</v>
      </c>
      <c r="F51" s="96" t="s">
        <v>591</v>
      </c>
      <c r="G51" s="97" t="s">
        <v>837</v>
      </c>
      <c r="H51" s="98"/>
      <c r="I51" s="99"/>
      <c r="J51" s="99">
        <v>17781.6</v>
      </c>
      <c r="K51" s="99">
        <f t="shared" si="4"/>
        <v>506966.7</v>
      </c>
      <c r="L51" s="62" t="s">
        <v>45</v>
      </c>
      <c r="M51" s="62" t="s">
        <v>47</v>
      </c>
      <c r="N51" s="63"/>
      <c r="O51" s="62" t="s">
        <v>60</v>
      </c>
      <c r="P51" s="30" t="s">
        <v>51</v>
      </c>
      <c r="Q51" s="63" t="s">
        <v>50</v>
      </c>
      <c r="R51" s="100"/>
      <c r="S51" s="100"/>
      <c r="T51" s="100"/>
      <c r="U51" s="101" t="s">
        <v>75</v>
      </c>
      <c r="V51" s="30"/>
      <c r="W51" s="30" t="str">
        <f>IFERROR(__xludf.DUMMYFUNCTION("LET(ref,IF(ISBLANK(H51),""N/A"",H51),apt,IF(ISBLANK(T51),"""","" | Apt#: ""&amp;T51),payee,TRIM(IFERROR(REGEXEXTRACT(SUBSTITUTE(G51,CHAR(10),"" ""),""(?i)(?:NEFT|RTGS)\s+[A-Z0-9]+\s+(.+?)\s+[A-Z]{4}0[A-Z0-9]{6}""),IFERROR(REGEXEXTRACT(SUBSTITUTE(G51,CHAR(10),"&amp;""" ""),""(?i)TO\s+(?:[0-9]+\s+TRANSFER TO\s+[0-9]+\s+TO\s+)?(.+)$""),G51))),IF(ISBLANK(U51),""Remarks Compulsory For Narration"",TRIM(IF(M51=""Internal"",IF(ISNUMBER(SEARCH(""DWARKADHIS"",G51)),IF(I51&gt;0,""Internal Fund Transfer (From xHTRA to BOM 905)"","&amp;"""Internal Fund Transfer (From BOM 905 to xHTRA)"")&amp;"" | Ref: ""&amp;ref&amp;"" | Type: ""&amp;P51&amp;"" | BU: ""&amp;L51&amp;"" | Head: ""&amp;M51,""Internal Transfer | Ref: ""&amp;ref&amp;"" | Type: ""&amp;P51&amp;"" | BU: ""&amp;L51&amp;"" | Head: ""&amp;M51),IF(N(J51)&gt;0,IF(P51=""Customer Collection"",""Re"&amp;"ceipt Credit (Collection) ""&amp;apt&amp;"" | Ref: ""&amp;ref&amp;"" | From: ""&amp;IF(ISNUMBER(SEARCH(""SOHNA ROAD"",G51)),""Sohna Road"",""Party"")&amp;"" | BU: ""&amp;L51,""Receipt Credit from x""&amp;RIGHT(IFERROR(MID(G51,FIND(""-"",SUBSTITUTE(G51,""-"",""-"",3))+1,LEN(G51)),""0000"&amp;"""),4)&amp;"" (Purpose: ""&amp;IF(OR(ISBLANK(U51),U51=""N/A""),L51,U51)&amp;"") ""&amp;apt&amp;"" | Ref: ""&amp;ref&amp;"" | BU: ""&amp;L51&amp;"" | Head: ""&amp;M51),""Payment Disbursement (Purpose: ""&amp;IF(ISNUMBER(SEARCH(""salary"",M51)),""Salary"",U51)&amp;"") | To: ""&amp;payee&amp;"" | Ref: ""&amp;ref&amp;"" |"&amp;" BU: ""&amp;L51&amp;"" | Head: ""&amp;M51&amp;apt)))))"),"Internal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2" ht="15.75" customHeight="1">
      <c r="A52" s="36">
        <v>50.0</v>
      </c>
      <c r="B52" s="56" t="str">
        <f t="shared" si="3"/>
        <v>#NAME?</v>
      </c>
      <c r="C52" s="94">
        <f t="shared" si="5"/>
        <v>5</v>
      </c>
      <c r="D52" s="95">
        <v>46146.0</v>
      </c>
      <c r="E52" s="95">
        <f t="shared" si="2"/>
        <v>46146</v>
      </c>
      <c r="F52" s="96" t="s">
        <v>591</v>
      </c>
      <c r="G52" s="97" t="s">
        <v>843</v>
      </c>
      <c r="H52" s="98"/>
      <c r="I52" s="99"/>
      <c r="J52" s="99">
        <v>15000.0</v>
      </c>
      <c r="K52" s="99">
        <f t="shared" si="4"/>
        <v>521966.7</v>
      </c>
      <c r="L52" s="62" t="s">
        <v>45</v>
      </c>
      <c r="M52" s="62" t="s">
        <v>47</v>
      </c>
      <c r="N52" s="63"/>
      <c r="O52" s="62" t="s">
        <v>60</v>
      </c>
      <c r="P52" s="30" t="s">
        <v>51</v>
      </c>
      <c r="Q52" s="63" t="s">
        <v>50</v>
      </c>
      <c r="R52" s="100"/>
      <c r="S52" s="100"/>
      <c r="T52" s="100"/>
      <c r="U52" s="101" t="s">
        <v>75</v>
      </c>
      <c r="V52" s="30"/>
      <c r="W52" s="30" t="str">
        <f>IFERROR(__xludf.DUMMYFUNCTION("LET(ref,IF(ISBLANK(H52),""N/A"",H52),apt,IF(ISBLANK(T52),"""","" | Apt#: ""&amp;T52),payee,TRIM(IFERROR(REGEXEXTRACT(SUBSTITUTE(G52,CHAR(10),"" ""),""(?i)(?:NEFT|RTGS)\s+[A-Z0-9]+\s+(.+?)\s+[A-Z]{4}0[A-Z0-9]{6}""),IFERROR(REGEXEXTRACT(SUBSTITUTE(G52,CHAR(10),"&amp;""" ""),""(?i)TO\s+(?:[0-9]+\s+TRANSFER TO\s+[0-9]+\s+TO\s+)?(.+)$""),G52))),IF(ISBLANK(U52),""Remarks Compulsory For Narration"",TRIM(IF(M52=""Internal"",IF(ISNUMBER(SEARCH(""DWARKADHIS"",G52)),IF(I52&gt;0,""Internal Fund Transfer (From xHTRA to BOM 905)"","&amp;"""Internal Fund Transfer (From BOM 905 to xHTRA)"")&amp;"" | Ref: ""&amp;ref&amp;"" | Type: ""&amp;P52&amp;"" | BU: ""&amp;L52&amp;"" | Head: ""&amp;M52,""Internal Transfer | Ref: ""&amp;ref&amp;"" | Type: ""&amp;P52&amp;"" | BU: ""&amp;L52&amp;"" | Head: ""&amp;M52),IF(N(J52)&gt;0,IF(P52=""Customer Collection"",""Re"&amp;"ceipt Credit (Collection) ""&amp;apt&amp;"" | Ref: ""&amp;ref&amp;"" | From: ""&amp;IF(ISNUMBER(SEARCH(""SOHNA ROAD"",G52)),""Sohna Road"",""Party"")&amp;"" | BU: ""&amp;L52,""Receipt Credit from x""&amp;RIGHT(IFERROR(MID(G52,FIND(""-"",SUBSTITUTE(G52,""-"",""-"",3))+1,LEN(G52)),""0000"&amp;"""),4)&amp;"" (Purpose: ""&amp;IF(OR(ISBLANK(U52),U52=""N/A""),L52,U52)&amp;"") ""&amp;apt&amp;"" | Ref: ""&amp;ref&amp;"" | BU: ""&amp;L52&amp;"" | Head: ""&amp;M52),""Payment Disbursement (Purpose: ""&amp;IF(ISNUMBER(SEARCH(""salary"",M52)),""Salary"",U52)&amp;"") | To: ""&amp;payee&amp;"" | Ref: ""&amp;ref&amp;"" |"&amp;" BU: ""&amp;L52&amp;"" | Head: ""&amp;M52&amp;apt)))))"),"Internal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3" ht="15.75" customHeight="1">
      <c r="A53" s="36">
        <v>51.0</v>
      </c>
      <c r="B53" s="56" t="str">
        <f t="shared" si="3"/>
        <v>#NAME?</v>
      </c>
      <c r="C53" s="94">
        <f t="shared" si="5"/>
        <v>5</v>
      </c>
      <c r="D53" s="95">
        <v>46147.0</v>
      </c>
      <c r="E53" s="95">
        <f t="shared" si="2"/>
        <v>46147</v>
      </c>
      <c r="F53" s="96" t="s">
        <v>591</v>
      </c>
      <c r="G53" s="97" t="s">
        <v>849</v>
      </c>
      <c r="H53" s="98"/>
      <c r="I53" s="99"/>
      <c r="J53" s="99">
        <v>163591.5</v>
      </c>
      <c r="K53" s="99">
        <f t="shared" si="4"/>
        <v>685558.2</v>
      </c>
      <c r="L53" s="62" t="s">
        <v>45</v>
      </c>
      <c r="M53" s="62" t="s">
        <v>47</v>
      </c>
      <c r="N53" s="63"/>
      <c r="O53" s="62" t="s">
        <v>60</v>
      </c>
      <c r="P53" s="30" t="s">
        <v>51</v>
      </c>
      <c r="Q53" s="63" t="s">
        <v>50</v>
      </c>
      <c r="R53" s="100"/>
      <c r="S53" s="100"/>
      <c r="T53" s="100"/>
      <c r="U53" s="101" t="s">
        <v>75</v>
      </c>
      <c r="V53" s="30"/>
      <c r="W53" s="30" t="str">
        <f>IFERROR(__xludf.DUMMYFUNCTION("LET(ref,IF(ISBLANK(H53),""N/A"",H53),apt,IF(ISBLANK(T53),"""","" | Apt#: ""&amp;T53),payee,TRIM(IFERROR(REGEXEXTRACT(SUBSTITUTE(G53,CHAR(10),"" ""),""(?i)(?:NEFT|RTGS)\s+[A-Z0-9]+\s+(.+?)\s+[A-Z]{4}0[A-Z0-9]{6}""),IFERROR(REGEXEXTRACT(SUBSTITUTE(G53,CHAR(10),"&amp;""" ""),""(?i)TO\s+(?:[0-9]+\s+TRANSFER TO\s+[0-9]+\s+TO\s+)?(.+)$""),G53))),IF(ISBLANK(U53),""Remarks Compulsory For Narration"",TRIM(IF(M53=""Internal"",IF(ISNUMBER(SEARCH(""DWARKADHIS"",G53)),IF(I53&gt;0,""Internal Fund Transfer (From xHTRA to BOM 905)"","&amp;"""Internal Fund Transfer (From BOM 905 to xHTRA)"")&amp;"" | Ref: ""&amp;ref&amp;"" | Type: ""&amp;P53&amp;"" | BU: ""&amp;L53&amp;"" | Head: ""&amp;M53,""Internal Transfer | Ref: ""&amp;ref&amp;"" | Type: ""&amp;P53&amp;"" | BU: ""&amp;L53&amp;"" | Head: ""&amp;M53),IF(N(J53)&gt;0,IF(P53=""Customer Collection"",""Re"&amp;"ceipt Credit (Collection) ""&amp;apt&amp;"" | Ref: ""&amp;ref&amp;"" | From: ""&amp;IF(ISNUMBER(SEARCH(""SOHNA ROAD"",G53)),""Sohna Road"",""Party"")&amp;"" | BU: ""&amp;L53,""Receipt Credit from x""&amp;RIGHT(IFERROR(MID(G53,FIND(""-"",SUBSTITUTE(G53,""-"",""-"",3))+1,LEN(G53)),""0000"&amp;"""),4)&amp;"" (Purpose: ""&amp;IF(OR(ISBLANK(U53),U53=""N/A""),L53,U53)&amp;"") ""&amp;apt&amp;"" | Ref: ""&amp;ref&amp;"" | BU: ""&amp;L53&amp;"" | Head: ""&amp;M53),""Payment Disbursement (Purpose: ""&amp;IF(ISNUMBER(SEARCH(""salary"",M53)),""Salary"",U53)&amp;"") | To: ""&amp;payee&amp;"" | Ref: ""&amp;ref&amp;"" |"&amp;" BU: ""&amp;L53&amp;"" | Head: ""&amp;M53&amp;apt)))))"),"Internal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4" ht="15.75" customHeight="1">
      <c r="A54" s="36">
        <v>52.0</v>
      </c>
      <c r="B54" s="56" t="str">
        <f t="shared" si="3"/>
        <v>#NAME?</v>
      </c>
      <c r="C54" s="94">
        <f t="shared" si="5"/>
        <v>5</v>
      </c>
      <c r="D54" s="95">
        <v>46148.0</v>
      </c>
      <c r="E54" s="95">
        <f t="shared" si="2"/>
        <v>46148</v>
      </c>
      <c r="F54" s="96" t="s">
        <v>591</v>
      </c>
      <c r="G54" s="97" t="s">
        <v>855</v>
      </c>
      <c r="H54" s="98"/>
      <c r="I54" s="99"/>
      <c r="J54" s="99">
        <v>76048.5</v>
      </c>
      <c r="K54" s="99">
        <f t="shared" si="4"/>
        <v>761606.7</v>
      </c>
      <c r="L54" s="62" t="s">
        <v>45</v>
      </c>
      <c r="M54" s="62" t="s">
        <v>47</v>
      </c>
      <c r="N54" s="63"/>
      <c r="O54" s="62" t="s">
        <v>60</v>
      </c>
      <c r="P54" s="30" t="s">
        <v>51</v>
      </c>
      <c r="Q54" s="63" t="s">
        <v>50</v>
      </c>
      <c r="R54" s="100"/>
      <c r="S54" s="100"/>
      <c r="T54" s="100"/>
      <c r="U54" s="101" t="s">
        <v>75</v>
      </c>
      <c r="V54" s="30"/>
      <c r="W54" s="30" t="str">
        <f>IFERROR(__xludf.DUMMYFUNCTION("LET(ref,IF(ISBLANK(H54),""N/A"",H54),apt,IF(ISBLANK(T54),"""","" | Apt#: ""&amp;T54),payee,TRIM(IFERROR(REGEXEXTRACT(SUBSTITUTE(G54,CHAR(10),"" ""),""(?i)(?:NEFT|RTGS)\s+[A-Z0-9]+\s+(.+?)\s+[A-Z]{4}0[A-Z0-9]{6}""),IFERROR(REGEXEXTRACT(SUBSTITUTE(G54,CHAR(10),"&amp;""" ""),""(?i)TO\s+(?:[0-9]+\s+TRANSFER TO\s+[0-9]+\s+TO\s+)?(.+)$""),G54))),IF(ISBLANK(U54),""Remarks Compulsory For Narration"",TRIM(IF(M54=""Internal"",IF(ISNUMBER(SEARCH(""DWARKADHIS"",G54)),IF(I54&gt;0,""Internal Fund Transfer (From xHTRA to BOM 905)"","&amp;"""Internal Fund Transfer (From BOM 905 to xHTRA)"")&amp;"" | Ref: ""&amp;ref&amp;"" | Type: ""&amp;P54&amp;"" | BU: ""&amp;L54&amp;"" | Head: ""&amp;M54,""Internal Transfer | Ref: ""&amp;ref&amp;"" | Type: ""&amp;P54&amp;"" | BU: ""&amp;L54&amp;"" | Head: ""&amp;M54),IF(N(J54)&gt;0,IF(P54=""Customer Collection"",""Re"&amp;"ceipt Credit (Collection) ""&amp;apt&amp;"" | Ref: ""&amp;ref&amp;"" | From: ""&amp;IF(ISNUMBER(SEARCH(""SOHNA ROAD"",G54)),""Sohna Road"",""Party"")&amp;"" | BU: ""&amp;L54,""Receipt Credit from x""&amp;RIGHT(IFERROR(MID(G54,FIND(""-"",SUBSTITUTE(G54,""-"",""-"",3))+1,LEN(G54)),""0000"&amp;"""),4)&amp;"" (Purpose: ""&amp;IF(OR(ISBLANK(U54),U54=""N/A""),L54,U54)&amp;"") ""&amp;apt&amp;"" | Ref: ""&amp;ref&amp;"" | BU: ""&amp;L54&amp;"" | Head: ""&amp;M54),""Payment Disbursement (Purpose: ""&amp;IF(ISNUMBER(SEARCH(""salary"",M54)),""Salary"",U54)&amp;"") | To: ""&amp;payee&amp;"" | Ref: ""&amp;ref&amp;"" |"&amp;" BU: ""&amp;L54&amp;"" | Head: ""&amp;M54&amp;apt)))))"),"Internal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5" ht="15.75" customHeight="1">
      <c r="A55" s="36">
        <v>53.0</v>
      </c>
      <c r="B55" s="56" t="str">
        <f t="shared" si="3"/>
        <v>#NAME?</v>
      </c>
      <c r="C55" s="94">
        <f t="shared" si="5"/>
        <v>5</v>
      </c>
      <c r="D55" s="95">
        <v>46149.0</v>
      </c>
      <c r="E55" s="95">
        <f t="shared" si="2"/>
        <v>46149</v>
      </c>
      <c r="F55" s="96" t="s">
        <v>591</v>
      </c>
      <c r="G55" s="97" t="s">
        <v>862</v>
      </c>
      <c r="H55" s="98"/>
      <c r="I55" s="99"/>
      <c r="J55" s="99">
        <v>1567.0</v>
      </c>
      <c r="K55" s="99">
        <f t="shared" si="4"/>
        <v>763173.7</v>
      </c>
      <c r="L55" s="62" t="s">
        <v>45</v>
      </c>
      <c r="M55" s="62" t="s">
        <v>47</v>
      </c>
      <c r="N55" s="63"/>
      <c r="O55" s="62" t="s">
        <v>60</v>
      </c>
      <c r="P55" s="30" t="s">
        <v>47</v>
      </c>
      <c r="Q55" s="63" t="s">
        <v>50</v>
      </c>
      <c r="R55" s="100"/>
      <c r="S55" s="100"/>
      <c r="T55" s="100"/>
      <c r="U55" s="101" t="s">
        <v>75</v>
      </c>
      <c r="V55" s="30"/>
      <c r="W55" s="30" t="str">
        <f>IFERROR(__xludf.DUMMYFUNCTION("LET(ref,IF(ISBLANK(H55),""N/A"",H55),apt,IF(ISBLANK(T55),"""","" | Apt#: ""&amp;T55),payee,TRIM(IFERROR(REGEXEXTRACT(SUBSTITUTE(G55,CHAR(10),"" ""),""(?i)(?:NEFT|RTGS)\s+[A-Z0-9]+\s+(.+?)\s+[A-Z]{4}0[A-Z0-9]{6}""),IFERROR(REGEXEXTRACT(SUBSTITUTE(G55,CHAR(10),"&amp;""" ""),""(?i)TO\s+(?:[0-9]+\s+TRANSFER TO\s+[0-9]+\s+TO\s+)?(.+)$""),G55))),IF(ISBLANK(U55),""Remarks Compulsory For Narration"",TRIM(IF(M55=""Internal"",IF(ISNUMBER(SEARCH(""DWARKADHIS"",G55)),IF(I55&gt;0,""Internal Fund Transfer (From xHTRA to BOM 905)"","&amp;"""Internal Fund Transfer (From BOM 905 to xHTRA)"")&amp;"" | Ref: ""&amp;ref&amp;"" | Type: ""&amp;P55&amp;"" | BU: ""&amp;L55&amp;"" | Head: ""&amp;M55,""Internal Transfer | Ref: ""&amp;ref&amp;"" | Type: ""&amp;P55&amp;"" | BU: ""&amp;L55&amp;"" | Head: ""&amp;M55),IF(N(J55)&gt;0,IF(P55=""Customer Collection"",""Re"&amp;"ceipt Credit (Collection) ""&amp;apt&amp;"" | Ref: ""&amp;ref&amp;"" | From: ""&amp;IF(ISNUMBER(SEARCH(""SOHNA ROAD"",G55)),""Sohna Road"",""Party"")&amp;"" | BU: ""&amp;L55,""Receipt Credit from x""&amp;RIGHT(IFERROR(MID(G55,FIND(""-"",SUBSTITUTE(G55,""-"",""-"",3))+1,LEN(G55)),""0000"&amp;"""),4)&amp;"" (Purpose: ""&amp;IF(OR(ISBLANK(U55),U55=""N/A""),L55,U55)&amp;"") ""&amp;apt&amp;"" | Ref: ""&amp;ref&amp;"" | BU: ""&amp;L55&amp;"" | Head: ""&amp;M55),""Payment Disbursement (Purpose: ""&amp;IF(ISNUMBER(SEARCH(""salary"",M55)),""Salary"",U55)&amp;"") | To: ""&amp;payee&amp;"" | Ref: ""&amp;ref&amp;"" |"&amp;" BU: ""&amp;L55&amp;"" | Head: ""&amp;M55&amp;apt)))))"),"Internal Fund Transfer (From BOM 905 to xHTRA) | Ref: N/A | Type: Internal | BU: Casa Romana | Head: Internal")</f>
        <v>Internal Fund Transfer (From BOM 905 to xHTRA) | Ref: N/A | Type: Internal | BU: Casa Romana | Head: Internal</v>
      </c>
    </row>
    <row r="56" ht="15.75" customHeight="1">
      <c r="A56" s="36">
        <v>54.0</v>
      </c>
      <c r="B56" s="56" t="str">
        <f t="shared" si="3"/>
        <v>#NAME?</v>
      </c>
      <c r="C56" s="94">
        <f t="shared" si="5"/>
        <v>5</v>
      </c>
      <c r="D56" s="95">
        <v>46149.0</v>
      </c>
      <c r="E56" s="95">
        <f t="shared" si="2"/>
        <v>46149</v>
      </c>
      <c r="F56" s="96" t="s">
        <v>591</v>
      </c>
      <c r="G56" s="97" t="s">
        <v>867</v>
      </c>
      <c r="H56" s="98"/>
      <c r="I56" s="99"/>
      <c r="J56" s="99">
        <v>3180.0</v>
      </c>
      <c r="K56" s="99">
        <f t="shared" si="4"/>
        <v>766353.7</v>
      </c>
      <c r="L56" s="62" t="s">
        <v>45</v>
      </c>
      <c r="M56" s="62" t="s">
        <v>47</v>
      </c>
      <c r="N56" s="63"/>
      <c r="O56" s="62" t="s">
        <v>60</v>
      </c>
      <c r="P56" s="30" t="s">
        <v>51</v>
      </c>
      <c r="Q56" s="63" t="s">
        <v>50</v>
      </c>
      <c r="R56" s="100"/>
      <c r="S56" s="100"/>
      <c r="T56" s="100"/>
      <c r="U56" s="101" t="s">
        <v>75</v>
      </c>
      <c r="V56" s="30"/>
      <c r="W56" s="30" t="str">
        <f>IFERROR(__xludf.DUMMYFUNCTION("LET(ref,IF(ISBLANK(H56),""N/A"",H56),apt,IF(ISBLANK(T56),"""","" | Apt#: ""&amp;T56),payee,TRIM(IFERROR(REGEXEXTRACT(SUBSTITUTE(G56,CHAR(10),"" ""),""(?i)(?:NEFT|RTGS)\s+[A-Z0-9]+\s+(.+?)\s+[A-Z]{4}0[A-Z0-9]{6}""),IFERROR(REGEXEXTRACT(SUBSTITUTE(G56,CHAR(10),"&amp;""" ""),""(?i)TO\s+(?:[0-9]+\s+TRANSFER TO\s+[0-9]+\s+TO\s+)?(.+)$""),G56))),IF(ISBLANK(U56),""Remarks Compulsory For Narration"",TRIM(IF(M56=""Internal"",IF(ISNUMBER(SEARCH(""DWARKADHIS"",G56)),IF(I56&gt;0,""Internal Fund Transfer (From xHTRA to BOM 905)"","&amp;"""Internal Fund Transfer (From BOM 905 to xHTRA)"")&amp;"" | Ref: ""&amp;ref&amp;"" | Type: ""&amp;P56&amp;"" | BU: ""&amp;L56&amp;"" | Head: ""&amp;M56,""Internal Transfer | Ref: ""&amp;ref&amp;"" | Type: ""&amp;P56&amp;"" | BU: ""&amp;L56&amp;"" | Head: ""&amp;M56),IF(N(J56)&gt;0,IF(P56=""Customer Collection"",""Re"&amp;"ceipt Credit (Collection) ""&amp;apt&amp;"" | Ref: ""&amp;ref&amp;"" | From: ""&amp;IF(ISNUMBER(SEARCH(""SOHNA ROAD"",G56)),""Sohna Road"",""Party"")&amp;"" | BU: ""&amp;L56,""Receipt Credit from x""&amp;RIGHT(IFERROR(MID(G56,FIND(""-"",SUBSTITUTE(G56,""-"",""-"",3))+1,LEN(G56)),""0000"&amp;"""),4)&amp;"" (Purpose: ""&amp;IF(OR(ISBLANK(U56),U56=""N/A""),L56,U56)&amp;"") ""&amp;apt&amp;"" | Ref: ""&amp;ref&amp;"" | BU: ""&amp;L56&amp;"" | Head: ""&amp;M56),""Payment Disbursement (Purpose: ""&amp;IF(ISNUMBER(SEARCH(""salary"",M56)),""Salary"",U56)&amp;"") | To: ""&amp;payee&amp;"" | Ref: ""&amp;ref&amp;"" |"&amp;" BU: ""&amp;L56&amp;"" | Head: ""&amp;M56&amp;apt)))))"),"Internal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7" ht="15.75" customHeight="1">
      <c r="A57" s="36">
        <v>55.0</v>
      </c>
      <c r="B57" s="56" t="str">
        <f t="shared" si="3"/>
        <v>#NAME?</v>
      </c>
      <c r="C57" s="94">
        <f t="shared" si="5"/>
        <v>5</v>
      </c>
      <c r="D57" s="95">
        <v>46150.0</v>
      </c>
      <c r="E57" s="95">
        <f t="shared" si="2"/>
        <v>46150</v>
      </c>
      <c r="F57" s="96" t="s">
        <v>591</v>
      </c>
      <c r="G57" s="97" t="s">
        <v>873</v>
      </c>
      <c r="H57" s="98"/>
      <c r="I57" s="99">
        <v>223880.0</v>
      </c>
      <c r="J57" s="99"/>
      <c r="K57" s="99">
        <f t="shared" si="4"/>
        <v>542473.7</v>
      </c>
      <c r="L57" s="62" t="s">
        <v>41</v>
      </c>
      <c r="M57" s="62" t="s">
        <v>118</v>
      </c>
      <c r="N57" s="63"/>
      <c r="O57" s="62" t="s">
        <v>60</v>
      </c>
      <c r="P57" s="30" t="s">
        <v>43</v>
      </c>
      <c r="Q57" s="63" t="s">
        <v>44</v>
      </c>
      <c r="R57" s="100"/>
      <c r="S57" s="100"/>
      <c r="T57" s="100"/>
      <c r="U57" s="101" t="s">
        <v>425</v>
      </c>
      <c r="V57" s="30"/>
      <c r="W57" s="30" t="str">
        <f>IFERROR(__xludf.DUMMYFUNCTION("LET(ref,IF(ISBLANK(H57),""N/A"",H57),apt,IF(ISBLANK(T57),"""","" | Apt#: ""&amp;T57),payee,TRIM(IFERROR(REGEXEXTRACT(SUBSTITUTE(G57,CHAR(10),"" ""),""(?i)(?:NEFT|RTGS)\s+[A-Z0-9]+\s+(.+?)\s+[A-Z]{4}0[A-Z0-9]{6}""),IFERROR(REGEXEXTRACT(SUBSTITUTE(G57,CHAR(10),"&amp;""" ""),""(?i)TO\s+(?:[0-9]+\s+TRANSFER TO\s+[0-9]+\s+TO\s+)?(.+)$""),G57))),IF(ISBLANK(U57),""Remarks Compulsory For Narration"",TRIM(IF(M57=""Internal"",IF(ISNUMBER(SEARCH(""DWARKADHIS"",G57)),IF(I57&gt;0,""Internal Fund Transfer (From xHTRA to BOM 905)"","&amp;"""Internal Fund Transfer (From BOM 905 to xHTRA)"")&amp;"" | Ref: ""&amp;ref&amp;"" | Type: ""&amp;P57&amp;"" | BU: ""&amp;L57&amp;"" | Head: ""&amp;M57,""Internal Transfer | Ref: ""&amp;ref&amp;"" | Type: ""&amp;P57&amp;"" | BU: ""&amp;L57&amp;"" | Head: ""&amp;M57),IF(N(J57)&gt;0,IF(P57=""Customer Collection"",""Re"&amp;"ceipt Credit (Collection) ""&amp;apt&amp;"" | Ref: ""&amp;ref&amp;"" | From: ""&amp;IF(ISNUMBER(SEARCH(""SOHNA ROAD"",G57)),""Sohna Road"",""Party"")&amp;"" | BU: ""&amp;L57,""Receipt Credit from x""&amp;RIGHT(IFERROR(MID(G57,FIND(""-"",SUBSTITUTE(G57,""-"",""-"",3))+1,LEN(G57)),""0000"&amp;"""),4)&amp;"" (Purpose: ""&amp;IF(OR(ISBLANK(U57),U57=""N/A""),L57,U57)&amp;"") ""&amp;apt&amp;"" | Ref: ""&amp;ref&amp;"" | BU: ""&amp;L57&amp;"" | Head: ""&amp;M57),""Payment Disbursement (Purpose: ""&amp;IF(ISNUMBER(SEARCH(""salary"",M57)),""Salary"",U57)&amp;"") | To: ""&amp;payee&amp;"" | Ref: ""&amp;ref&amp;"" |"&amp;" BU: ""&amp;L57&amp;"" | Head: ""&amp;M57&amp;apt)))))"),"Payment Disbursement (Purpose: Professional Fees) | To: Lekh Raj Bajaj | Ref: N/A | BU: HO | Head: Professional")</f>
        <v>Payment Disbursement (Purpose: Professional Fees) | To: Lekh Raj Bajaj | Ref: N/A | BU: HO | Head: Professional</v>
      </c>
    </row>
    <row r="58" ht="15.75" customHeight="1">
      <c r="A58" s="36">
        <v>56.0</v>
      </c>
      <c r="B58" s="56" t="str">
        <f t="shared" si="3"/>
        <v>#NAME?</v>
      </c>
      <c r="C58" s="94">
        <f t="shared" si="5"/>
        <v>5</v>
      </c>
      <c r="D58" s="95">
        <v>46151.0</v>
      </c>
      <c r="E58" s="95">
        <f t="shared" si="2"/>
        <v>46151</v>
      </c>
      <c r="F58" s="96" t="s">
        <v>591</v>
      </c>
      <c r="G58" s="97" t="s">
        <v>881</v>
      </c>
      <c r="H58" s="98"/>
      <c r="I58" s="99"/>
      <c r="J58" s="99">
        <v>95626.8</v>
      </c>
      <c r="K58" s="99">
        <f t="shared" si="4"/>
        <v>638100.5</v>
      </c>
      <c r="L58" s="62" t="s">
        <v>45</v>
      </c>
      <c r="M58" s="62" t="s">
        <v>47</v>
      </c>
      <c r="N58" s="63"/>
      <c r="O58" s="62" t="s">
        <v>60</v>
      </c>
      <c r="P58" s="30" t="s">
        <v>51</v>
      </c>
      <c r="Q58" s="63" t="s">
        <v>50</v>
      </c>
      <c r="R58" s="100"/>
      <c r="S58" s="100"/>
      <c r="T58" s="100"/>
      <c r="U58" s="101" t="s">
        <v>75</v>
      </c>
      <c r="V58" s="30"/>
      <c r="W58" s="30" t="str">
        <f>IFERROR(__xludf.DUMMYFUNCTION("LET(ref,IF(ISBLANK(H58),""N/A"",H58),apt,IF(ISBLANK(T58),"""","" | Apt#: ""&amp;T58),payee,TRIM(IFERROR(REGEXEXTRACT(SUBSTITUTE(G58,CHAR(10),"" ""),""(?i)(?:NEFT|RTGS)\s+[A-Z0-9]+\s+(.+?)\s+[A-Z]{4}0[A-Z0-9]{6}""),IFERROR(REGEXEXTRACT(SUBSTITUTE(G58,CHAR(10),"&amp;""" ""),""(?i)TO\s+(?:[0-9]+\s+TRANSFER TO\s+[0-9]+\s+TO\s+)?(.+)$""),G58))),IF(ISBLANK(U58),""Remarks Compulsory For Narration"",TRIM(IF(M58=""Internal"",IF(ISNUMBER(SEARCH(""DWARKADHIS"",G58)),IF(I58&gt;0,""Internal Fund Transfer (From xHTRA to BOM 905)"","&amp;"""Internal Fund Transfer (From BOM 905 to xHTRA)"")&amp;"" | Ref: ""&amp;ref&amp;"" | Type: ""&amp;P58&amp;"" | BU: ""&amp;L58&amp;"" | Head: ""&amp;M58,""Internal Transfer | Ref: ""&amp;ref&amp;"" | Type: ""&amp;P58&amp;"" | BU: ""&amp;L58&amp;"" | Head: ""&amp;M58),IF(N(J58)&gt;0,IF(P58=""Customer Collection"",""Re"&amp;"ceipt Credit (Collection) ""&amp;apt&amp;"" | Ref: ""&amp;ref&amp;"" | From: ""&amp;IF(ISNUMBER(SEARCH(""SOHNA ROAD"",G58)),""Sohna Road"",""Party"")&amp;"" | BU: ""&amp;L58,""Receipt Credit from x""&amp;RIGHT(IFERROR(MID(G58,FIND(""-"",SUBSTITUTE(G58,""-"",""-"",3))+1,LEN(G58)),""0000"&amp;"""),4)&amp;"" (Purpose: ""&amp;IF(OR(ISBLANK(U58),U58=""N/A""),L58,U58)&amp;"") ""&amp;apt&amp;"" | Ref: ""&amp;ref&amp;"" | BU: ""&amp;L58&amp;"" | Head: ""&amp;M58),""Payment Disbursement (Purpose: ""&amp;IF(ISNUMBER(SEARCH(""salary"",M58)),""Salary"",U58)&amp;"") | To: ""&amp;payee&amp;"" | Ref: ""&amp;ref&amp;"" |"&amp;" BU: ""&amp;L58&amp;"" | Head: ""&amp;M58&amp;apt)))))"),"Internal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59" ht="15.75" customHeight="1">
      <c r="A59" s="36">
        <v>57.0</v>
      </c>
      <c r="B59" s="56" t="str">
        <f t="shared" si="3"/>
        <v>#NAME?</v>
      </c>
      <c r="C59" s="94">
        <f t="shared" si="5"/>
        <v>5</v>
      </c>
      <c r="D59" s="95">
        <v>46151.0</v>
      </c>
      <c r="E59" s="95">
        <f t="shared" si="2"/>
        <v>46151</v>
      </c>
      <c r="F59" s="96" t="s">
        <v>591</v>
      </c>
      <c r="G59" s="97" t="s">
        <v>887</v>
      </c>
      <c r="H59" s="98"/>
      <c r="I59" s="99"/>
      <c r="J59" s="99">
        <v>54638.7</v>
      </c>
      <c r="K59" s="99">
        <f t="shared" si="4"/>
        <v>692739.2</v>
      </c>
      <c r="L59" s="62" t="s">
        <v>45</v>
      </c>
      <c r="M59" s="62" t="s">
        <v>47</v>
      </c>
      <c r="N59" s="63"/>
      <c r="O59" s="62" t="s">
        <v>60</v>
      </c>
      <c r="P59" s="30" t="s">
        <v>51</v>
      </c>
      <c r="Q59" s="63" t="s">
        <v>50</v>
      </c>
      <c r="R59" s="100"/>
      <c r="S59" s="100"/>
      <c r="T59" s="100"/>
      <c r="U59" s="101" t="s">
        <v>75</v>
      </c>
      <c r="V59" s="30"/>
      <c r="W59" s="30" t="str">
        <f>IFERROR(__xludf.DUMMYFUNCTION("LET(ref,IF(ISBLANK(H59),""N/A"",H59),apt,IF(ISBLANK(T59),"""","" | Apt#: ""&amp;T59),payee,TRIM(IFERROR(REGEXEXTRACT(SUBSTITUTE(G59,CHAR(10),"" ""),""(?i)(?:NEFT|RTGS)\s+[A-Z0-9]+\s+(.+?)\s+[A-Z]{4}0[A-Z0-9]{6}""),IFERROR(REGEXEXTRACT(SUBSTITUTE(G59,CHAR(10),"&amp;""" ""),""(?i)TO\s+(?:[0-9]+\s+TRANSFER TO\s+[0-9]+\s+TO\s+)?(.+)$""),G59))),IF(ISBLANK(U59),""Remarks Compulsory For Narration"",TRIM(IF(M59=""Internal"",IF(ISNUMBER(SEARCH(""DWARKADHIS"",G59)),IF(I59&gt;0,""Internal Fund Transfer (From xHTRA to BOM 905)"","&amp;"""Internal Fund Transfer (From BOM 905 to xHTRA)"")&amp;"" | Ref: ""&amp;ref&amp;"" | Type: ""&amp;P59&amp;"" | BU: ""&amp;L59&amp;"" | Head: ""&amp;M59,""Internal Transfer | Ref: ""&amp;ref&amp;"" | Type: ""&amp;P59&amp;"" | BU: ""&amp;L59&amp;"" | Head: ""&amp;M59),IF(N(J59)&gt;0,IF(P59=""Customer Collection"",""Re"&amp;"ceipt Credit (Collection) ""&amp;apt&amp;"" | Ref: ""&amp;ref&amp;"" | From: ""&amp;IF(ISNUMBER(SEARCH(""SOHNA ROAD"",G59)),""Sohna Road"",""Party"")&amp;"" | BU: ""&amp;L59,""Receipt Credit from x""&amp;RIGHT(IFERROR(MID(G59,FIND(""-"",SUBSTITUTE(G59,""-"",""-"",3))+1,LEN(G59)),""0000"&amp;"""),4)&amp;"" (Purpose: ""&amp;IF(OR(ISBLANK(U59),U59=""N/A""),L59,U59)&amp;"") ""&amp;apt&amp;"" | Ref: ""&amp;ref&amp;"" | BU: ""&amp;L59&amp;"" | Head: ""&amp;M59),""Payment Disbursement (Purpose: ""&amp;IF(ISNUMBER(SEARCH(""salary"",M59)),""Salary"",U59)&amp;"") | To: ""&amp;payee&amp;"" | Ref: ""&amp;ref&amp;"" |"&amp;" BU: ""&amp;L59&amp;"" | Head: ""&amp;M59&amp;apt)))))"),"Internal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60" ht="15.75" customHeight="1">
      <c r="A60" s="36">
        <v>58.0</v>
      </c>
      <c r="B60" s="56" t="str">
        <f t="shared" si="3"/>
        <v>#NAME?</v>
      </c>
      <c r="C60" s="94">
        <f t="shared" si="5"/>
        <v>5</v>
      </c>
      <c r="D60" s="95">
        <v>46151.0</v>
      </c>
      <c r="E60" s="95">
        <f t="shared" si="2"/>
        <v>46151</v>
      </c>
      <c r="F60" s="96" t="s">
        <v>591</v>
      </c>
      <c r="G60" s="97" t="s">
        <v>893</v>
      </c>
      <c r="H60" s="98"/>
      <c r="I60" s="99">
        <v>9067.0</v>
      </c>
      <c r="J60" s="99"/>
      <c r="K60" s="99">
        <f t="shared" si="4"/>
        <v>683672.2</v>
      </c>
      <c r="L60" s="62" t="s">
        <v>45</v>
      </c>
      <c r="M60" s="62" t="s">
        <v>718</v>
      </c>
      <c r="N60" s="63"/>
      <c r="O60" s="62" t="s">
        <v>60</v>
      </c>
      <c r="P60" s="30" t="s">
        <v>43</v>
      </c>
      <c r="Q60" s="63" t="s">
        <v>44</v>
      </c>
      <c r="R60" s="100"/>
      <c r="S60" s="100"/>
      <c r="T60" s="100"/>
      <c r="U60" s="101" t="s">
        <v>859</v>
      </c>
      <c r="V60" s="30"/>
      <c r="W60" s="30" t="str">
        <f>IFERROR(__xludf.DUMMYFUNCTION("LET(ref,IF(ISBLANK(H60),""N/A"",H60),apt,IF(ISBLANK(T60),"""","" | Apt#: ""&amp;T60),payee,TRIM(IFERROR(REGEXEXTRACT(SUBSTITUTE(G60,CHAR(10),"" ""),""(?i)(?:NEFT|RTGS)\s+[A-Z0-9]+\s+(.+?)\s+[A-Z]{4}0[A-Z0-9]{6}""),IFERROR(REGEXEXTRACT(SUBSTITUTE(G60,CHAR(10),"&amp;""" ""),""(?i)TO\s+(?:[0-9]+\s+TRANSFER TO\s+[0-9]+\s+TO\s+)?(.+)$""),G60))),IF(ISBLANK(U60),""Remarks Compulsory For Narration"",TRIM(IF(M60=""Internal"",IF(ISNUMBER(SEARCH(""DWARKADHIS"",G60)),IF(I60&gt;0,""Internal Fund Transfer (From xHTRA to BOM 905)"","&amp;"""Internal Fund Transfer (From BOM 905 to xHTRA)"")&amp;"" | Ref: ""&amp;ref&amp;"" | Type: ""&amp;P60&amp;"" | BU: ""&amp;L60&amp;"" | Head: ""&amp;M60,""Internal Transfer | Ref: ""&amp;ref&amp;"" | Type: ""&amp;P60&amp;"" | BU: ""&amp;L60&amp;"" | Head: ""&amp;M60),IF(N(J60)&gt;0,IF(P60=""Customer Collection"",""Re"&amp;"ceipt Credit (Collection) ""&amp;apt&amp;"" | Ref: ""&amp;ref&amp;"" | From: ""&amp;IF(ISNUMBER(SEARCH(""SOHNA ROAD"",G60)),""Sohna Road"",""Party"")&amp;"" | BU: ""&amp;L60,""Receipt Credit from x""&amp;RIGHT(IFERROR(MID(G60,FIND(""-"",SUBSTITUTE(G60,""-"",""-"",3))+1,LEN(G60)),""0000"&amp;"""),4)&amp;"" (Purpose: ""&amp;IF(OR(ISBLANK(U60),U60=""N/A""),L60,U60)&amp;"") ""&amp;apt&amp;"" | Ref: ""&amp;ref&amp;"" | BU: ""&amp;L60&amp;"" | Head: ""&amp;M60),""Payment Disbursement (Purpose: ""&amp;IF(ISNUMBER(SEARCH(""salary"",M60)),""Salary"",U60)&amp;"") | To: ""&amp;payee&amp;"" | Ref: ""&amp;ref&amp;"" |"&amp;" BU: ""&amp;L60&amp;"" | Head: ""&amp;M60&amp;apt)))))"),"Payment Disbursement (Purpose: TDS) | To: Mr. MUKESH KUMAR RAY | Ref: N/A | BU: Casa Romana | Head: Tax")</f>
        <v>Payment Disbursement (Purpose: TDS) | To: Mr. MUKESH KUMAR RAY | Ref: N/A | BU: Casa Romana | Head: Tax</v>
      </c>
    </row>
    <row r="61" ht="15.75" customHeight="1">
      <c r="A61" s="36">
        <v>59.0</v>
      </c>
      <c r="B61" s="56" t="str">
        <f t="shared" si="3"/>
        <v>#NAME?</v>
      </c>
      <c r="C61" s="94">
        <f t="shared" si="5"/>
        <v>5</v>
      </c>
      <c r="D61" s="95">
        <v>46153.0</v>
      </c>
      <c r="E61" s="95">
        <f t="shared" si="2"/>
        <v>46153</v>
      </c>
      <c r="F61" s="96" t="s">
        <v>900</v>
      </c>
      <c r="G61" s="97" t="s">
        <v>901</v>
      </c>
      <c r="H61" s="98">
        <v>155665.0</v>
      </c>
      <c r="I61" s="99">
        <v>223800.0</v>
      </c>
      <c r="J61" s="99"/>
      <c r="K61" s="99">
        <f t="shared" si="4"/>
        <v>459872.2</v>
      </c>
      <c r="L61" s="62" t="s">
        <v>41</v>
      </c>
      <c r="M61" s="62" t="s">
        <v>118</v>
      </c>
      <c r="N61" s="63"/>
      <c r="O61" s="62" t="s">
        <v>60</v>
      </c>
      <c r="P61" s="30" t="s">
        <v>43</v>
      </c>
      <c r="Q61" s="63" t="s">
        <v>44</v>
      </c>
      <c r="R61" s="100"/>
      <c r="S61" s="100"/>
      <c r="T61" s="100"/>
      <c r="U61" s="101" t="s">
        <v>425</v>
      </c>
      <c r="V61" s="30"/>
      <c r="W61" s="30" t="str">
        <f>IFERROR(__xludf.DUMMYFUNCTION("LET(ref,IF(ISBLANK(H61),""N/A"",H61),apt,IF(ISBLANK(T61),"""","" | Apt#: ""&amp;T61),payee,TRIM(IFERROR(REGEXEXTRACT(SUBSTITUTE(G61,CHAR(10),"" ""),""(?i)(?:NEFT|RTGS)\s+[A-Z0-9]+\s+(.+?)\s+[A-Z]{4}0[A-Z0-9]{6}""),IFERROR(REGEXEXTRACT(SUBSTITUTE(G61,CHAR(10),"&amp;""" ""),""(?i)TO\s+(?:[0-9]+\s+TRANSFER TO\s+[0-9]+\s+TO\s+)?(.+)$""),G61))),IF(ISBLANK(U61),""Remarks Compulsory For Narration"",TRIM(IF(M61=""Internal"",IF(ISNUMBER(SEARCH(""DWARKADHIS"",G61)),IF(I61&gt;0,""Internal Fund Transfer (From xHTRA to BOM 905)"","&amp;"""Internal Fund Transfer (From BOM 905 to xHTRA)"")&amp;"" | Ref: ""&amp;ref&amp;"" | Type: ""&amp;P61&amp;"" | BU: ""&amp;L61&amp;"" | Head: ""&amp;M61,""Internal Transfer | Ref: ""&amp;ref&amp;"" | Type: ""&amp;P61&amp;"" | BU: ""&amp;L61&amp;"" | Head: ""&amp;M61),IF(N(J61)&gt;0,IF(P61=""Customer Collection"",""Re"&amp;"ceipt Credit (Collection) ""&amp;apt&amp;"" | Ref: ""&amp;ref&amp;"" | From: ""&amp;IF(ISNUMBER(SEARCH(""SOHNA ROAD"",G61)),""Sohna Road"",""Party"")&amp;"" | BU: ""&amp;L61,""Receipt Credit from x""&amp;RIGHT(IFERROR(MID(G61,FIND(""-"",SUBSTITUTE(G61,""-"",""-"",3))+1,LEN(G61)),""0000"&amp;"""),4)&amp;"" (Purpose: ""&amp;IF(OR(ISBLANK(U61),U61=""N/A""),L61,U61)&amp;"") ""&amp;apt&amp;"" | Ref: ""&amp;ref&amp;"" | BU: ""&amp;L61&amp;"" | Head: ""&amp;M61),""Payment Disbursement (Purpose: ""&amp;IF(ISNUMBER(SEARCH(""salary"",M61)),""Salary"",U61)&amp;"") | To: ""&amp;payee&amp;"" | Ref: ""&amp;ref&amp;"" |"&amp;" BU: ""&amp;L61&amp;"" | Head: ""&amp;M61&amp;apt)))))"),"Payment Disbursement (Purpose: Professional Fees) | To: LEKH RAJ BAJAJ | Ref: 155665 | BU: HO | Head: Professional")</f>
        <v>Payment Disbursement (Purpose: Professional Fees) | To: LEKH RAJ BAJAJ | Ref: 155665 | BU: HO | Head: Professional</v>
      </c>
    </row>
    <row r="62" ht="15.75" customHeight="1">
      <c r="A62" s="36">
        <v>60.0</v>
      </c>
      <c r="B62" s="56" t="str">
        <f t="shared" si="3"/>
        <v>#NAME?</v>
      </c>
      <c r="C62" s="94">
        <f t="shared" si="5"/>
        <v>5</v>
      </c>
      <c r="D62" s="95">
        <v>46154.0</v>
      </c>
      <c r="E62" s="95">
        <f t="shared" si="2"/>
        <v>46154</v>
      </c>
      <c r="F62" s="96" t="s">
        <v>591</v>
      </c>
      <c r="G62" s="97" t="s">
        <v>911</v>
      </c>
      <c r="H62" s="98"/>
      <c r="I62" s="99"/>
      <c r="J62" s="99">
        <v>30000.0</v>
      </c>
      <c r="K62" s="99">
        <f t="shared" si="4"/>
        <v>489872.2</v>
      </c>
      <c r="L62" s="62" t="s">
        <v>45</v>
      </c>
      <c r="M62" s="62" t="s">
        <v>47</v>
      </c>
      <c r="N62" s="63"/>
      <c r="O62" s="62" t="s">
        <v>60</v>
      </c>
      <c r="P62" s="30" t="s">
        <v>51</v>
      </c>
      <c r="Q62" s="63" t="s">
        <v>50</v>
      </c>
      <c r="R62" s="100"/>
      <c r="S62" s="100"/>
      <c r="T62" s="100"/>
      <c r="U62" s="101" t="s">
        <v>75</v>
      </c>
      <c r="V62" s="30"/>
      <c r="W62" s="30" t="str">
        <f>IFERROR(__xludf.DUMMYFUNCTION("LET(ref,IF(ISBLANK(H62),""N/A"",H62),apt,IF(ISBLANK(T62),"""","" | Apt#: ""&amp;T62),payee,TRIM(IFERROR(REGEXEXTRACT(SUBSTITUTE(G62,CHAR(10),"" ""),""(?i)(?:NEFT|RTGS)\s+[A-Z0-9]+\s+(.+?)\s+[A-Z]{4}0[A-Z0-9]{6}""),IFERROR(REGEXEXTRACT(SUBSTITUTE(G62,CHAR(10),"&amp;""" ""),""(?i)TO\s+(?:[0-9]+\s+TRANSFER TO\s+[0-9]+\s+TO\s+)?(.+)$""),G62))),IF(ISBLANK(U62),""Remarks Compulsory For Narration"",TRIM(IF(M62=""Internal"",IF(ISNUMBER(SEARCH(""DWARKADHIS"",G62)),IF(I62&gt;0,""Internal Fund Transfer (From xHTRA to BOM 905)"","&amp;"""Internal Fund Transfer (From BOM 905 to xHTRA)"")&amp;"" | Ref: ""&amp;ref&amp;"" | Type: ""&amp;P62&amp;"" | BU: ""&amp;L62&amp;"" | Head: ""&amp;M62,""Internal Transfer | Ref: ""&amp;ref&amp;"" | Type: ""&amp;P62&amp;"" | BU: ""&amp;L62&amp;"" | Head: ""&amp;M62),IF(N(J62)&gt;0,IF(P62=""Customer Collection"",""Re"&amp;"ceipt Credit (Collection) ""&amp;apt&amp;"" | Ref: ""&amp;ref&amp;"" | From: ""&amp;IF(ISNUMBER(SEARCH(""SOHNA ROAD"",G62)),""Sohna Road"",""Party"")&amp;"" | BU: ""&amp;L62,""Receipt Credit from x""&amp;RIGHT(IFERROR(MID(G62,FIND(""-"",SUBSTITUTE(G62,""-"",""-"",3))+1,LEN(G62)),""0000"&amp;"""),4)&amp;"" (Purpose: ""&amp;IF(OR(ISBLANK(U62),U62=""N/A""),L62,U62)&amp;"") ""&amp;apt&amp;"" | Ref: ""&amp;ref&amp;"" | BU: ""&amp;L62&amp;"" | Head: ""&amp;M62),""Payment Disbursement (Purpose: ""&amp;IF(ISNUMBER(SEARCH(""salary"",M62)),""Salary"",U62)&amp;"") | To: ""&amp;payee&amp;"" | Ref: ""&amp;ref&amp;"" |"&amp;" BU: ""&amp;L62&amp;"" | Head: ""&amp;M62&amp;apt)))))"),"Internal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63" ht="15.75" customHeight="1">
      <c r="A63" s="36">
        <v>61.0</v>
      </c>
      <c r="B63" s="56" t="str">
        <f t="shared" si="3"/>
        <v>#NAME?</v>
      </c>
      <c r="C63" s="94">
        <f t="shared" si="5"/>
        <v>5</v>
      </c>
      <c r="D63" s="95">
        <v>46157.0</v>
      </c>
      <c r="E63" s="95">
        <f t="shared" si="2"/>
        <v>46157</v>
      </c>
      <c r="F63" s="96" t="s">
        <v>591</v>
      </c>
      <c r="G63" s="97" t="s">
        <v>915</v>
      </c>
      <c r="H63" s="98"/>
      <c r="I63" s="99"/>
      <c r="J63" s="99">
        <v>56903.0</v>
      </c>
      <c r="K63" s="99">
        <f t="shared" si="4"/>
        <v>546775.2</v>
      </c>
      <c r="L63" s="62" t="s">
        <v>45</v>
      </c>
      <c r="M63" s="62" t="s">
        <v>47</v>
      </c>
      <c r="N63" s="63"/>
      <c r="O63" s="62" t="s">
        <v>60</v>
      </c>
      <c r="P63" s="30" t="s">
        <v>47</v>
      </c>
      <c r="Q63" s="63" t="s">
        <v>50</v>
      </c>
      <c r="R63" s="100"/>
      <c r="S63" s="100"/>
      <c r="T63" s="100"/>
      <c r="U63" s="101" t="s">
        <v>75</v>
      </c>
      <c r="V63" s="30"/>
      <c r="W63" s="30" t="str">
        <f>IFERROR(__xludf.DUMMYFUNCTION("LET(ref,IF(ISBLANK(H63),""N/A"",H63),apt,IF(ISBLANK(T63),"""","" | Apt#: ""&amp;T63),payee,TRIM(IFERROR(REGEXEXTRACT(SUBSTITUTE(G63,CHAR(10),"" ""),""(?i)(?:NEFT|RTGS)\s+[A-Z0-9]+\s+(.+?)\s+[A-Z]{4}0[A-Z0-9]{6}""),IFERROR(REGEXEXTRACT(SUBSTITUTE(G63,CHAR(10),"&amp;""" ""),""(?i)TO\s+(?:[0-9]+\s+TRANSFER TO\s+[0-9]+\s+TO\s+)?(.+)$""),G63))),IF(ISBLANK(U63),""Remarks Compulsory For Narration"",TRIM(IF(M63=""Internal"",IF(ISNUMBER(SEARCH(""DWARKADHIS"",G63)),IF(I63&gt;0,""Internal Fund Transfer (From xHTRA to BOM 905)"","&amp;"""Internal Fund Transfer (From BOM 905 to xHTRA)"")&amp;"" | Ref: ""&amp;ref&amp;"" | Type: ""&amp;P63&amp;"" | BU: ""&amp;L63&amp;"" | Head: ""&amp;M63,""Internal Transfer | Ref: ""&amp;ref&amp;"" | Type: ""&amp;P63&amp;"" | BU: ""&amp;L63&amp;"" | Head: ""&amp;M63),IF(N(J63)&gt;0,IF(P63=""Customer Collection"",""Re"&amp;"ceipt Credit (Collection) ""&amp;apt&amp;"" | Ref: ""&amp;ref&amp;"" | From: ""&amp;IF(ISNUMBER(SEARCH(""SOHNA ROAD"",G63)),""Sohna Road"",""Party"")&amp;"" | BU: ""&amp;L63,""Receipt Credit from x""&amp;RIGHT(IFERROR(MID(G63,FIND(""-"",SUBSTITUTE(G63,""-"",""-"",3))+1,LEN(G63)),""0000"&amp;"""),4)&amp;"" (Purpose: ""&amp;IF(OR(ISBLANK(U63),U63=""N/A""),L63,U63)&amp;"") ""&amp;apt&amp;"" | Ref: ""&amp;ref&amp;"" | BU: ""&amp;L63&amp;"" | Head: ""&amp;M63),""Payment Disbursement (Purpose: ""&amp;IF(ISNUMBER(SEARCH(""salary"",M63)),""Salary"",U63)&amp;"") | To: ""&amp;payee&amp;"" | Ref: ""&amp;ref&amp;"" |"&amp;" BU: ""&amp;L63&amp;"" | Head: ""&amp;M63&amp;apt)))))"),"Internal Fund Transfer (From BOM 905 to xHTRA) | Ref: N/A | Type: Internal | BU: Casa Romana | Head: Internal")</f>
        <v>Internal Fund Transfer (From BOM 905 to xHTRA) | Ref: N/A | Type: Internal | BU: Casa Romana | Head: Internal</v>
      </c>
    </row>
    <row r="64" ht="15.75" customHeight="1">
      <c r="A64" s="36">
        <v>62.0</v>
      </c>
      <c r="B64" s="56" t="str">
        <f t="shared" si="3"/>
        <v>#NAME?</v>
      </c>
      <c r="C64" s="94">
        <f t="shared" si="5"/>
        <v>5</v>
      </c>
      <c r="D64" s="95">
        <v>46157.0</v>
      </c>
      <c r="E64" s="95">
        <f t="shared" si="2"/>
        <v>46157</v>
      </c>
      <c r="F64" s="96" t="s">
        <v>591</v>
      </c>
      <c r="G64" s="97" t="s">
        <v>922</v>
      </c>
      <c r="H64" s="98"/>
      <c r="I64" s="99"/>
      <c r="J64" s="99">
        <v>74511.6</v>
      </c>
      <c r="K64" s="99">
        <f t="shared" si="4"/>
        <v>621286.8</v>
      </c>
      <c r="L64" s="62" t="s">
        <v>45</v>
      </c>
      <c r="M64" s="62" t="s">
        <v>47</v>
      </c>
      <c r="N64" s="63"/>
      <c r="O64" s="62" t="s">
        <v>60</v>
      </c>
      <c r="P64" s="30" t="s">
        <v>51</v>
      </c>
      <c r="Q64" s="63" t="s">
        <v>50</v>
      </c>
      <c r="R64" s="100"/>
      <c r="S64" s="100"/>
      <c r="T64" s="100"/>
      <c r="U64" s="101" t="s">
        <v>75</v>
      </c>
      <c r="V64" s="30"/>
      <c r="W64" s="30" t="str">
        <f>IFERROR(__xludf.DUMMYFUNCTION("LET(ref,IF(ISBLANK(H64),""N/A"",H64),apt,IF(ISBLANK(T64),"""","" | Apt#: ""&amp;T64),payee,TRIM(IFERROR(REGEXEXTRACT(SUBSTITUTE(G64,CHAR(10),"" ""),""(?i)(?:NEFT|RTGS)\s+[A-Z0-9]+\s+(.+?)\s+[A-Z]{4}0[A-Z0-9]{6}""),IFERROR(REGEXEXTRACT(SUBSTITUTE(G64,CHAR(10),"&amp;""" ""),""(?i)TO\s+(?:[0-9]+\s+TRANSFER TO\s+[0-9]+\s+TO\s+)?(.+)$""),G64))),IF(ISBLANK(U64),""Remarks Compulsory For Narration"",TRIM(IF(M64=""Internal"",IF(ISNUMBER(SEARCH(""DWARKADHIS"",G64)),IF(I64&gt;0,""Internal Fund Transfer (From xHTRA to BOM 905)"","&amp;"""Internal Fund Transfer (From BOM 905 to xHTRA)"")&amp;"" | Ref: ""&amp;ref&amp;"" | Type: ""&amp;P64&amp;"" | BU: ""&amp;L64&amp;"" | Head: ""&amp;M64,""Internal Transfer | Ref: ""&amp;ref&amp;"" | Type: ""&amp;P64&amp;"" | BU: ""&amp;L64&amp;"" | Head: ""&amp;M64),IF(N(J64)&gt;0,IF(P64=""Customer Collection"",""Re"&amp;"ceipt Credit (Collection) ""&amp;apt&amp;"" | Ref: ""&amp;ref&amp;"" | From: ""&amp;IF(ISNUMBER(SEARCH(""SOHNA ROAD"",G64)),""Sohna Road"",""Party"")&amp;"" | BU: ""&amp;L64,""Receipt Credit from x""&amp;RIGHT(IFERROR(MID(G64,FIND(""-"",SUBSTITUTE(G64,""-"",""-"",3))+1,LEN(G64)),""0000"&amp;"""),4)&amp;"" (Purpose: ""&amp;IF(OR(ISBLANK(U64),U64=""N/A""),L64,U64)&amp;"") ""&amp;apt&amp;"" | Ref: ""&amp;ref&amp;"" | BU: ""&amp;L64&amp;"" | Head: ""&amp;M64),""Payment Disbursement (Purpose: ""&amp;IF(ISNUMBER(SEARCH(""salary"",M64)),""Salary"",U64)&amp;"") | To: ""&amp;payee&amp;"" | Ref: ""&amp;ref&amp;"" |"&amp;" BU: ""&amp;L64&amp;"" | Head: ""&amp;M64&amp;apt)))))"),"Internal Fund Transfer (From BOM 905 to xHTRA) | Ref: N/A | Type: Master to Free | BU: Casa Romana | Head: Internal")</f>
        <v>Internal Fund Transfer (From BOM 905 to xHTRA) | Ref: N/A | Type: Master to Free | BU: Casa Romana | Head: Internal</v>
      </c>
    </row>
    <row r="65" ht="15.75" customHeight="1">
      <c r="A65" s="36">
        <v>63.0</v>
      </c>
      <c r="B65" s="56" t="str">
        <f t="shared" si="3"/>
        <v>#NAME?</v>
      </c>
      <c r="C65" s="94">
        <f t="shared" si="5"/>
        <v>5</v>
      </c>
      <c r="D65" s="95">
        <v>46172.0</v>
      </c>
      <c r="E65" s="95">
        <f t="shared" si="2"/>
        <v>46172</v>
      </c>
      <c r="F65" s="96" t="s">
        <v>591</v>
      </c>
      <c r="G65" s="97" t="s">
        <v>798</v>
      </c>
      <c r="H65" s="98"/>
      <c r="I65" s="99">
        <v>5.7</v>
      </c>
      <c r="J65" s="99"/>
      <c r="K65" s="99">
        <f t="shared" si="4"/>
        <v>621281.1</v>
      </c>
      <c r="L65" s="62" t="s">
        <v>41</v>
      </c>
      <c r="M65" s="62" t="s">
        <v>328</v>
      </c>
      <c r="N65" s="63"/>
      <c r="O65" s="62" t="s">
        <v>60</v>
      </c>
      <c r="P65" s="30" t="s">
        <v>43</v>
      </c>
      <c r="Q65" s="63" t="s">
        <v>329</v>
      </c>
      <c r="R65" s="100"/>
      <c r="S65" s="100"/>
      <c r="T65" s="100"/>
      <c r="U65" s="101" t="s">
        <v>930</v>
      </c>
      <c r="V65" s="30"/>
      <c r="W65" s="30" t="str">
        <f>IFERROR(__xludf.DUMMYFUNCTION("LET(ref,IF(ISBLANK(H65),""N/A"",H65),apt,IF(ISBLANK(T65),"""","" | Apt#: ""&amp;T65),payee,TRIM(IFERROR(REGEXEXTRACT(SUBSTITUTE(G65,CHAR(10),"" ""),""(?i)(?:NEFT|RTGS)\s+[A-Z0-9]+\s+(.+?)\s+[A-Z]{4}0[A-Z0-9]{6}""),IFERROR(REGEXEXTRACT(SUBSTITUTE(G65,CHAR(10),"&amp;""" ""),""(?i)TO\s+(?:[0-9]+\s+TRANSFER TO\s+[0-9]+\s+TO\s+)?(.+)$""),G65))),IF(ISBLANK(U65),""Remarks Compulsory For Narration"",TRIM(IF(M65=""Internal"",IF(ISNUMBER(SEARCH(""DWARKADHIS"",G65)),IF(I65&gt;0,""Internal Fund Transfer (From xHTRA to BOM 905)"","&amp;"""Internal Fund Transfer (From BOM 905 to xHTRA)"")&amp;"" | Ref: ""&amp;ref&amp;"" | Type: ""&amp;P65&amp;"" | BU: ""&amp;L65&amp;"" | Head: ""&amp;M65,""Internal Transfer | Ref: ""&amp;ref&amp;"" | Type: ""&amp;P65&amp;"" | BU: ""&amp;L65&amp;"" | Head: ""&amp;M65),IF(N(J65)&gt;0,IF(P65=""Customer Collection"",""Re"&amp;"ceipt Credit (Collection) ""&amp;apt&amp;"" | Ref: ""&amp;ref&amp;"" | From: ""&amp;IF(ISNUMBER(SEARCH(""SOHNA ROAD"",G65)),""Sohna Road"",""Party"")&amp;"" | BU: ""&amp;L65,""Receipt Credit from x""&amp;RIGHT(IFERROR(MID(G65,FIND(""-"",SUBSTITUTE(G65,""-"",""-"",3))+1,LEN(G65)),""0000"&amp;"""),4)&amp;"" (Purpose: ""&amp;IF(OR(ISBLANK(U65),U65=""N/A""),L65,U65)&amp;"") ""&amp;apt&amp;"" | Ref: ""&amp;ref&amp;"" | BU: ""&amp;L65&amp;"" | Head: ""&amp;M65),""Payment Disbursement (Purpose: ""&amp;IF(ISNUMBER(SEARCH(""salary"",M65)),""Salary"",U65)&amp;"") | To: ""&amp;payee&amp;"" | Ref: ""&amp;ref&amp;"" |"&amp;" BU: ""&amp;L65&amp;"" | Head: ""&amp;M65&amp;apt)))))"),"Payment Disbursement (Purpose: Bank Debit) | To: MONTHLY SMS CHA | Ref: N/A | BU: HO | Head: Bank Charges")</f>
        <v>Payment Disbursement (Purpose: Bank Debit) | To: MONTHLY SMS CHA | Ref: N/A | BU: HO | Head: Bank Charges</v>
      </c>
    </row>
    <row r="66" ht="15.75" customHeight="1">
      <c r="A66" s="36">
        <v>64.0</v>
      </c>
      <c r="B66" s="56" t="str">
        <f t="shared" si="3"/>
        <v>#NAME?</v>
      </c>
      <c r="C66" s="94">
        <f t="shared" si="5"/>
        <v>5</v>
      </c>
      <c r="D66" s="95">
        <v>46172.0</v>
      </c>
      <c r="E66" s="95">
        <f t="shared" si="2"/>
        <v>46172</v>
      </c>
      <c r="F66" s="96" t="s">
        <v>591</v>
      </c>
      <c r="G66" s="97" t="s">
        <v>612</v>
      </c>
      <c r="H66" s="98"/>
      <c r="I66" s="99">
        <v>1.02</v>
      </c>
      <c r="J66" s="99"/>
      <c r="K66" s="125">
        <f t="shared" si="4"/>
        <v>621280.08</v>
      </c>
      <c r="L66" s="62" t="s">
        <v>41</v>
      </c>
      <c r="M66" s="62" t="s">
        <v>328</v>
      </c>
      <c r="N66" s="63"/>
      <c r="O66" s="62" t="s">
        <v>60</v>
      </c>
      <c r="P66" s="30" t="s">
        <v>43</v>
      </c>
      <c r="Q66" s="63" t="s">
        <v>329</v>
      </c>
      <c r="R66" s="100"/>
      <c r="S66" s="100"/>
      <c r="T66" s="100"/>
      <c r="U66" s="101" t="s">
        <v>930</v>
      </c>
      <c r="V66" s="30"/>
      <c r="W66" s="30" t="str">
        <f>IFERROR(__xludf.DUMMYFUNCTION("LET(ref,IF(ISBLANK(H66),""N/A"",H66),apt,IF(ISBLANK(T66),"""","" | Apt#: ""&amp;T66),payee,TRIM(IFERROR(REGEXEXTRACT(SUBSTITUTE(G66,CHAR(10),"" ""),""(?i)(?:NEFT|RTGS)\s+[A-Z0-9]+\s+(.+?)\s+[A-Z]{4}0[A-Z0-9]{6}""),IFERROR(REGEXEXTRACT(SUBSTITUTE(G66,CHAR(10),"&amp;""" ""),""(?i)TO\s+(?:[0-9]+\s+TRANSFER TO\s+[0-9]+\s+TO\s+)?(.+)$""),G66))),IF(ISBLANK(U66),""Remarks Compulsory For Narration"",TRIM(IF(M66=""Internal"",IF(ISNUMBER(SEARCH(""DWARKADHIS"",G66)),IF(I66&gt;0,""Internal Fund Transfer (From xHTRA to BOM 905)"","&amp;"""Internal Fund Transfer (From BOM 905 to xHTRA)"")&amp;"" | Ref: ""&amp;ref&amp;"" | Type: ""&amp;P66&amp;"" | BU: ""&amp;L66&amp;"" | Head: ""&amp;M66,""Internal Transfer | Ref: ""&amp;ref&amp;"" | Type: ""&amp;P66&amp;"" | BU: ""&amp;L66&amp;"" | Head: ""&amp;M66),IF(N(J66)&gt;0,IF(P66=""Customer Collection"",""Re"&amp;"ceipt Credit (Collection) ""&amp;apt&amp;"" | Ref: ""&amp;ref&amp;"" | From: ""&amp;IF(ISNUMBER(SEARCH(""SOHNA ROAD"",G66)),""Sohna Road"",""Party"")&amp;"" | BU: ""&amp;L66,""Receipt Credit from x""&amp;RIGHT(IFERROR(MID(G66,FIND(""-"",SUBSTITUTE(G66,""-"",""-"",3))+1,LEN(G66)),""0000"&amp;"""),4)&amp;"" (Purpose: ""&amp;IF(OR(ISBLANK(U66),U66=""N/A""),L66,U66)&amp;"") ""&amp;apt&amp;"" | Ref: ""&amp;ref&amp;"" | BU: ""&amp;L66&amp;"" | Head: ""&amp;M66),""Payment Disbursement (Purpose: ""&amp;IF(ISNUMBER(SEARCH(""salary"",M66)),""Salary"",U66)&amp;"") | To: ""&amp;payee&amp;"" | Ref: ""&amp;ref&amp;"" |"&amp;" BU: ""&amp;L66&amp;"" | Head: ""&amp;M66&amp;apt)))))"),"Payment Disbursement (Purpose: Bank Debit) | To: GST | Ref: N/A | BU: HO | Head: Bank Charges")</f>
        <v>Payment Disbursement (Purpose: Bank Debit) | To: GST | Ref: N/A | BU: HO | Head: Bank Charges</v>
      </c>
    </row>
    <row r="67" ht="15.75" customHeight="1">
      <c r="A67" s="36">
        <v>65.0</v>
      </c>
      <c r="B67" s="56" t="str">
        <f t="shared" si="3"/>
        <v>#NAME?</v>
      </c>
      <c r="C67" s="94">
        <f t="shared" si="5"/>
        <v>7</v>
      </c>
      <c r="D67" s="95">
        <v>46211.0</v>
      </c>
      <c r="E67" s="95">
        <v>46211.0</v>
      </c>
      <c r="F67" s="96" t="s">
        <v>591</v>
      </c>
      <c r="G67" s="97" t="s">
        <v>608</v>
      </c>
      <c r="H67" s="98"/>
      <c r="I67" s="99">
        <v>100.0</v>
      </c>
      <c r="J67" s="99"/>
      <c r="K67" s="99">
        <f t="shared" si="4"/>
        <v>621180.08</v>
      </c>
      <c r="L67" s="62" t="s">
        <v>41</v>
      </c>
      <c r="M67" s="62" t="s">
        <v>328</v>
      </c>
      <c r="N67" s="63"/>
      <c r="O67" s="62" t="s">
        <v>60</v>
      </c>
      <c r="P67" s="30" t="s">
        <v>43</v>
      </c>
      <c r="Q67" s="63" t="s">
        <v>329</v>
      </c>
      <c r="R67" s="100"/>
      <c r="S67" s="100"/>
      <c r="T67" s="100"/>
      <c r="U67" s="101" t="s">
        <v>930</v>
      </c>
      <c r="V67" s="30"/>
      <c r="W67" s="30" t="str">
        <f>IFERROR(__xludf.DUMMYFUNCTION("LET(ref,IF(ISBLANK(H67),""N/A"",H67),apt,IF(ISBLANK(T67),"""","" | Apt#: ""&amp;T67),payee,TRIM(IFERROR(REGEXEXTRACT(SUBSTITUTE(G67,CHAR(10),"" ""),""(?i)(?:NEFT|RTGS)\s+[A-Z0-9]+\s+(.+?)\s+[A-Z]{4}0[A-Z0-9]{6}""),IFERROR(REGEXEXTRACT(SUBSTITUTE(G67,CHAR(10),"&amp;""" ""),""(?i)TO\s+(?:[0-9]+\s+TRANSFER TO\s+[0-9]+\s+TO\s+)?(.+)$""),G67))),IF(ISBLANK(U67),""Remarks Compulsory For Narration"",TRIM(IF(M67=""Internal"",IF(ISNUMBER(SEARCH(""DWARKADHIS"",G67)),IF(I67&gt;0,""Internal Fund Transfer (From xHTRA to BOM 905)"","&amp;"""Internal Fund Transfer (From BOM 905 to xHTRA)"")&amp;"" | Ref: ""&amp;ref&amp;"" | Type: ""&amp;P67&amp;"" | BU: ""&amp;L67&amp;"" | Head: ""&amp;M67,""Internal Transfer | Ref: ""&amp;ref&amp;"" | Type: ""&amp;P67&amp;"" | BU: ""&amp;L67&amp;"" | Head: ""&amp;M67),IF(N(J67)&gt;0,IF(P67=""Customer Collection"",""Re"&amp;"ceipt Credit (Collection) ""&amp;apt&amp;"" | Ref: ""&amp;ref&amp;"" | From: ""&amp;IF(ISNUMBER(SEARCH(""SOHNA ROAD"",G67)),""Sohna Road"",""Party"")&amp;"" | BU: ""&amp;L67,""Receipt Credit from x""&amp;RIGHT(IFERROR(MID(G67,FIND(""-"",SUBSTITUTE(G67,""-"",""-"",3))+1,LEN(G67)),""0000"&amp;"""),4)&amp;"" (Purpose: ""&amp;IF(OR(ISBLANK(U67),U67=""N/A""),L67,U67)&amp;"") ""&amp;apt&amp;"" | Ref: ""&amp;ref&amp;"" | BU: ""&amp;L67&amp;"" | Head: ""&amp;M67),""Payment Disbursement (Purpose: ""&amp;IF(ISNUMBER(SEARCH(""salary"",M67)),""Salary"",U67)&amp;"") | To: ""&amp;payee&amp;"" | Ref: ""&amp;ref&amp;"" |"&amp;" BU: ""&amp;L67&amp;"" | Head: ""&amp;M67&amp;apt)))))"),"Payment Disbursement (Purpose: Bank Debit) | To: LF CHG CA AC | Ref: N/A | BU: HO | Head: Bank Charges")</f>
        <v>Payment Disbursement (Purpose: Bank Debit) | To: LF CHG CA AC | Ref: N/A | BU: HO | Head: Bank Charges</v>
      </c>
    </row>
    <row r="68" ht="15.75" customHeight="1">
      <c r="A68" s="36">
        <v>66.0</v>
      </c>
      <c r="B68" s="56" t="str">
        <f t="shared" si="3"/>
        <v>#NAME?</v>
      </c>
      <c r="C68" s="94">
        <f t="shared" si="5"/>
        <v>7</v>
      </c>
      <c r="D68" s="95">
        <v>46211.0</v>
      </c>
      <c r="E68" s="95">
        <v>46211.0</v>
      </c>
      <c r="F68" s="96" t="s">
        <v>591</v>
      </c>
      <c r="G68" s="97" t="s">
        <v>612</v>
      </c>
      <c r="H68" s="98"/>
      <c r="I68" s="99">
        <v>18.0</v>
      </c>
      <c r="J68" s="99"/>
      <c r="K68" s="99">
        <f t="shared" si="4"/>
        <v>621162.08</v>
      </c>
      <c r="L68" s="62" t="s">
        <v>41</v>
      </c>
      <c r="M68" s="62" t="s">
        <v>328</v>
      </c>
      <c r="N68" s="63"/>
      <c r="O68" s="62" t="s">
        <v>48</v>
      </c>
      <c r="P68" s="30" t="s">
        <v>43</v>
      </c>
      <c r="Q68" s="63" t="s">
        <v>329</v>
      </c>
      <c r="R68" s="100"/>
      <c r="S68" s="100"/>
      <c r="T68" s="100"/>
      <c r="U68" s="101" t="s">
        <v>930</v>
      </c>
      <c r="V68" s="30"/>
      <c r="W68" s="30" t="str">
        <f>IFERROR(__xludf.DUMMYFUNCTION("LET(ref,IF(ISBLANK(H68),""N/A"",H68),apt,IF(ISBLANK(T68),"""","" | Apt#: ""&amp;T68),payee,TRIM(IFERROR(REGEXEXTRACT(SUBSTITUTE(G68,CHAR(10),"" ""),""(?i)(?:NEFT|RTGS)\s+[A-Z0-9]+\s+(.+?)\s+[A-Z]{4}0[A-Z0-9]{6}""),IFERROR(REGEXEXTRACT(SUBSTITUTE(G68,CHAR(10),"&amp;""" ""),""(?i)TO\s+(?:[0-9]+\s+TRANSFER TO\s+[0-9]+\s+TO\s+)?(.+)$""),G68))),IF(ISBLANK(U68),""Remarks Compulsory For Narration"",TRIM(IF(M68=""Internal"",IF(ISNUMBER(SEARCH(""DWARKADHIS"",G68)),IF(I68&gt;0,""Internal Fund Transfer (From xHTRA to BOM 905)"","&amp;"""Internal Fund Transfer (From BOM 905 to xHTRA)"")&amp;"" | Ref: ""&amp;ref&amp;"" | Type: ""&amp;P68&amp;"" | BU: ""&amp;L68&amp;"" | Head: ""&amp;M68,""Internal Transfer | Ref: ""&amp;ref&amp;"" | Type: ""&amp;P68&amp;"" | BU: ""&amp;L68&amp;"" | Head: ""&amp;M68),IF(N(J68)&gt;0,IF(P68=""Customer Collection"",""Re"&amp;"ceipt Credit (Collection) ""&amp;apt&amp;"" | Ref: ""&amp;ref&amp;"" | From: ""&amp;IF(ISNUMBER(SEARCH(""SOHNA ROAD"",G68)),""Sohna Road"",""Party"")&amp;"" | BU: ""&amp;L68,""Receipt Credit from x""&amp;RIGHT(IFERROR(MID(G68,FIND(""-"",SUBSTITUTE(G68,""-"",""-"",3))+1,LEN(G68)),""0000"&amp;"""),4)&amp;"" (Purpose: ""&amp;IF(OR(ISBLANK(U68),U68=""N/A""),L68,U68)&amp;"") ""&amp;apt&amp;"" | Ref: ""&amp;ref&amp;"" | BU: ""&amp;L68&amp;"" | Head: ""&amp;M68),""Payment Disbursement (Purpose: ""&amp;IF(ISNUMBER(SEARCH(""salary"",M68)),""Salary"",U68)&amp;"") | To: ""&amp;payee&amp;"" | Ref: ""&amp;ref&amp;"" |"&amp;" BU: ""&amp;L68&amp;"" | Head: ""&amp;M68&amp;apt)))))"),"Payment Disbursement (Purpose: Bank Debit) | To: GST | Ref: N/A | BU: HO | Head: Bank Charges")</f>
        <v>Payment Disbursement (Purpose: Bank Debit) | To: GST | Ref: N/A | BU: HO | Head: Bank Charges</v>
      </c>
    </row>
    <row r="69" ht="15.75" customHeight="1">
      <c r="A69" s="1"/>
      <c r="B69" s="128"/>
      <c r="C69" s="128"/>
      <c r="D69" s="129"/>
      <c r="E69" s="130"/>
      <c r="F69" s="130"/>
      <c r="G69" s="131"/>
      <c r="H69" s="130"/>
      <c r="I69" s="132"/>
      <c r="J69" s="132"/>
      <c r="K69" s="132"/>
      <c r="L69" s="133"/>
      <c r="M69" s="133"/>
      <c r="N69" s="134"/>
      <c r="O69" s="133"/>
      <c r="P69" s="2"/>
      <c r="Q69" s="134"/>
      <c r="R69" s="135"/>
      <c r="S69" s="135"/>
      <c r="T69" s="135"/>
      <c r="U69" s="136"/>
      <c r="V69" s="2"/>
      <c r="W69" s="2"/>
    </row>
    <row r="70" ht="15.75" customHeight="1">
      <c r="A70" s="1"/>
      <c r="B70" s="128"/>
      <c r="C70" s="128"/>
      <c r="D70" s="129"/>
      <c r="E70" s="130"/>
      <c r="F70" s="130"/>
      <c r="G70" s="131"/>
      <c r="H70" s="130"/>
      <c r="I70" s="132"/>
      <c r="J70" s="132"/>
      <c r="K70" s="132"/>
      <c r="L70" s="133"/>
      <c r="M70" s="133"/>
      <c r="N70" s="134"/>
      <c r="O70" s="133"/>
      <c r="P70" s="2"/>
      <c r="Q70" s="134"/>
      <c r="R70" s="135"/>
      <c r="S70" s="135"/>
      <c r="T70" s="135"/>
      <c r="U70" s="136"/>
      <c r="V70" s="2"/>
      <c r="W70" s="2"/>
    </row>
    <row r="71" ht="15.75" customHeight="1">
      <c r="A71" s="1"/>
      <c r="B71" s="128"/>
      <c r="C71" s="128"/>
      <c r="D71" s="129"/>
      <c r="E71" s="130"/>
      <c r="F71" s="130"/>
      <c r="G71" s="131"/>
      <c r="H71" s="130"/>
      <c r="I71" s="132"/>
      <c r="J71" s="132"/>
      <c r="K71" s="132"/>
      <c r="L71" s="133"/>
      <c r="M71" s="133"/>
      <c r="N71" s="134"/>
      <c r="O71" s="133"/>
      <c r="P71" s="2"/>
      <c r="Q71" s="134"/>
      <c r="R71" s="135"/>
      <c r="S71" s="135"/>
      <c r="T71" s="135"/>
      <c r="U71" s="136"/>
      <c r="V71" s="2"/>
      <c r="W71" s="2"/>
    </row>
    <row r="72" ht="15.75" customHeight="1">
      <c r="A72" s="1"/>
      <c r="B72" s="128"/>
      <c r="C72" s="128"/>
      <c r="D72" s="129"/>
      <c r="E72" s="130"/>
      <c r="F72" s="130"/>
      <c r="G72" s="131"/>
      <c r="H72" s="130"/>
      <c r="I72" s="132"/>
      <c r="J72" s="132"/>
      <c r="K72" s="132"/>
      <c r="L72" s="133"/>
      <c r="M72" s="133"/>
      <c r="N72" s="134"/>
      <c r="O72" s="133"/>
      <c r="P72" s="2"/>
      <c r="Q72" s="134"/>
      <c r="R72" s="135"/>
      <c r="S72" s="135"/>
      <c r="T72" s="135"/>
      <c r="U72" s="136"/>
      <c r="V72" s="2"/>
      <c r="W72" s="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68"/>
  <conditionalFormatting sqref="K1:K72">
    <cfRule type="expression" dxfId="0" priority="1">
      <formula>O:O="Reco"</formula>
    </cfRule>
  </conditionalFormatting>
  <dataValidations>
    <dataValidation type="list" allowBlank="1" showErrorMessage="1" sqref="L3:M72 P3:Q72">
      <formula1>#REF!</formula1>
    </dataValidation>
    <dataValidation type="list" allowBlank="1" sqref="O3:O72">
      <formula1>"Reco,Suspense,Entry,Reverse Entry,Pending"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7.13"/>
    <col customWidth="1" min="2" max="3" width="5.13"/>
    <col customWidth="1" min="4" max="4" width="12.38"/>
    <col customWidth="1" min="5" max="6" width="11.5"/>
    <col customWidth="1" min="7" max="7" width="61.63"/>
    <col customWidth="1" min="8" max="8" width="14.63"/>
    <col customWidth="1" min="9" max="10" width="13.0"/>
    <col customWidth="1" min="11" max="11" width="12.5"/>
    <col customWidth="1" min="12" max="13" width="9.63"/>
    <col customWidth="1" min="14" max="14" width="10.13"/>
    <col customWidth="1" min="15" max="15" width="8.13"/>
    <col customWidth="1" min="17" max="18" width="8.13"/>
    <col customWidth="1" min="21" max="21" width="15.5"/>
    <col customWidth="1" min="22" max="22" width="16.63"/>
    <col customWidth="1" min="23" max="23" width="37.63"/>
  </cols>
  <sheetData>
    <row r="1" ht="15.75" customHeight="1">
      <c r="A1" s="114"/>
      <c r="B1" s="1"/>
      <c r="C1" s="1"/>
      <c r="D1" s="36" t="s">
        <v>0</v>
      </c>
      <c r="E1" s="115"/>
      <c r="F1" s="115">
        <v>6.0090729675E10</v>
      </c>
      <c r="G1" s="116" t="s">
        <v>570</v>
      </c>
      <c r="H1" s="117"/>
      <c r="I1" s="118">
        <f t="shared" ref="I1:J1" si="1">SUBTOTAL(9,I3:I70)</f>
        <v>1506615</v>
      </c>
      <c r="J1" s="118">
        <f t="shared" si="1"/>
        <v>1514132.12</v>
      </c>
      <c r="K1" s="119">
        <f>J1-I1</f>
        <v>7517.12</v>
      </c>
      <c r="L1" s="120">
        <v>46256.0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1" t="str">
        <f>'YES Master 0264'!D2</f>
        <v>TXN DATE</v>
      </c>
      <c r="E2" s="11" t="str">
        <f>'YES Master 0264'!E2</f>
        <v>VALUE DATE</v>
      </c>
      <c r="F2" s="11" t="str">
        <f>'YES Master 0264'!F2</f>
        <v>TYPE</v>
      </c>
      <c r="G2" s="11" t="str">
        <f>'YES Master 0264'!G2</f>
        <v>DESCRIPTION</v>
      </c>
      <c r="H2" s="11" t="str">
        <f>'YES Master 0264'!H2</f>
        <v>REFERENCE</v>
      </c>
      <c r="I2" s="19" t="str">
        <f>'YES Master 0264'!I2</f>
        <v>DEBITS</v>
      </c>
      <c r="J2" s="19" t="str">
        <f>'YES Master 0264'!J2</f>
        <v>CREDITS</v>
      </c>
      <c r="K2" s="19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11" t="str">
        <f>'YES Master 0264'!P2</f>
        <v>TYPE FOR RERA IDW</v>
      </c>
      <c r="Q2" s="11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11" t="str">
        <f>'YES Master 0264'!W2</f>
        <v>NARRATION</v>
      </c>
    </row>
    <row r="3" ht="15.75" customHeight="1">
      <c r="A3" s="36">
        <v>1.0</v>
      </c>
      <c r="B3" s="94"/>
      <c r="C3" s="94">
        <f t="shared" ref="C3:C65" si="2">MONTH(D3)</f>
        <v>4</v>
      </c>
      <c r="D3" s="122">
        <v>45748.0</v>
      </c>
      <c r="E3" s="122">
        <f t="shared" ref="E3:E37" si="3">D3</f>
        <v>45748</v>
      </c>
      <c r="F3" s="96" t="s">
        <v>739</v>
      </c>
      <c r="G3" s="97" t="s">
        <v>740</v>
      </c>
      <c r="H3" s="96"/>
      <c r="I3" s="99"/>
      <c r="J3" s="99">
        <v>16046.72</v>
      </c>
      <c r="K3" s="99">
        <f>J3</f>
        <v>16046.72</v>
      </c>
      <c r="L3" s="62"/>
      <c r="M3" s="62"/>
      <c r="N3" s="123"/>
      <c r="O3" s="30"/>
      <c r="P3" s="30"/>
      <c r="Q3" s="124"/>
      <c r="R3" s="124"/>
      <c r="S3" s="124"/>
      <c r="T3" s="124"/>
      <c r="U3" s="30"/>
      <c r="V3" s="30"/>
      <c r="W3" s="30"/>
    </row>
    <row r="4" ht="15.75" customHeight="1">
      <c r="A4" s="36">
        <v>2.0</v>
      </c>
      <c r="B4" s="56" t="str">
        <f t="shared" ref="B4:B65" si="4">IF(D4="","?",_xludf.IFS(
    MONTH(D4)&lt;=3,"Q4",
    MONTH(D4)&lt;=6,"Q1",
    MONTH(D4)&lt;=9,"Q2",
    TRUE,"Q3"
))</f>
        <v>#NAME?</v>
      </c>
      <c r="C4" s="94">
        <f t="shared" si="2"/>
        <v>5</v>
      </c>
      <c r="D4" s="122">
        <v>46163.0</v>
      </c>
      <c r="E4" s="122">
        <f t="shared" si="3"/>
        <v>46163</v>
      </c>
      <c r="F4" s="96" t="s">
        <v>591</v>
      </c>
      <c r="G4" s="97" t="s">
        <v>746</v>
      </c>
      <c r="H4" s="96"/>
      <c r="I4" s="99">
        <v>1.0</v>
      </c>
      <c r="J4" s="99"/>
      <c r="K4" s="99">
        <f t="shared" ref="K4:K66" si="5">K3+J4-I4</f>
        <v>16045.72</v>
      </c>
      <c r="L4" s="62" t="s">
        <v>41</v>
      </c>
      <c r="M4" s="62" t="s">
        <v>47</v>
      </c>
      <c r="N4" s="36"/>
      <c r="O4" s="63" t="s">
        <v>60</v>
      </c>
      <c r="P4" s="30" t="s">
        <v>47</v>
      </c>
      <c r="Q4" s="63" t="s">
        <v>50</v>
      </c>
      <c r="R4" s="124"/>
      <c r="S4" s="124"/>
      <c r="T4" s="124"/>
      <c r="U4" s="30" t="s">
        <v>75</v>
      </c>
      <c r="V4" s="30"/>
      <c r="W4" s="30" t="str">
        <f>IFERROR(__xludf.DUMMYFUNCTION("LET(ref,IF(ISBLANK(H4),""N/A"",H4),apt,IF(ISBLANK(T4),"""","" | Apt#: ""&amp;T4),payee,TRIM(IFERROR(REGEXEXTRACT(SUBSTITUTE(G4,CHAR(10),"" ""),""(?i)(?:NEFT|RTGS)\s+[A-Z0-9]+\s+(.+?)\s+[A-Z]{4}0[A-Z0-9]{6}""),IFERROR(REGEXEXTRACT(SUBSTITUTE(G4,CHAR(10),"" "")"&amp;",""(?i)TO\s+(?:[0-9]+\s+TRANSFER TO\s+[0-9]+\s+TO\s+)?(.+)$""),G4))),int_acc,IFERROR(REGEXEXTRACT(G4,""(?i)(\d{4})[\s/]*DWARKADHIS""),""""),to_target,IF(I4&gt;0,IF(int_acc&lt;&gt;"""",""To: x""&amp;int_acc,""To: Internal""),""To: BOM 675""),IF(ISBLANK(U4),""Remarks Co"&amp;"mpulsory For Narration"",TRIM(IF(M4=""Internal"",IF(ISNUMBER(SEARCH(""DWARKADHIS"",G4)),""Internal Fund Transfer | ""&amp;to_target&amp;"" | Ref: ""&amp;ref&amp;"" | Type: ""&amp;P4&amp;"" | BU: ""&amp;L4&amp;"" | Head: ""&amp;M4,""Internal Transfer | Ref: ""&amp;ref&amp;"" | Type: ""&amp;P4&amp;"" | BU: "&amp;"""&amp;L4&amp;"" | Head: ""&amp;M4),IF(N(J4)&gt;0,IF(P4=""Customer Collection"",""Receipt Credit (Collection) ""&amp;apt&amp;"" | Ref: ""&amp;ref&amp;"" | From: ""&amp;IF(ISNUMBER(SEARCH(""SOHNA ROAD"",G4)),""Sohna Road"",""Party"")&amp;"" | BU: ""&amp;L4,""Receipt Credit from x""&amp;RIGHT(IFERROR(MI"&amp;"D(G4,FIND(""-"",SUBSTITUTE(G4,""-"",""-"",3))+1,LEN(G4)),""0000""),4)&amp;"" (Purpose: ""&amp;IF(OR(ISBLANK(U4),U4=""N/A""),L4,U4)&amp;"") ""&amp;apt&amp;"" | Ref: ""&amp;ref&amp;"" | BU: ""&amp;L4&amp;"" | Head: ""&amp;M4),""Payment Disbursement (Purpose: ""&amp;IF(ISNUMBER(SEARCH(""salary"",M4)),"&amp;"""Salary"",U4)&amp;"") | To: ""&amp;payee&amp;"" | Ref: ""&amp;ref&amp;"" | BU: ""&amp;L4&amp;"" | Head: ""&amp;M4&amp;apt)))))"),"Internal Fund Transfer | To: x3157 | Ref: N/A | Type: Internal | BU: HO | Head: Internal")</f>
        <v>Internal Fund Transfer | To: x3157 | Ref: N/A | Type: Internal | BU: HO | Head: Internal</v>
      </c>
    </row>
    <row r="5" ht="15.75" customHeight="1">
      <c r="A5" s="36">
        <v>3.0</v>
      </c>
      <c r="B5" s="56" t="str">
        <f t="shared" si="4"/>
        <v>#NAME?</v>
      </c>
      <c r="C5" s="94">
        <f t="shared" si="2"/>
        <v>5</v>
      </c>
      <c r="D5" s="122">
        <v>46164.0</v>
      </c>
      <c r="E5" s="122">
        <f t="shared" si="3"/>
        <v>46164</v>
      </c>
      <c r="F5" s="96" t="s">
        <v>591</v>
      </c>
      <c r="G5" s="97" t="s">
        <v>750</v>
      </c>
      <c r="H5" s="96"/>
      <c r="I5" s="99"/>
      <c r="J5" s="99">
        <v>260000.0</v>
      </c>
      <c r="K5" s="99">
        <f t="shared" si="5"/>
        <v>276045.72</v>
      </c>
      <c r="L5" s="62" t="s">
        <v>211</v>
      </c>
      <c r="M5" s="62" t="s">
        <v>47</v>
      </c>
      <c r="N5" s="36"/>
      <c r="O5" s="63" t="s">
        <v>60</v>
      </c>
      <c r="P5" s="30" t="s">
        <v>213</v>
      </c>
      <c r="Q5" s="63" t="s">
        <v>82</v>
      </c>
      <c r="R5" s="124"/>
      <c r="S5" s="124"/>
      <c r="T5" s="124"/>
      <c r="U5" s="30" t="s">
        <v>75</v>
      </c>
      <c r="V5" s="30"/>
      <c r="W5" s="30" t="str">
        <f>IFERROR(__xludf.DUMMYFUNCTION("LET(ref,IF(ISBLANK(H5),""N/A"",H5),apt,IF(ISBLANK(T5),"""","" | Apt#: ""&amp;T5),payee,TRIM(IFERROR(REGEXEXTRACT(SUBSTITUTE(G5,CHAR(10),"" ""),""(?i)(?:NEFT|RTGS)\s+[A-Z0-9]+\s+(.+?)\s+[A-Z]{4}0[A-Z0-9]{6}""),IFERROR(REGEXEXTRACT(SUBSTITUTE(G5,CHAR(10),"" "")"&amp;",""(?i)TO\s+(?:[0-9]+\s+TRANSFER TO\s+[0-9]+\s+TO\s+)?(.+)$""),G5))),int_acc,IFERROR(REGEXEXTRACT(G5,""(?i)(\d{4})[\s/]*DWARKADHIS""),""""),to_target,IF(I5&gt;0,IF(int_acc&lt;&gt;"""",""To: x""&amp;int_acc,""To: Internal""),""To: BOM 675""),IF(ISBLANK(U5),""Remarks Co"&amp;"mpulsory For Narration"",TRIM(IF(M5=""Internal"",IF(ISNUMBER(SEARCH(""DWARKADHIS"",G5)),""Internal Fund Transfer | ""&amp;to_target&amp;"" | Ref: ""&amp;ref&amp;"" | Type: ""&amp;P5&amp;"" | BU: ""&amp;L5&amp;"" | Head: ""&amp;M5,""Internal Transfer | Ref: ""&amp;ref&amp;"" | Type: ""&amp;P5&amp;"" | BU: "&amp;"""&amp;L5&amp;"" | Head: ""&amp;M5),IF(N(J5)&gt;0,IF(P5=""Customer Collection"",""Receipt Credit (Collection) ""&amp;apt&amp;"" | Ref: ""&amp;ref&amp;"" | From: ""&amp;IF(ISNUMBER(SEARCH(""SOHNA ROAD"",G5)),""Sohna Road"",""Party"")&amp;"" | BU: ""&amp;L5,""Receipt Credit from x""&amp;RIGHT(IFERROR(MI"&amp;"D(G5,FIND(""-"",SUBSTITUTE(G5,""-"",""-"",3))+1,LEN(G5)),""0000""),4)&amp;"" (Purpose: ""&amp;IF(OR(ISBLANK(U5),U5=""N/A""),L5,U5)&amp;"") ""&amp;apt&amp;"" | Ref: ""&amp;ref&amp;"" | BU: ""&amp;L5&amp;"" | Head: ""&amp;M5),""Payment Disbursement (Purpose: ""&amp;IF(ISNUMBER(SEARCH(""salary"",M5)),"&amp;"""Salary"",U5)&amp;"") | To: ""&amp;payee&amp;"" | Ref: ""&amp;ref&amp;"" | BU: ""&amp;L5&amp;"" | Head: ""&amp;M5&amp;apt)))))"),"Internal Fund Transfer | To: BOM 675 | Ref: N/A | Type: AH - CR | BU: Aravali Heights | Head: Internal")</f>
        <v>Internal Fund Transfer | To: BOM 675 | Ref: N/A | Type: AH - CR | BU: Aravali Heights | Head: Internal</v>
      </c>
    </row>
    <row r="6" ht="15.75" customHeight="1">
      <c r="A6" s="36">
        <v>4.0</v>
      </c>
      <c r="B6" s="56" t="str">
        <f t="shared" si="4"/>
        <v>#NAME?</v>
      </c>
      <c r="C6" s="94">
        <f t="shared" si="2"/>
        <v>5</v>
      </c>
      <c r="D6" s="122">
        <v>46164.0</v>
      </c>
      <c r="E6" s="122">
        <f t="shared" si="3"/>
        <v>46164</v>
      </c>
      <c r="F6" s="96" t="s">
        <v>591</v>
      </c>
      <c r="G6" s="97" t="s">
        <v>756</v>
      </c>
      <c r="H6" s="96"/>
      <c r="I6" s="99">
        <v>9124.0</v>
      </c>
      <c r="J6" s="99"/>
      <c r="K6" s="99">
        <f t="shared" si="5"/>
        <v>266921.72</v>
      </c>
      <c r="L6" s="62" t="s">
        <v>41</v>
      </c>
      <c r="M6" s="62" t="s">
        <v>101</v>
      </c>
      <c r="N6" s="36"/>
      <c r="O6" s="63" t="s">
        <v>60</v>
      </c>
      <c r="P6" s="30" t="s">
        <v>43</v>
      </c>
      <c r="Q6" s="63" t="s">
        <v>44</v>
      </c>
      <c r="R6" s="124"/>
      <c r="S6" s="124"/>
      <c r="T6" s="124"/>
      <c r="U6" s="30" t="s">
        <v>75</v>
      </c>
      <c r="V6" s="30"/>
      <c r="W6" s="30" t="str">
        <f>IFERROR(__xludf.DUMMYFUNCTION("LET(ref,IF(ISBLANK(H6),""N/A"",H6),apt,IF(ISBLANK(T6),"""","" | Apt#: ""&amp;T6),payee,TRIM(IFERROR(REGEXEXTRACT(SUBSTITUTE(G6,CHAR(10),"" ""),""(?i)(?:NEFT|RTGS)\s+[A-Z0-9]+\s+(.+?)\s+[A-Z]{4}0[A-Z0-9]{6}""),IFERROR(REGEXEXTRACT(SUBSTITUTE(G6,CHAR(10),"" "")"&amp;",""(?i)TO\s+(?:[0-9]+\s+TRANSFER TO\s+[0-9]+\s+TO\s+)?(.+)$""),G6))),int_acc,IFERROR(REGEXEXTRACT(G6,""(?i)(\d{4})[\s/]*DWARKADHIS""),""""),to_target,IF(I6&gt;0,IF(int_acc&lt;&gt;"""",""To: x""&amp;int_acc,""To: Internal""),""To: BOM 675""),IF(ISBLANK(U6),""Remarks Co"&amp;"mpulsory For Narration"",TRIM(IF(M6=""Internal"",IF(ISNUMBER(SEARCH(""DWARKADHIS"",G6)),""Internal Fund Transfer | ""&amp;to_target&amp;"" | Ref: ""&amp;ref&amp;"" | Type: ""&amp;P6&amp;"" | BU: ""&amp;L6&amp;"" | Head: ""&amp;M6,""Internal Transfer | Ref: ""&amp;ref&amp;"" | Type: ""&amp;P6&amp;"" | BU: "&amp;"""&amp;L6&amp;"" | Head: ""&amp;M6),IF(N(J6)&gt;0,IF(P6=""Customer Collection"",""Receipt Credit (Collection) ""&amp;apt&amp;"" | Ref: ""&amp;ref&amp;"" | From: ""&amp;IF(ISNUMBER(SEARCH(""SOHNA ROAD"",G6)),""Sohna Road"",""Party"")&amp;"" | BU: ""&amp;L6,""Receipt Credit from x""&amp;RIGHT(IFERROR(MI"&amp;"D(G6,FIND(""-"",SUBSTITUTE(G6,""-"",""-"",3))+1,LEN(G6)),""0000""),4)&amp;"" (Purpose: ""&amp;IF(OR(ISBLANK(U6),U6=""N/A""),L6,U6)&amp;"") ""&amp;apt&amp;"" | Ref: ""&amp;ref&amp;"" | BU: ""&amp;L6&amp;"" | Head: ""&amp;M6),""Payment Disbursement (Purpose: ""&amp;IF(ISNUMBER(SEARCH(""salary"",M6)),"&amp;"""Salary"",U6)&amp;"") | To: ""&amp;payee&amp;"" | Ref: ""&amp;ref&amp;"" | BU: ""&amp;L6&amp;"" | Head: ""&amp;M6&amp;apt)))))"),"Payment Disbursement (Purpose: Salary) | To: Sahil Yadav | Ref: N/A | BU: HO | Head: Salary HO")</f>
        <v>Payment Disbursement (Purpose: Salary) | To: Sahil Yadav | Ref: N/A | BU: HO | Head: Salary HO</v>
      </c>
    </row>
    <row r="7" ht="15.75" customHeight="1">
      <c r="A7" s="36">
        <v>5.0</v>
      </c>
      <c r="B7" s="56" t="str">
        <f t="shared" si="4"/>
        <v>#NAME?</v>
      </c>
      <c r="C7" s="94">
        <f t="shared" si="2"/>
        <v>5</v>
      </c>
      <c r="D7" s="122">
        <v>46164.0</v>
      </c>
      <c r="E7" s="122">
        <f t="shared" si="3"/>
        <v>46164</v>
      </c>
      <c r="F7" s="96" t="s">
        <v>591</v>
      </c>
      <c r="G7" s="97" t="s">
        <v>759</v>
      </c>
      <c r="H7" s="96"/>
      <c r="I7" s="99">
        <v>36298.0</v>
      </c>
      <c r="J7" s="99"/>
      <c r="K7" s="99">
        <f t="shared" si="5"/>
        <v>230623.72</v>
      </c>
      <c r="L7" s="62" t="s">
        <v>41</v>
      </c>
      <c r="M7" s="62" t="s">
        <v>101</v>
      </c>
      <c r="N7" s="36"/>
      <c r="O7" s="63" t="s">
        <v>60</v>
      </c>
      <c r="P7" s="30" t="s">
        <v>43</v>
      </c>
      <c r="Q7" s="63" t="s">
        <v>44</v>
      </c>
      <c r="R7" s="124"/>
      <c r="S7" s="124"/>
      <c r="T7" s="124"/>
      <c r="U7" s="30" t="s">
        <v>75</v>
      </c>
      <c r="V7" s="30"/>
      <c r="W7" s="30" t="str">
        <f>IFERROR(__xludf.DUMMYFUNCTION("LET(ref,IF(ISBLANK(H7),""N/A"",H7),apt,IF(ISBLANK(T7),"""","" | Apt#: ""&amp;T7),payee,TRIM(IFERROR(REGEXEXTRACT(SUBSTITUTE(G7,CHAR(10),"" ""),""(?i)(?:NEFT|RTGS)\s+[A-Z0-9]+\s+(.+?)\s+[A-Z]{4}0[A-Z0-9]{6}""),IFERROR(REGEXEXTRACT(SUBSTITUTE(G7,CHAR(10),"" "")"&amp;",""(?i)TO\s+(?:[0-9]+\s+TRANSFER TO\s+[0-9]+\s+TO\s+)?(.+)$""),G7))),int_acc,IFERROR(REGEXEXTRACT(G7,""(?i)(\d{4})[\s/]*DWARKADHIS""),""""),to_target,IF(I7&gt;0,IF(int_acc&lt;&gt;"""",""To: x""&amp;int_acc,""To: Internal""),""To: BOM 675""),IF(ISBLANK(U7),""Remarks Co"&amp;"mpulsory For Narration"",TRIM(IF(M7=""Internal"",IF(ISNUMBER(SEARCH(""DWARKADHIS"",G7)),""Internal Fund Transfer | ""&amp;to_target&amp;"" | Ref: ""&amp;ref&amp;"" | Type: ""&amp;P7&amp;"" | BU: ""&amp;L7&amp;"" | Head: ""&amp;M7,""Internal Transfer | Ref: ""&amp;ref&amp;"" | Type: ""&amp;P7&amp;"" | BU: "&amp;"""&amp;L7&amp;"" | Head: ""&amp;M7),IF(N(J7)&gt;0,IF(P7=""Customer Collection"",""Receipt Credit (Collection) ""&amp;apt&amp;"" | Ref: ""&amp;ref&amp;"" | From: ""&amp;IF(ISNUMBER(SEARCH(""SOHNA ROAD"",G7)),""Sohna Road"",""Party"")&amp;"" | BU: ""&amp;L7,""Receipt Credit from x""&amp;RIGHT(IFERROR(MI"&amp;"D(G7,FIND(""-"",SUBSTITUTE(G7,""-"",""-"",3))+1,LEN(G7)),""0000""),4)&amp;"" (Purpose: ""&amp;IF(OR(ISBLANK(U7),U7=""N/A""),L7,U7)&amp;"") ""&amp;apt&amp;"" | Ref: ""&amp;ref&amp;"" | BU: ""&amp;L7&amp;"" | Head: ""&amp;M7),""Payment Disbursement (Purpose: ""&amp;IF(ISNUMBER(SEARCH(""salary"",M7)),"&amp;"""Salary"",U7)&amp;"") | To: ""&amp;payee&amp;"" | Ref: ""&amp;ref&amp;"" | BU: ""&amp;L7&amp;"" | Head: ""&amp;M7&amp;apt)))))"),"Payment Disbursement (Purpose: Salary) | To: Diksha Sharma | Ref: N/A | BU: HO | Head: Salary HO")</f>
        <v>Payment Disbursement (Purpose: Salary) | To: Diksha Sharma | Ref: N/A | BU: HO | Head: Salary HO</v>
      </c>
    </row>
    <row r="8" ht="15.75" customHeight="1">
      <c r="A8" s="36">
        <v>6.0</v>
      </c>
      <c r="B8" s="56" t="str">
        <f t="shared" si="4"/>
        <v>#NAME?</v>
      </c>
      <c r="C8" s="94">
        <f t="shared" si="2"/>
        <v>5</v>
      </c>
      <c r="D8" s="122">
        <v>46164.0</v>
      </c>
      <c r="E8" s="122">
        <f t="shared" si="3"/>
        <v>46164</v>
      </c>
      <c r="F8" s="96" t="s">
        <v>591</v>
      </c>
      <c r="G8" s="97" t="s">
        <v>765</v>
      </c>
      <c r="H8" s="96"/>
      <c r="I8" s="99">
        <v>39898.0</v>
      </c>
      <c r="J8" s="99"/>
      <c r="K8" s="99">
        <f t="shared" si="5"/>
        <v>190725.72</v>
      </c>
      <c r="L8" s="62" t="s">
        <v>41</v>
      </c>
      <c r="M8" s="62" t="s">
        <v>101</v>
      </c>
      <c r="N8" s="36"/>
      <c r="O8" s="63" t="s">
        <v>60</v>
      </c>
      <c r="P8" s="30" t="s">
        <v>43</v>
      </c>
      <c r="Q8" s="63" t="s">
        <v>44</v>
      </c>
      <c r="R8" s="124"/>
      <c r="S8" s="124"/>
      <c r="T8" s="124"/>
      <c r="U8" s="30" t="s">
        <v>75</v>
      </c>
      <c r="V8" s="30"/>
      <c r="W8" s="30" t="str">
        <f>IFERROR(__xludf.DUMMYFUNCTION("LET(ref,IF(ISBLANK(H8),""N/A"",H8),apt,IF(ISBLANK(T8),"""","" | Apt#: ""&amp;T8),payee,TRIM(IFERROR(REGEXEXTRACT(SUBSTITUTE(G8,CHAR(10),"" ""),""(?i)(?:NEFT|RTGS)\s+[A-Z0-9]+\s+(.+?)\s+[A-Z]{4}0[A-Z0-9]{6}""),IFERROR(REGEXEXTRACT(SUBSTITUTE(G8,CHAR(10),"" "")"&amp;",""(?i)TO\s+(?:[0-9]+\s+TRANSFER TO\s+[0-9]+\s+TO\s+)?(.+)$""),G8))),int_acc,IFERROR(REGEXEXTRACT(G8,""(?i)(\d{4})[\s/]*DWARKADHIS""),""""),to_target,IF(I8&gt;0,IF(int_acc&lt;&gt;"""",""To: x""&amp;int_acc,""To: Internal""),""To: BOM 675""),IF(ISBLANK(U8),""Remarks Co"&amp;"mpulsory For Narration"",TRIM(IF(M8=""Internal"",IF(ISNUMBER(SEARCH(""DWARKADHIS"",G8)),""Internal Fund Transfer | ""&amp;to_target&amp;"" | Ref: ""&amp;ref&amp;"" | Type: ""&amp;P8&amp;"" | BU: ""&amp;L8&amp;"" | Head: ""&amp;M8,""Internal Transfer | Ref: ""&amp;ref&amp;"" | Type: ""&amp;P8&amp;"" | BU: "&amp;"""&amp;L8&amp;"" | Head: ""&amp;M8),IF(N(J8)&gt;0,IF(P8=""Customer Collection"",""Receipt Credit (Collection) ""&amp;apt&amp;"" | Ref: ""&amp;ref&amp;"" | From: ""&amp;IF(ISNUMBER(SEARCH(""SOHNA ROAD"",G8)),""Sohna Road"",""Party"")&amp;"" | BU: ""&amp;L8,""Receipt Credit from x""&amp;RIGHT(IFERROR(MI"&amp;"D(G8,FIND(""-"",SUBSTITUTE(G8,""-"",""-"",3))+1,LEN(G8)),""0000""),4)&amp;"" (Purpose: ""&amp;IF(OR(ISBLANK(U8),U8=""N/A""),L8,U8)&amp;"") ""&amp;apt&amp;"" | Ref: ""&amp;ref&amp;"" | BU: ""&amp;L8&amp;"" | Head: ""&amp;M8),""Payment Disbursement (Purpose: ""&amp;IF(ISNUMBER(SEARCH(""salary"",M8)),"&amp;"""Salary"",U8)&amp;"") | To: ""&amp;payee&amp;"" | Ref: ""&amp;ref&amp;"" | BU: ""&amp;L8&amp;"" | Head: ""&amp;M8&amp;apt)))))"),"Payment Disbursement (Purpose: Salary) | To: Rahul Singla | Ref: N/A | BU: HO | Head: Salary HO")</f>
        <v>Payment Disbursement (Purpose: Salary) | To: Rahul Singla | Ref: N/A | BU: HO | Head: Salary HO</v>
      </c>
    </row>
    <row r="9" ht="15.75" customHeight="1">
      <c r="A9" s="36">
        <v>7.0</v>
      </c>
      <c r="B9" s="56" t="str">
        <f t="shared" si="4"/>
        <v>#NAME?</v>
      </c>
      <c r="C9" s="94">
        <f t="shared" si="2"/>
        <v>5</v>
      </c>
      <c r="D9" s="122">
        <v>46164.0</v>
      </c>
      <c r="E9" s="122">
        <f t="shared" si="3"/>
        <v>46164</v>
      </c>
      <c r="F9" s="96" t="s">
        <v>591</v>
      </c>
      <c r="G9" s="97" t="s">
        <v>770</v>
      </c>
      <c r="H9" s="96"/>
      <c r="I9" s="99">
        <v>72500.0</v>
      </c>
      <c r="J9" s="99"/>
      <c r="K9" s="99">
        <f t="shared" si="5"/>
        <v>118225.72</v>
      </c>
      <c r="L9" s="62" t="s">
        <v>41</v>
      </c>
      <c r="M9" s="62" t="s">
        <v>118</v>
      </c>
      <c r="N9" s="36"/>
      <c r="O9" s="63" t="s">
        <v>60</v>
      </c>
      <c r="P9" s="30" t="s">
        <v>43</v>
      </c>
      <c r="Q9" s="63" t="s">
        <v>44</v>
      </c>
      <c r="R9" s="124"/>
      <c r="S9" s="124"/>
      <c r="T9" s="124"/>
      <c r="U9" s="30" t="s">
        <v>119</v>
      </c>
      <c r="V9" s="30"/>
      <c r="W9" s="30" t="str">
        <f>IFERROR(__xludf.DUMMYFUNCTION("LET(ref,IF(ISBLANK(H9),""N/A"",H9),apt,IF(ISBLANK(T9),"""","" | Apt#: ""&amp;T9),payee,TRIM(IFERROR(REGEXEXTRACT(SUBSTITUTE(G9,CHAR(10),"" ""),""(?i)(?:NEFT|RTGS)\s+[A-Z0-9]+\s+(.+?)\s+[A-Z]{4}0[A-Z0-9]{6}""),IFERROR(REGEXEXTRACT(SUBSTITUTE(G9,CHAR(10),"" "")"&amp;",""(?i)TO\s+(?:[0-9]+\s+TRANSFER TO\s+[0-9]+\s+TO\s+)?(.+)$""),G9))),int_acc,IFERROR(REGEXEXTRACT(G9,""(?i)(\d{4})[\s/]*DWARKADHIS""),""""),to_target,IF(I9&gt;0,IF(int_acc&lt;&gt;"""",""To: x""&amp;int_acc,""To: Internal""),""To: BOM 675""),IF(ISBLANK(U9),""Remarks Co"&amp;"mpulsory For Narration"",TRIM(IF(M9=""Internal"",IF(ISNUMBER(SEARCH(""DWARKADHIS"",G9)),""Internal Fund Transfer | ""&amp;to_target&amp;"" | Ref: ""&amp;ref&amp;"" | Type: ""&amp;P9&amp;"" | BU: ""&amp;L9&amp;"" | Head: ""&amp;M9,""Internal Transfer | Ref: ""&amp;ref&amp;"" | Type: ""&amp;P9&amp;"" | BU: "&amp;"""&amp;L9&amp;"" | Head: ""&amp;M9),IF(N(J9)&gt;0,IF(P9=""Customer Collection"",""Receipt Credit (Collection) ""&amp;apt&amp;"" | Ref: ""&amp;ref&amp;"" | From: ""&amp;IF(ISNUMBER(SEARCH(""SOHNA ROAD"",G9)),""Sohna Road"",""Party"")&amp;"" | BU: ""&amp;L9,""Receipt Credit from x""&amp;RIGHT(IFERROR(MI"&amp;"D(G9,FIND(""-"",SUBSTITUTE(G9,""-"",""-"",3))+1,LEN(G9)),""0000""),4)&amp;"" (Purpose: ""&amp;IF(OR(ISBLANK(U9),U9=""N/A""),L9,U9)&amp;"") ""&amp;apt&amp;"" | Ref: ""&amp;ref&amp;"" | BU: ""&amp;L9&amp;"" | Head: ""&amp;M9),""Payment Disbursement (Purpose: ""&amp;IF(ISNUMBER(SEARCH(""salary"",M9)),"&amp;"""Salary"",U9)&amp;"") | To: ""&amp;payee&amp;"" | Ref: ""&amp;ref&amp;"" | BU: ""&amp;L9&amp;"" | Head: ""&amp;M9&amp;apt)))))"),"Payment Disbursement (Purpose: Professional Fee) | To: Nikhil Manocha and CO | Ref: N/A | BU: HO | Head: Professional")</f>
        <v>Payment Disbursement (Purpose: Professional Fee) | To: Nikhil Manocha and CO | Ref: N/A | BU: HO | Head: Professional</v>
      </c>
    </row>
    <row r="10" ht="15.75" customHeight="1">
      <c r="A10" s="36">
        <v>8.0</v>
      </c>
      <c r="B10" s="56" t="str">
        <f t="shared" si="4"/>
        <v>#NAME?</v>
      </c>
      <c r="C10" s="94">
        <f t="shared" si="2"/>
        <v>5</v>
      </c>
      <c r="D10" s="122">
        <v>46164.0</v>
      </c>
      <c r="E10" s="122">
        <f t="shared" si="3"/>
        <v>46164</v>
      </c>
      <c r="F10" s="96" t="s">
        <v>591</v>
      </c>
      <c r="G10" s="97" t="s">
        <v>773</v>
      </c>
      <c r="H10" s="96"/>
      <c r="I10" s="99">
        <v>36298.0</v>
      </c>
      <c r="J10" s="99"/>
      <c r="K10" s="99">
        <f t="shared" si="5"/>
        <v>81927.72</v>
      </c>
      <c r="L10" s="62" t="s">
        <v>41</v>
      </c>
      <c r="M10" s="62" t="s">
        <v>101</v>
      </c>
      <c r="N10" s="36"/>
      <c r="O10" s="63" t="s">
        <v>60</v>
      </c>
      <c r="P10" s="30" t="s">
        <v>43</v>
      </c>
      <c r="Q10" s="63" t="s">
        <v>44</v>
      </c>
      <c r="R10" s="124"/>
      <c r="S10" s="124"/>
      <c r="T10" s="124"/>
      <c r="U10" s="30" t="s">
        <v>75</v>
      </c>
      <c r="V10" s="30"/>
      <c r="W10" s="30" t="str">
        <f>IFERROR(__xludf.DUMMYFUNCTION("LET(ref,IF(ISBLANK(H10),""N/A"",H10),apt,IF(ISBLANK(T10),"""","" | Apt#: ""&amp;T10),payee,TRIM(IFERROR(REGEXEXTRACT(SUBSTITUTE(G10,CHAR(10),"" ""),""(?i)(?:NEFT|RTGS)\s+[A-Z0-9]+\s+(.+?)\s+[A-Z]{4}0[A-Z0-9]{6}""),IFERROR(REGEXEXTRACT(SUBSTITUTE(G10,CHAR(10),"&amp;""" ""),""(?i)TO\s+(?:[0-9]+\s+TRANSFER TO\s+[0-9]+\s+TO\s+)?(.+)$""),G10))),int_acc,IFERROR(REGEXEXTRACT(G10,""(?i)(\d{4})[\s/]*DWARKADHIS""),""""),to_target,IF(I10&gt;0,IF(int_acc&lt;&gt;"""",""To: x""&amp;int_acc,""To: Internal""),""To: BOM 675""),IF(ISBLANK(U10),"""&amp;"Remarks Compulsory For Narration"",TRIM(IF(M10=""Internal"",IF(ISNUMBER(SEARCH(""DWARKADHIS"",G10)),""Internal Fund Transfer | ""&amp;to_target&amp;"" | Ref: ""&amp;ref&amp;"" | Type: ""&amp;P10&amp;"" | BU: ""&amp;L10&amp;"" | Head: ""&amp;M10,""Internal Transfer | Ref: ""&amp;ref&amp;"" | Type: "&amp;"""&amp;P10&amp;"" | BU: ""&amp;L10&amp;"" | Head: ""&amp;M10),IF(N(J10)&gt;0,IF(P10=""Customer Collection"",""Receipt Credit (Collection) ""&amp;apt&amp;"" | Ref: ""&amp;ref&amp;"" | From: ""&amp;IF(ISNUMBER(SEARCH(""SOHNA ROAD"",G10)),""Sohna Road"",""Party"")&amp;"" | BU: ""&amp;L10,""Receipt Credit fro"&amp;"m x""&amp;RIGHT(IFERROR(MID(G10,FIND(""-"",SUBSTITUTE(G10,""-"",""-"",3))+1,LEN(G10)),""0000""),4)&amp;"" (Purpose: ""&amp;IF(OR(ISBLANK(U10),U10=""N/A""),L10,U10)&amp;"") ""&amp;apt&amp;"" | Ref: ""&amp;ref&amp;"" | BU: ""&amp;L10&amp;"" | Head: ""&amp;M10),""Payment Disbursement (Purpose: ""&amp;IF(I"&amp;"SNUMBER(SEARCH(""salary"",M10)),""Salary"",U10)&amp;"") | To: ""&amp;payee&amp;"" | Ref: ""&amp;ref&amp;"" | BU: ""&amp;L10&amp;"" | Head: ""&amp;M10&amp;apt)))))"),"Payment Disbursement (Purpose: Salary) | To: Mr. MUKESH KUMAR RAY | Ref: N/A | BU: HO | Head: Salary HO")</f>
        <v>Payment Disbursement (Purpose: Salary) | To: Mr. MUKESH KUMAR RAY | Ref: N/A | BU: HO | Head: Salary HO</v>
      </c>
    </row>
    <row r="11" ht="15.75" customHeight="1">
      <c r="A11" s="36">
        <v>9.0</v>
      </c>
      <c r="B11" s="56" t="str">
        <f t="shared" si="4"/>
        <v>#NAME?</v>
      </c>
      <c r="C11" s="94">
        <f t="shared" si="2"/>
        <v>5</v>
      </c>
      <c r="D11" s="122">
        <v>46164.0</v>
      </c>
      <c r="E11" s="122">
        <f t="shared" si="3"/>
        <v>46164</v>
      </c>
      <c r="F11" s="96" t="s">
        <v>591</v>
      </c>
      <c r="G11" s="97" t="s">
        <v>777</v>
      </c>
      <c r="H11" s="96"/>
      <c r="I11" s="99">
        <v>5979.0</v>
      </c>
      <c r="J11" s="99"/>
      <c r="K11" s="99">
        <f t="shared" si="5"/>
        <v>75948.72</v>
      </c>
      <c r="L11" s="62" t="s">
        <v>41</v>
      </c>
      <c r="M11" s="62" t="s">
        <v>634</v>
      </c>
      <c r="N11" s="36"/>
      <c r="O11" s="63" t="s">
        <v>60</v>
      </c>
      <c r="P11" s="30" t="s">
        <v>43</v>
      </c>
      <c r="Q11" s="63" t="s">
        <v>44</v>
      </c>
      <c r="R11" s="124"/>
      <c r="S11" s="124"/>
      <c r="T11" s="124"/>
      <c r="U11" s="30" t="s">
        <v>637</v>
      </c>
      <c r="V11" s="30"/>
      <c r="W11" s="30" t="str">
        <f>IFERROR(__xludf.DUMMYFUNCTION("LET(ref,IF(ISBLANK(H11),""N/A"",H11),apt,IF(ISBLANK(T11),"""","" | Apt#: ""&amp;T11),payee,TRIM(IFERROR(REGEXEXTRACT(SUBSTITUTE(G11,CHAR(10),"" ""),""(?i)(?:NEFT|RTGS)\s+[A-Z0-9]+\s+(.+?)\s+[A-Z]{4}0[A-Z0-9]{6}""),IFERROR(REGEXEXTRACT(SUBSTITUTE(G11,CHAR(10),"&amp;""" ""),""(?i)TO\s+(?:[0-9]+\s+TRANSFER TO\s+[0-9]+\s+TO\s+)?(.+)$""),G11))),int_acc,IFERROR(REGEXEXTRACT(G11,""(?i)(\d{4})[\s/]*DWARKADHIS""),""""),to_target,IF(I11&gt;0,IF(int_acc&lt;&gt;"""",""To: x""&amp;int_acc,""To: Internal""),""To: BOM 675""),IF(ISBLANK(U11),"""&amp;"Remarks Compulsory For Narration"",TRIM(IF(M11=""Internal"",IF(ISNUMBER(SEARCH(""DWARKADHIS"",G11)),""Internal Fund Transfer | ""&amp;to_target&amp;"" | Ref: ""&amp;ref&amp;"" | Type: ""&amp;P11&amp;"" | BU: ""&amp;L11&amp;"" | Head: ""&amp;M11,""Internal Transfer | Ref: ""&amp;ref&amp;"" | Type: "&amp;"""&amp;P11&amp;"" | BU: ""&amp;L11&amp;"" | Head: ""&amp;M11),IF(N(J11)&gt;0,IF(P11=""Customer Collection"",""Receipt Credit (Collection) ""&amp;apt&amp;"" | Ref: ""&amp;ref&amp;"" | From: ""&amp;IF(ISNUMBER(SEARCH(""SOHNA ROAD"",G11)),""Sohna Road"",""Party"")&amp;"" | BU: ""&amp;L11,""Receipt Credit fro"&amp;"m x""&amp;RIGHT(IFERROR(MID(G11,FIND(""-"",SUBSTITUTE(G11,""-"",""-"",3))+1,LEN(G11)),""0000""),4)&amp;"" (Purpose: ""&amp;IF(OR(ISBLANK(U11),U11=""N/A""),L11,U11)&amp;"") ""&amp;apt&amp;"" | Ref: ""&amp;ref&amp;"" | BU: ""&amp;L11&amp;"" | Head: ""&amp;M11),""Payment Disbursement (Purpose: ""&amp;IF(I"&amp;"SNUMBER(SEARCH(""salary"",M11)),""Salary"",U11)&amp;"") | To: ""&amp;payee&amp;"" | Ref: ""&amp;ref&amp;"" | BU: ""&amp;L11&amp;"" | Head: ""&amp;M11&amp;apt)))))"),"Payment Disbursement (Purpose: EPF) | To: BILLDESK | Ref: N/A | BU: HO | Head: EPF/ESI")</f>
        <v>Payment Disbursement (Purpose: EPF) | To: BILLDESK | Ref: N/A | BU: HO | Head: EPF/ESI</v>
      </c>
    </row>
    <row r="12" ht="15.75" customHeight="1">
      <c r="A12" s="36">
        <v>10.0</v>
      </c>
      <c r="B12" s="56" t="str">
        <f t="shared" si="4"/>
        <v>#NAME?</v>
      </c>
      <c r="C12" s="94">
        <f t="shared" si="2"/>
        <v>5</v>
      </c>
      <c r="D12" s="122">
        <v>46164.0</v>
      </c>
      <c r="E12" s="122">
        <f t="shared" si="3"/>
        <v>46164</v>
      </c>
      <c r="F12" s="96" t="s">
        <v>591</v>
      </c>
      <c r="G12" s="97" t="s">
        <v>781</v>
      </c>
      <c r="H12" s="96"/>
      <c r="I12" s="99">
        <v>55732.0</v>
      </c>
      <c r="J12" s="99"/>
      <c r="K12" s="99">
        <f t="shared" si="5"/>
        <v>20216.72</v>
      </c>
      <c r="L12" s="62" t="s">
        <v>41</v>
      </c>
      <c r="M12" s="62" t="s">
        <v>634</v>
      </c>
      <c r="N12" s="36"/>
      <c r="O12" s="63" t="s">
        <v>60</v>
      </c>
      <c r="P12" s="30" t="s">
        <v>43</v>
      </c>
      <c r="Q12" s="63" t="s">
        <v>44</v>
      </c>
      <c r="R12" s="124"/>
      <c r="S12" s="124"/>
      <c r="T12" s="124"/>
      <c r="U12" s="30" t="s">
        <v>637</v>
      </c>
      <c r="V12" s="30"/>
      <c r="W12" s="30" t="str">
        <f>IFERROR(__xludf.DUMMYFUNCTION("LET(ref,IF(ISBLANK(H12),""N/A"",H12),apt,IF(ISBLANK(T12),"""","" | Apt#: ""&amp;T12),payee,TRIM(IFERROR(REGEXEXTRACT(SUBSTITUTE(G12,CHAR(10),"" ""),""(?i)(?:NEFT|RTGS)\s+[A-Z0-9]+\s+(.+?)\s+[A-Z]{4}0[A-Z0-9]{6}""),IFERROR(REGEXEXTRACT(SUBSTITUTE(G12,CHAR(10),"&amp;""" ""),""(?i)TO\s+(?:[0-9]+\s+TRANSFER TO\s+[0-9]+\s+TO\s+)?(.+)$""),G12))),int_acc,IFERROR(REGEXEXTRACT(G12,""(?i)(\d{4})[\s/]*DWARKADHIS""),""""),to_target,IF(I12&gt;0,IF(int_acc&lt;&gt;"""",""To: x""&amp;int_acc,""To: Internal""),""To: BOM 675""),IF(ISBLANK(U12),"""&amp;"Remarks Compulsory For Narration"",TRIM(IF(M12=""Internal"",IF(ISNUMBER(SEARCH(""DWARKADHIS"",G12)),""Internal Fund Transfer | ""&amp;to_target&amp;"" | Ref: ""&amp;ref&amp;"" | Type: ""&amp;P12&amp;"" | BU: ""&amp;L12&amp;"" | Head: ""&amp;M12,""Internal Transfer | Ref: ""&amp;ref&amp;"" | Type: "&amp;"""&amp;P12&amp;"" | BU: ""&amp;L12&amp;"" | Head: ""&amp;M12),IF(N(J12)&gt;0,IF(P12=""Customer Collection"",""Receipt Credit (Collection) ""&amp;apt&amp;"" | Ref: ""&amp;ref&amp;"" | From: ""&amp;IF(ISNUMBER(SEARCH(""SOHNA ROAD"",G12)),""Sohna Road"",""Party"")&amp;"" | BU: ""&amp;L12,""Receipt Credit fro"&amp;"m x""&amp;RIGHT(IFERROR(MID(G12,FIND(""-"",SUBSTITUTE(G12,""-"",""-"",3))+1,LEN(G12)),""0000""),4)&amp;"" (Purpose: ""&amp;IF(OR(ISBLANK(U12),U12=""N/A""),L12,U12)&amp;"") ""&amp;apt&amp;"" | Ref: ""&amp;ref&amp;"" | BU: ""&amp;L12&amp;"" | Head: ""&amp;M12),""Payment Disbursement (Purpose: ""&amp;IF(I"&amp;"SNUMBER(SEARCH(""salary"",M12)),""Salary"",U12)&amp;"") | To: ""&amp;payee&amp;"" | Ref: ""&amp;ref&amp;"" | BU: ""&amp;L12&amp;"" | Head: ""&amp;M12&amp;apt)))))"),"Payment Disbursement (Purpose: EPF) | To: EMPLOYEES PROVIDENT FUND ORGANISATION | Ref: N/A | BU: HO | Head: EPF/ESI")</f>
        <v>Payment Disbursement (Purpose: EPF) | To: EMPLOYEES PROVIDENT FUND ORGANISATION | Ref: N/A | BU: HO | Head: EPF/ESI</v>
      </c>
    </row>
    <row r="13" ht="15.75" customHeight="1">
      <c r="A13" s="36">
        <v>11.0</v>
      </c>
      <c r="B13" s="56" t="str">
        <f t="shared" si="4"/>
        <v>#NAME?</v>
      </c>
      <c r="C13" s="94">
        <f t="shared" si="2"/>
        <v>5</v>
      </c>
      <c r="D13" s="122">
        <v>46164.0</v>
      </c>
      <c r="E13" s="122">
        <f t="shared" si="3"/>
        <v>46164</v>
      </c>
      <c r="F13" s="96" t="s">
        <v>591</v>
      </c>
      <c r="G13" s="97" t="s">
        <v>784</v>
      </c>
      <c r="H13" s="96"/>
      <c r="I13" s="99">
        <v>4885.0</v>
      </c>
      <c r="J13" s="99"/>
      <c r="K13" s="99">
        <f t="shared" si="5"/>
        <v>15331.72</v>
      </c>
      <c r="L13" s="62" t="s">
        <v>41</v>
      </c>
      <c r="M13" s="62" t="s">
        <v>67</v>
      </c>
      <c r="N13" s="36"/>
      <c r="O13" s="63" t="s">
        <v>60</v>
      </c>
      <c r="P13" s="30" t="s">
        <v>43</v>
      </c>
      <c r="Q13" s="63" t="s">
        <v>44</v>
      </c>
      <c r="R13" s="124"/>
      <c r="S13" s="124"/>
      <c r="T13" s="124"/>
      <c r="U13" s="30" t="s">
        <v>788</v>
      </c>
      <c r="V13" s="30"/>
      <c r="W13" s="30" t="str">
        <f>IFERROR(__xludf.DUMMYFUNCTION("LET(ref,IF(ISBLANK(H13),""N/A"",H13),apt,IF(ISBLANK(T13),"""","" | Apt#: ""&amp;T13),payee,TRIM(IFERROR(REGEXEXTRACT(SUBSTITUTE(G13,CHAR(10),"" ""),""(?i)(?:NEFT|RTGS)\s+[A-Z0-9]+\s+(.+?)\s+[A-Z]{4}0[A-Z0-9]{6}""),IFERROR(REGEXEXTRACT(SUBSTITUTE(G13,CHAR(10),"&amp;""" ""),""(?i)TO\s+(?:[0-9]+\s+TRANSFER TO\s+[0-9]+\s+TO\s+)?(.+)$""),G13))),int_acc,IFERROR(REGEXEXTRACT(G13,""(?i)(\d{4})[\s/]*DWARKADHIS""),""""),to_target,IF(I13&gt;0,IF(int_acc&lt;&gt;"""",""To: x""&amp;int_acc,""To: Internal""),""To: BOM 675""),IF(ISBLANK(U13),"""&amp;"Remarks Compulsory For Narration"",TRIM(IF(M13=""Internal"",IF(ISNUMBER(SEARCH(""DWARKADHIS"",G13)),""Internal Fund Transfer | ""&amp;to_target&amp;"" | Ref: ""&amp;ref&amp;"" | Type: ""&amp;P13&amp;"" | BU: ""&amp;L13&amp;"" | Head: ""&amp;M13,""Internal Transfer | Ref: ""&amp;ref&amp;"" | Type: "&amp;"""&amp;P13&amp;"" | BU: ""&amp;L13&amp;"" | Head: ""&amp;M13),IF(N(J13)&gt;0,IF(P13=""Customer Collection"",""Receipt Credit (Collection) ""&amp;apt&amp;"" | Ref: ""&amp;ref&amp;"" | From: ""&amp;IF(ISNUMBER(SEARCH(""SOHNA ROAD"",G13)),""Sohna Road"",""Party"")&amp;"" | BU: ""&amp;L13,""Receipt Credit fro"&amp;"m x""&amp;RIGHT(IFERROR(MID(G13,FIND(""-"",SUBSTITUTE(G13,""-"",""-"",3))+1,LEN(G13)),""0000""),4)&amp;"" (Purpose: ""&amp;IF(OR(ISBLANK(U13),U13=""N/A""),L13,U13)&amp;"") ""&amp;apt&amp;"" | Ref: ""&amp;ref&amp;"" | BU: ""&amp;L13&amp;"" | Head: ""&amp;M13),""Payment Disbursement (Purpose: ""&amp;IF(I"&amp;"SNUMBER(SEARCH(""salary"",M13)),""Salary"",U13)&amp;"") | To: ""&amp;payee&amp;"" | Ref: ""&amp;ref&amp;"" | BU: ""&amp;L13&amp;"" | Head: ""&amp;M13&amp;apt)))))"),"Payment Disbursement (Purpose: Website &amp; Software Charges) | To: India Pride Com | Ref: N/A | BU: HO | Head: Vendor")</f>
        <v>Payment Disbursement (Purpose: Website &amp; Software Charges) | To: India Pride Com | Ref: N/A | BU: HO | Head: Vendor</v>
      </c>
    </row>
    <row r="14" ht="15.75" customHeight="1">
      <c r="A14" s="36">
        <v>12.0</v>
      </c>
      <c r="B14" s="56" t="str">
        <f t="shared" si="4"/>
        <v>#NAME?</v>
      </c>
      <c r="C14" s="94">
        <f t="shared" si="2"/>
        <v>5</v>
      </c>
      <c r="D14" s="122">
        <v>46165.0</v>
      </c>
      <c r="E14" s="122">
        <f t="shared" si="3"/>
        <v>46165</v>
      </c>
      <c r="F14" s="96" t="s">
        <v>591</v>
      </c>
      <c r="G14" s="97" t="s">
        <v>790</v>
      </c>
      <c r="H14" s="96"/>
      <c r="I14" s="99"/>
      <c r="J14" s="99">
        <v>150000.0</v>
      </c>
      <c r="K14" s="99">
        <f t="shared" si="5"/>
        <v>165331.72</v>
      </c>
      <c r="L14" s="62" t="s">
        <v>211</v>
      </c>
      <c r="M14" s="62" t="s">
        <v>47</v>
      </c>
      <c r="N14" s="36"/>
      <c r="O14" s="63" t="s">
        <v>60</v>
      </c>
      <c r="P14" s="30" t="s">
        <v>213</v>
      </c>
      <c r="Q14" s="63" t="s">
        <v>82</v>
      </c>
      <c r="R14" s="124"/>
      <c r="S14" s="124"/>
      <c r="T14" s="124"/>
      <c r="U14" s="30" t="s">
        <v>75</v>
      </c>
      <c r="V14" s="30"/>
      <c r="W14" s="30" t="str">
        <f>IFERROR(__xludf.DUMMYFUNCTION("LET(ref,IF(ISBLANK(H14),""N/A"",H14),apt,IF(ISBLANK(T14),"""","" | Apt#: ""&amp;T14),payee,TRIM(IFERROR(REGEXEXTRACT(SUBSTITUTE(G14,CHAR(10),"" ""),""(?i)(?:NEFT|RTGS)\s+[A-Z0-9]+\s+(.+?)\s+[A-Z]{4}0[A-Z0-9]{6}""),IFERROR(REGEXEXTRACT(SUBSTITUTE(G14,CHAR(10),"&amp;""" ""),""(?i)TO\s+(?:[0-9]+\s+TRANSFER TO\s+[0-9]+\s+TO\s+)?(.+)$""),G14))),int_acc,IFERROR(REGEXEXTRACT(G14,""(?i)(\d{4})[\s/]*DWARKADHIS""),""""),to_target,IF(I14&gt;0,IF(int_acc&lt;&gt;"""",""To: x""&amp;int_acc,""To: Internal""),""To: BOM 675""),IF(ISBLANK(U14),"""&amp;"Remarks Compulsory For Narration"",TRIM(IF(M14=""Internal"",IF(ISNUMBER(SEARCH(""DWARKADHIS"",G14)),""Internal Fund Transfer | ""&amp;to_target&amp;"" | Ref: ""&amp;ref&amp;"" | Type: ""&amp;P14&amp;"" | BU: ""&amp;L14&amp;"" | Head: ""&amp;M14,""Internal Transfer | Ref: ""&amp;ref&amp;"" | Type: "&amp;"""&amp;P14&amp;"" | BU: ""&amp;L14&amp;"" | Head: ""&amp;M14),IF(N(J14)&gt;0,IF(P14=""Customer Collection"",""Receipt Credit (Collection) ""&amp;apt&amp;"" | Ref: ""&amp;ref&amp;"" | From: ""&amp;IF(ISNUMBER(SEARCH(""SOHNA ROAD"",G14)),""Sohna Road"",""Party"")&amp;"" | BU: ""&amp;L14,""Receipt Credit fro"&amp;"m x""&amp;RIGHT(IFERROR(MID(G14,FIND(""-"",SUBSTITUTE(G14,""-"",""-"",3))+1,LEN(G14)),""0000""),4)&amp;"" (Purpose: ""&amp;IF(OR(ISBLANK(U14),U14=""N/A""),L14,U14)&amp;"") ""&amp;apt&amp;"" | Ref: ""&amp;ref&amp;"" | BU: ""&amp;L14&amp;"" | Head: ""&amp;M14),""Payment Disbursement (Purpose: ""&amp;IF(I"&amp;"SNUMBER(SEARCH(""salary"",M14)),""Salary"",U14)&amp;"") | To: ""&amp;payee&amp;"" | Ref: ""&amp;ref&amp;"" | BU: ""&amp;L14&amp;"" | Head: ""&amp;M14&amp;apt)))))"),"Internal Fund Transfer | To: BOM 675 | Ref: N/A | Type: AH - CR | BU: Aravali Heights | Head: Internal")</f>
        <v>Internal Fund Transfer | To: BOM 675 | Ref: N/A | Type: AH - CR | BU: Aravali Heights | Head: Internal</v>
      </c>
    </row>
    <row r="15" ht="15.75" customHeight="1">
      <c r="A15" s="36">
        <v>13.0</v>
      </c>
      <c r="B15" s="56" t="str">
        <f t="shared" si="4"/>
        <v>#NAME?</v>
      </c>
      <c r="C15" s="94">
        <f t="shared" si="2"/>
        <v>5</v>
      </c>
      <c r="D15" s="122">
        <v>46165.0</v>
      </c>
      <c r="E15" s="122">
        <f t="shared" si="3"/>
        <v>46165</v>
      </c>
      <c r="F15" s="96" t="s">
        <v>591</v>
      </c>
      <c r="G15" s="97" t="s">
        <v>795</v>
      </c>
      <c r="H15" s="96"/>
      <c r="I15" s="99">
        <v>150000.0</v>
      </c>
      <c r="J15" s="99"/>
      <c r="K15" s="99">
        <f t="shared" si="5"/>
        <v>15331.72</v>
      </c>
      <c r="L15" s="62" t="s">
        <v>45</v>
      </c>
      <c r="M15" s="62" t="s">
        <v>47</v>
      </c>
      <c r="N15" s="36"/>
      <c r="O15" s="63" t="s">
        <v>60</v>
      </c>
      <c r="P15" s="30" t="s">
        <v>74</v>
      </c>
      <c r="Q15" s="63" t="s">
        <v>50</v>
      </c>
      <c r="R15" s="124"/>
      <c r="S15" s="124"/>
      <c r="T15" s="124"/>
      <c r="U15" s="30" t="s">
        <v>75</v>
      </c>
      <c r="V15" s="30"/>
      <c r="W15" s="30" t="str">
        <f>IFERROR(__xludf.DUMMYFUNCTION("LET(ref,IF(ISBLANK(H15),""N/A"",H15),apt,IF(ISBLANK(T15),"""","" | Apt#: ""&amp;T15),payee,TRIM(IFERROR(REGEXEXTRACT(SUBSTITUTE(G15,CHAR(10),"" ""),""(?i)(?:NEFT|RTGS)\s+[A-Z0-9]+\s+(.+?)\s+[A-Z]{4}0[A-Z0-9]{6}""),IFERROR(REGEXEXTRACT(SUBSTITUTE(G15,CHAR(10),"&amp;""" ""),""(?i)TO\s+(?:[0-9]+\s+TRANSFER TO\s+[0-9]+\s+TO\s+)?(.+)$""),G15))),int_acc,IFERROR(REGEXEXTRACT(G15,""(?i)(\d{4})[\s/]*DWARKADHIS""),""""),to_target,IF(I15&gt;0,IF(int_acc&lt;&gt;"""",""To: x""&amp;int_acc,""To: Internal""),""To: BOM 675""),IF(ISBLANK(U15),"""&amp;"Remarks Compulsory For Narration"",TRIM(IF(M15=""Internal"",IF(ISNUMBER(SEARCH(""DWARKADHIS"",G15)),""Internal Fund Transfer | ""&amp;to_target&amp;"" | Ref: ""&amp;ref&amp;"" | Type: ""&amp;P15&amp;"" | BU: ""&amp;L15&amp;"" | Head: ""&amp;M15,""Internal Transfer | Ref: ""&amp;ref&amp;"" | Type: "&amp;"""&amp;P15&amp;"" | BU: ""&amp;L15&amp;"" | Head: ""&amp;M15),IF(N(J15)&gt;0,IF(P15=""Customer Collection"",""Receipt Credit (Collection) ""&amp;apt&amp;"" | Ref: ""&amp;ref&amp;"" | From: ""&amp;IF(ISNUMBER(SEARCH(""SOHNA ROAD"",G15)),""Sohna Road"",""Party"")&amp;"" | BU: ""&amp;L15,""Receipt Credit fro"&amp;"m x""&amp;RIGHT(IFERROR(MID(G15,FIND(""-"",SUBSTITUTE(G15,""-"",""-"",3))+1,LEN(G15)),""0000""),4)&amp;"" (Purpose: ""&amp;IF(OR(ISBLANK(U15),U15=""N/A""),L15,U15)&amp;"") ""&amp;apt&amp;"" | Ref: ""&amp;ref&amp;"" | BU: ""&amp;L15&amp;"" | Head: ""&amp;M15),""Payment Disbursement (Purpose: ""&amp;IF(I"&amp;"SNUMBER(SEARCH(""salary"",M15)),""Salary"",U15)&amp;"") | To: ""&amp;payee&amp;"" | Ref: ""&amp;ref&amp;"" | BU: ""&amp;L15&amp;"" | Head: ""&amp;M15&amp;apt)))))"),"Internal Fund Transfer | To: x8488 | Ref: N/A | Type: Free &amp; IDW Loan | BU: Casa Romana | Head: Internal")</f>
        <v>Internal Fund Transfer | To: x8488 | Ref: N/A | Type: Free &amp; IDW Loan | BU: Casa Romana | Head: Internal</v>
      </c>
    </row>
    <row r="16" ht="15.75" customHeight="1">
      <c r="A16" s="36">
        <v>14.0</v>
      </c>
      <c r="B16" s="56" t="str">
        <f t="shared" si="4"/>
        <v>#NAME?</v>
      </c>
      <c r="C16" s="94">
        <f t="shared" si="2"/>
        <v>5</v>
      </c>
      <c r="D16" s="122">
        <v>46167.0</v>
      </c>
      <c r="E16" s="122">
        <f t="shared" si="3"/>
        <v>46167</v>
      </c>
      <c r="F16" s="96" t="s">
        <v>591</v>
      </c>
      <c r="G16" s="97" t="s">
        <v>801</v>
      </c>
      <c r="H16" s="96"/>
      <c r="I16" s="99"/>
      <c r="J16" s="99">
        <v>47664.0</v>
      </c>
      <c r="K16" s="99">
        <f t="shared" si="5"/>
        <v>62995.72</v>
      </c>
      <c r="L16" s="62" t="s">
        <v>45</v>
      </c>
      <c r="M16" s="62" t="s">
        <v>47</v>
      </c>
      <c r="N16" s="36"/>
      <c r="O16" s="63" t="s">
        <v>60</v>
      </c>
      <c r="P16" s="30" t="s">
        <v>51</v>
      </c>
      <c r="Q16" s="63" t="s">
        <v>50</v>
      </c>
      <c r="R16" s="124"/>
      <c r="S16" s="124"/>
      <c r="T16" s="124"/>
      <c r="U16" s="30" t="s">
        <v>75</v>
      </c>
      <c r="V16" s="30"/>
      <c r="W16" s="30" t="str">
        <f>IFERROR(__xludf.DUMMYFUNCTION("LET(ref,IF(ISBLANK(H16),""N/A"",H16),apt,IF(ISBLANK(T16),"""","" | Apt#: ""&amp;T16),payee,TRIM(IFERROR(REGEXEXTRACT(SUBSTITUTE(G16,CHAR(10),"" ""),""(?i)(?:NEFT|RTGS)\s+[A-Z0-9]+\s+(.+?)\s+[A-Z]{4}0[A-Z0-9]{6}""),IFERROR(REGEXEXTRACT(SUBSTITUTE(G16,CHAR(10),"&amp;""" ""),""(?i)TO\s+(?:[0-9]+\s+TRANSFER TO\s+[0-9]+\s+TO\s+)?(.+)$""),G16))),int_acc,IFERROR(REGEXEXTRACT(G16,""(?i)(\d{4})[\s/]*DWARKADHIS""),""""),to_target,IF(I16&gt;0,IF(int_acc&lt;&gt;"""",""To: x""&amp;int_acc,""To: Internal""),""To: BOM 675""),IF(ISBLANK(U16),"""&amp;"Remarks Compulsory For Narration"",TRIM(IF(M16=""Internal"",IF(ISNUMBER(SEARCH(""DWARKADHIS"",G16)),""Internal Fund Transfer | ""&amp;to_target&amp;"" | Ref: ""&amp;ref&amp;"" | Type: ""&amp;P16&amp;"" | BU: ""&amp;L16&amp;"" | Head: ""&amp;M16,""Internal Transfer | Ref: ""&amp;ref&amp;"" | Type: "&amp;"""&amp;P16&amp;"" | BU: ""&amp;L16&amp;"" | Head: ""&amp;M16),IF(N(J16)&gt;0,IF(P16=""Customer Collection"",""Receipt Credit (Collection) ""&amp;apt&amp;"" | Ref: ""&amp;ref&amp;"" | From: ""&amp;IF(ISNUMBER(SEARCH(""SOHNA ROAD"",G16)),""Sohna Road"",""Party"")&amp;"" | BU: ""&amp;L16,""Receipt Credit fro"&amp;"m x""&amp;RIGHT(IFERROR(MID(G16,FIND(""-"",SUBSTITUTE(G16,""-"",""-"",3))+1,LEN(G16)),""0000""),4)&amp;"" (Purpose: ""&amp;IF(OR(ISBLANK(U16),U16=""N/A""),L16,U16)&amp;"") ""&amp;apt&amp;"" | Ref: ""&amp;ref&amp;"" | BU: ""&amp;L16&amp;"" | Head: ""&amp;M16),""Payment Disbursement (Purpose: ""&amp;IF(I"&amp;"SNUMBER(SEARCH(""salary"",M16)),""Salary"",U16)&amp;"") | To: ""&amp;payee&amp;"" | Ref: ""&amp;ref&amp;"" | BU: ""&amp;L16&amp;"" | Head: ""&amp;M16&amp;apt)))))"),"Internal Fund Transfer | To: BOM 675 | Ref: N/A | Type: Master to Free | BU: Casa Romana | Head: Internal")</f>
        <v>Internal Fund Transfer | To: BOM 675 | Ref: N/A | Type: Master to Free | BU: Casa Romana | Head: Internal</v>
      </c>
    </row>
    <row r="17" ht="15.75" customHeight="1">
      <c r="A17" s="36">
        <v>15.0</v>
      </c>
      <c r="B17" s="56" t="str">
        <f t="shared" si="4"/>
        <v>#NAME?</v>
      </c>
      <c r="C17" s="94">
        <f t="shared" si="2"/>
        <v>5</v>
      </c>
      <c r="D17" s="122">
        <v>46169.0</v>
      </c>
      <c r="E17" s="122">
        <f t="shared" si="3"/>
        <v>46169</v>
      </c>
      <c r="F17" s="96" t="s">
        <v>591</v>
      </c>
      <c r="G17" s="97" t="s">
        <v>807</v>
      </c>
      <c r="H17" s="96"/>
      <c r="I17" s="99"/>
      <c r="J17" s="99">
        <v>15612.0</v>
      </c>
      <c r="K17" s="99">
        <f t="shared" si="5"/>
        <v>78607.72</v>
      </c>
      <c r="L17" s="62" t="s">
        <v>45</v>
      </c>
      <c r="M17" s="62" t="s">
        <v>47</v>
      </c>
      <c r="N17" s="36"/>
      <c r="O17" s="63" t="s">
        <v>60</v>
      </c>
      <c r="P17" s="30" t="s">
        <v>51</v>
      </c>
      <c r="Q17" s="63" t="s">
        <v>50</v>
      </c>
      <c r="R17" s="124"/>
      <c r="S17" s="124"/>
      <c r="T17" s="124"/>
      <c r="U17" s="30" t="s">
        <v>75</v>
      </c>
      <c r="V17" s="30"/>
      <c r="W17" s="30" t="str">
        <f>IFERROR(__xludf.DUMMYFUNCTION("LET(ref,IF(ISBLANK(H17),""N/A"",H17),apt,IF(ISBLANK(T17),"""","" | Apt#: ""&amp;T17),payee,TRIM(IFERROR(REGEXEXTRACT(SUBSTITUTE(G17,CHAR(10),"" ""),""(?i)(?:NEFT|RTGS)\s+[A-Z0-9]+\s+(.+?)\s+[A-Z]{4}0[A-Z0-9]{6}""),IFERROR(REGEXEXTRACT(SUBSTITUTE(G17,CHAR(10),"&amp;""" ""),""(?i)TO\s+(?:[0-9]+\s+TRANSFER TO\s+[0-9]+\s+TO\s+)?(.+)$""),G17))),int_acc,IFERROR(REGEXEXTRACT(G17,""(?i)(\d{4})[\s/]*DWARKADHIS""),""""),to_target,IF(I17&gt;0,IF(int_acc&lt;&gt;"""",""To: x""&amp;int_acc,""To: Internal""),""To: BOM 675""),IF(ISBLANK(U17),"""&amp;"Remarks Compulsory For Narration"",TRIM(IF(M17=""Internal"",IF(ISNUMBER(SEARCH(""DWARKADHIS"",G17)),""Internal Fund Transfer | ""&amp;to_target&amp;"" | Ref: ""&amp;ref&amp;"" | Type: ""&amp;P17&amp;"" | BU: ""&amp;L17&amp;"" | Head: ""&amp;M17,""Internal Transfer | Ref: ""&amp;ref&amp;"" | Type: "&amp;"""&amp;P17&amp;"" | BU: ""&amp;L17&amp;"" | Head: ""&amp;M17),IF(N(J17)&gt;0,IF(P17=""Customer Collection"",""Receipt Credit (Collection) ""&amp;apt&amp;"" | Ref: ""&amp;ref&amp;"" | From: ""&amp;IF(ISNUMBER(SEARCH(""SOHNA ROAD"",G17)),""Sohna Road"",""Party"")&amp;"" | BU: ""&amp;L17,""Receipt Credit fro"&amp;"m x""&amp;RIGHT(IFERROR(MID(G17,FIND(""-"",SUBSTITUTE(G17,""-"",""-"",3))+1,LEN(G17)),""0000""),4)&amp;"" (Purpose: ""&amp;IF(OR(ISBLANK(U17),U17=""N/A""),L17,U17)&amp;"") ""&amp;apt&amp;"" | Ref: ""&amp;ref&amp;"" | BU: ""&amp;L17&amp;"" | Head: ""&amp;M17),""Payment Disbursement (Purpose: ""&amp;IF(I"&amp;"SNUMBER(SEARCH(""salary"",M17)),""Salary"",U17)&amp;"") | To: ""&amp;payee&amp;"" | Ref: ""&amp;ref&amp;"" | BU: ""&amp;L17&amp;"" | Head: ""&amp;M17&amp;apt)))))"),"Internal Fund Transfer | To: BOM 675 | Ref: N/A | Type: Master to Free | BU: Casa Romana | Head: Internal")</f>
        <v>Internal Fund Transfer | To: BOM 675 | Ref: N/A | Type: Master to Free | BU: Casa Romana | Head: Internal</v>
      </c>
    </row>
    <row r="18" ht="15.75" customHeight="1">
      <c r="A18" s="36">
        <v>16.0</v>
      </c>
      <c r="B18" s="56" t="str">
        <f t="shared" si="4"/>
        <v>#NAME?</v>
      </c>
      <c r="C18" s="94">
        <f t="shared" si="2"/>
        <v>5</v>
      </c>
      <c r="D18" s="122">
        <v>46171.0</v>
      </c>
      <c r="E18" s="122">
        <f t="shared" si="3"/>
        <v>46171</v>
      </c>
      <c r="F18" s="96" t="s">
        <v>591</v>
      </c>
      <c r="G18" s="97" t="s">
        <v>809</v>
      </c>
      <c r="H18" s="96"/>
      <c r="I18" s="99"/>
      <c r="J18" s="99">
        <v>15612.0</v>
      </c>
      <c r="K18" s="99">
        <f t="shared" si="5"/>
        <v>94219.72</v>
      </c>
      <c r="L18" s="62" t="s">
        <v>45</v>
      </c>
      <c r="M18" s="62" t="s">
        <v>47</v>
      </c>
      <c r="N18" s="36"/>
      <c r="O18" s="63" t="s">
        <v>60</v>
      </c>
      <c r="P18" s="30" t="s">
        <v>51</v>
      </c>
      <c r="Q18" s="63" t="s">
        <v>50</v>
      </c>
      <c r="R18" s="124"/>
      <c r="S18" s="124"/>
      <c r="T18" s="124"/>
      <c r="U18" s="30" t="s">
        <v>75</v>
      </c>
      <c r="V18" s="30"/>
      <c r="W18" s="30" t="str">
        <f>IFERROR(__xludf.DUMMYFUNCTION("LET(ref,IF(ISBLANK(H18),""N/A"",H18),apt,IF(ISBLANK(T18),"""","" | Apt#: ""&amp;T18),payee,TRIM(IFERROR(REGEXEXTRACT(SUBSTITUTE(G18,CHAR(10),"" ""),""(?i)(?:NEFT|RTGS)\s+[A-Z0-9]+\s+(.+?)\s+[A-Z]{4}0[A-Z0-9]{6}""),IFERROR(REGEXEXTRACT(SUBSTITUTE(G18,CHAR(10),"&amp;""" ""),""(?i)TO\s+(?:[0-9]+\s+TRANSFER TO\s+[0-9]+\s+TO\s+)?(.+)$""),G18))),int_acc,IFERROR(REGEXEXTRACT(G18,""(?i)(\d{4})[\s/]*DWARKADHIS""),""""),to_target,IF(I18&gt;0,IF(int_acc&lt;&gt;"""",""To: x""&amp;int_acc,""To: Internal""),""To: BOM 675""),IF(ISBLANK(U18),"""&amp;"Remarks Compulsory For Narration"",TRIM(IF(M18=""Internal"",IF(ISNUMBER(SEARCH(""DWARKADHIS"",G18)),""Internal Fund Transfer | ""&amp;to_target&amp;"" | Ref: ""&amp;ref&amp;"" | Type: ""&amp;P18&amp;"" | BU: ""&amp;L18&amp;"" | Head: ""&amp;M18,""Internal Transfer | Ref: ""&amp;ref&amp;"" | Type: "&amp;"""&amp;P18&amp;"" | BU: ""&amp;L18&amp;"" | Head: ""&amp;M18),IF(N(J18)&gt;0,IF(P18=""Customer Collection"",""Receipt Credit (Collection) ""&amp;apt&amp;"" | Ref: ""&amp;ref&amp;"" | From: ""&amp;IF(ISNUMBER(SEARCH(""SOHNA ROAD"",G18)),""Sohna Road"",""Party"")&amp;"" | BU: ""&amp;L18,""Receipt Credit fro"&amp;"m x""&amp;RIGHT(IFERROR(MID(G18,FIND(""-"",SUBSTITUTE(G18,""-"",""-"",3))+1,LEN(G18)),""0000""),4)&amp;"" (Purpose: ""&amp;IF(OR(ISBLANK(U18),U18=""N/A""),L18,U18)&amp;"") ""&amp;apt&amp;"" | Ref: ""&amp;ref&amp;"" | BU: ""&amp;L18&amp;"" | Head: ""&amp;M18),""Payment Disbursement (Purpose: ""&amp;IF(I"&amp;"SNUMBER(SEARCH(""salary"",M18)),""Salary"",U18)&amp;"") | To: ""&amp;payee&amp;"" | Ref: ""&amp;ref&amp;"" | BU: ""&amp;L18&amp;"" | Head: ""&amp;M18&amp;apt)))))"),"Internal Fund Transfer | To: BOM 675 | Ref: N/A | Type: Master to Free | BU: Casa Romana | Head: Internal")</f>
        <v>Internal Fund Transfer | To: BOM 675 | Ref: N/A | Type: Master to Free | BU: Casa Romana | Head: Internal</v>
      </c>
    </row>
    <row r="19" ht="15.75" customHeight="1">
      <c r="A19" s="36">
        <v>17.0</v>
      </c>
      <c r="B19" s="56" t="str">
        <f t="shared" si="4"/>
        <v>#NAME?</v>
      </c>
      <c r="C19" s="94">
        <f t="shared" si="2"/>
        <v>5</v>
      </c>
      <c r="D19" s="122">
        <v>46172.0</v>
      </c>
      <c r="E19" s="122">
        <f t="shared" si="3"/>
        <v>46172</v>
      </c>
      <c r="F19" s="96" t="s">
        <v>591</v>
      </c>
      <c r="G19" s="97" t="s">
        <v>814</v>
      </c>
      <c r="H19" s="96"/>
      <c r="I19" s="99">
        <v>6500.0</v>
      </c>
      <c r="J19" s="99"/>
      <c r="K19" s="127">
        <f t="shared" si="5"/>
        <v>87719.72</v>
      </c>
      <c r="L19" s="62" t="s">
        <v>45</v>
      </c>
      <c r="M19" s="62" t="s">
        <v>67</v>
      </c>
      <c r="N19" s="36"/>
      <c r="O19" s="63" t="s">
        <v>60</v>
      </c>
      <c r="P19" s="30" t="s">
        <v>43</v>
      </c>
      <c r="Q19" s="63" t="s">
        <v>44</v>
      </c>
      <c r="R19" s="124"/>
      <c r="S19" s="124"/>
      <c r="T19" s="124"/>
      <c r="U19" s="30" t="s">
        <v>820</v>
      </c>
      <c r="V19" s="30"/>
      <c r="W19" s="30" t="str">
        <f>IFERROR(__xludf.DUMMYFUNCTION("LET(ref,IF(ISBLANK(H19),""N/A"",H19),apt,IF(ISBLANK(T19),"""","" | Apt#: ""&amp;T19),payee,TRIM(IFERROR(REGEXEXTRACT(SUBSTITUTE(G19,CHAR(10),"" ""),""(?i)(?:NEFT|RTGS)\s+[A-Z0-9]+\s+(.+?)\s+[A-Z]{4}0[A-Z0-9]{6}""),IFERROR(REGEXEXTRACT(SUBSTITUTE(G19,CHAR(10),"&amp;""" ""),""(?i)TO\s+(?:[0-9]+\s+TRANSFER TO\s+[0-9]+\s+TO\s+)?(.+)$""),G19))),int_acc,IFERROR(REGEXEXTRACT(G19,""(?i)(\d{4})[\s/]*DWARKADHIS""),""""),to_target,IF(I19&gt;0,IF(int_acc&lt;&gt;"""",""To: x""&amp;int_acc,""To: Internal""),""To: BOM 675""),IF(ISBLANK(U19),"""&amp;"Remarks Compulsory For Narration"",TRIM(IF(M19=""Internal"",IF(ISNUMBER(SEARCH(""DWARKADHIS"",G19)),""Internal Fund Transfer | ""&amp;to_target&amp;"" | Ref: ""&amp;ref&amp;"" | Type: ""&amp;P19&amp;"" | BU: ""&amp;L19&amp;"" | Head: ""&amp;M19,""Internal Transfer | Ref: ""&amp;ref&amp;"" | Type: "&amp;"""&amp;P19&amp;"" | BU: ""&amp;L19&amp;"" | Head: ""&amp;M19),IF(N(J19)&gt;0,IF(P19=""Customer Collection"",""Receipt Credit (Collection) ""&amp;apt&amp;"" | Ref: ""&amp;ref&amp;"" | From: ""&amp;IF(ISNUMBER(SEARCH(""SOHNA ROAD"",G19)),""Sohna Road"",""Party"")&amp;"" | BU: ""&amp;L19,""Receipt Credit fro"&amp;"m x""&amp;RIGHT(IFERROR(MID(G19,FIND(""-"",SUBSTITUTE(G19,""-"",""-"",3))+1,LEN(G19)),""0000""),4)&amp;"" (Purpose: ""&amp;IF(OR(ISBLANK(U19),U19=""N/A""),L19,U19)&amp;"") ""&amp;apt&amp;"" | Ref: ""&amp;ref&amp;"" | BU: ""&amp;L19&amp;"" | Head: ""&amp;M19),""Payment Disbursement (Purpose: ""&amp;IF(I"&amp;"SNUMBER(SEARCH(""salary"",M19)),""Salary"",U19)&amp;"") | To: ""&amp;payee&amp;"" | Ref: ""&amp;ref&amp;"" | BU: ""&amp;L19&amp;"" | Head: ""&amp;M19&amp;apt)))))"),"Payment Disbursement (Purpose: Business Promotion E Voting Event Held) | To: Claim Bridge Technolog | Ref: N/A | BU: Casa Romana | Head: Vendor")</f>
        <v>Payment Disbursement (Purpose: Business Promotion E Voting Event Held) | To: Claim Bridge Technolog | Ref: N/A | BU: Casa Romana | Head: Vendor</v>
      </c>
    </row>
    <row r="20" ht="15.75" customHeight="1">
      <c r="A20" s="36">
        <v>18.0</v>
      </c>
      <c r="B20" s="56" t="str">
        <f t="shared" si="4"/>
        <v>#NAME?</v>
      </c>
      <c r="C20" s="94">
        <f t="shared" si="2"/>
        <v>6</v>
      </c>
      <c r="D20" s="122">
        <v>46174.0</v>
      </c>
      <c r="E20" s="122">
        <f t="shared" si="3"/>
        <v>46174</v>
      </c>
      <c r="F20" s="96" t="s">
        <v>591</v>
      </c>
      <c r="G20" s="97" t="s">
        <v>821</v>
      </c>
      <c r="H20" s="96"/>
      <c r="I20" s="99">
        <v>1.0</v>
      </c>
      <c r="J20" s="99"/>
      <c r="K20" s="99">
        <f t="shared" si="5"/>
        <v>87718.72</v>
      </c>
      <c r="L20" s="62" t="s">
        <v>45</v>
      </c>
      <c r="M20" s="62" t="s">
        <v>47</v>
      </c>
      <c r="N20" s="36"/>
      <c r="O20" s="63" t="s">
        <v>60</v>
      </c>
      <c r="P20" s="30" t="s">
        <v>47</v>
      </c>
      <c r="Q20" s="63" t="s">
        <v>50</v>
      </c>
      <c r="R20" s="124"/>
      <c r="S20" s="124"/>
      <c r="T20" s="124"/>
      <c r="U20" s="30" t="s">
        <v>75</v>
      </c>
      <c r="V20" s="30"/>
      <c r="W20" s="30" t="str">
        <f>IFERROR(__xludf.DUMMYFUNCTION("LET(ref,IF(ISBLANK(H20),""N/A"",H20),apt,IF(ISBLANK(T20),"""","" | Apt#: ""&amp;T20),payee,TRIM(IFERROR(REGEXEXTRACT(SUBSTITUTE(G20,CHAR(10),"" ""),""(?i)(?:NEFT|RTGS)\s+[A-Z0-9]+\s+(.+?)\s+[A-Z]{4}0[A-Z0-9]{6}""),IFERROR(REGEXEXTRACT(SUBSTITUTE(G20,CHAR(10),"&amp;""" ""),""(?i)TO\s+(?:[0-9]+\s+TRANSFER TO\s+[0-9]+\s+TO\s+)?(.+)$""),G20))),int_acc,IFERROR(REGEXEXTRACT(G20,""(?i)(\d{4})[\s/]*DWARKADHIS""),""""),to_target,IF(I20&gt;0,IF(int_acc&lt;&gt;"""",""To: x""&amp;int_acc,""To: Internal""),""To: BOM 675""),IF(ISBLANK(U20),"""&amp;"Remarks Compulsory For Narration"",TRIM(IF(M20=""Internal"",IF(ISNUMBER(SEARCH(""DWARKADHIS"",G20)),""Internal Fund Transfer | ""&amp;to_target&amp;"" | Ref: ""&amp;ref&amp;"" | Type: ""&amp;P20&amp;"" | BU: ""&amp;L20&amp;"" | Head: ""&amp;M20,""Internal Transfer | Ref: ""&amp;ref&amp;"" | Type: "&amp;"""&amp;P20&amp;"" | BU: ""&amp;L20&amp;"" | Head: ""&amp;M20),IF(N(J20)&gt;0,IF(P20=""Customer Collection"",""Receipt Credit (Collection) ""&amp;apt&amp;"" | Ref: ""&amp;ref&amp;"" | From: ""&amp;IF(ISNUMBER(SEARCH(""SOHNA ROAD"",G20)),""Sohna Road"",""Party"")&amp;"" | BU: ""&amp;L20,""Receipt Credit fro"&amp;"m x""&amp;RIGHT(IFERROR(MID(G20,FIND(""-"",SUBSTITUTE(G20,""-"",""-"",3))+1,LEN(G20)),""0000""),4)&amp;"" (Purpose: ""&amp;IF(OR(ISBLANK(U20),U20=""N/A""),L20,U20)&amp;"") ""&amp;apt&amp;"" | Ref: ""&amp;ref&amp;"" | BU: ""&amp;L20&amp;"" | Head: ""&amp;M20),""Payment Disbursement (Purpose: ""&amp;IF(I"&amp;"SNUMBER(SEARCH(""salary"",M20)),""Salary"",U20)&amp;"") | To: ""&amp;payee&amp;"" | Ref: ""&amp;ref&amp;"" | BU: ""&amp;L20&amp;"" | Head: ""&amp;M20&amp;apt)))))"),"Internal Fund Transfer | To: x3152 | Ref: N/A | Type: Internal | BU: Casa Romana | Head: Internal")</f>
        <v>Internal Fund Transfer | To: x3152 | Ref: N/A | Type: Internal | BU: Casa Romana | Head: Internal</v>
      </c>
    </row>
    <row r="21" ht="15.75" customHeight="1">
      <c r="A21" s="36">
        <v>19.0</v>
      </c>
      <c r="B21" s="56" t="str">
        <f t="shared" si="4"/>
        <v>#NAME?</v>
      </c>
      <c r="C21" s="94">
        <f t="shared" si="2"/>
        <v>6</v>
      </c>
      <c r="D21" s="122">
        <v>46175.0</v>
      </c>
      <c r="E21" s="122">
        <f t="shared" si="3"/>
        <v>46175</v>
      </c>
      <c r="F21" s="96" t="s">
        <v>591</v>
      </c>
      <c r="G21" s="97" t="s">
        <v>827</v>
      </c>
      <c r="H21" s="96"/>
      <c r="I21" s="99"/>
      <c r="J21" s="99">
        <v>93996.3</v>
      </c>
      <c r="K21" s="99">
        <f t="shared" si="5"/>
        <v>181715.02</v>
      </c>
      <c r="L21" s="62" t="s">
        <v>45</v>
      </c>
      <c r="M21" s="62" t="s">
        <v>47</v>
      </c>
      <c r="N21" s="36"/>
      <c r="O21" s="63" t="s">
        <v>60</v>
      </c>
      <c r="P21" s="30" t="s">
        <v>51</v>
      </c>
      <c r="Q21" s="63" t="s">
        <v>50</v>
      </c>
      <c r="R21" s="124"/>
      <c r="S21" s="124"/>
      <c r="T21" s="124"/>
      <c r="U21" s="30" t="s">
        <v>75</v>
      </c>
      <c r="V21" s="30"/>
      <c r="W21" s="30" t="str">
        <f>IFERROR(__xludf.DUMMYFUNCTION("LET(ref,IF(ISBLANK(H21),""N/A"",H21),apt,IF(ISBLANK(T21),"""","" | Apt#: ""&amp;T21),payee,TRIM(IFERROR(REGEXEXTRACT(SUBSTITUTE(G21,CHAR(10),"" ""),""(?i)(?:NEFT|RTGS)\s+[A-Z0-9]+\s+(.+?)\s+[A-Z]{4}0[A-Z0-9]{6}""),IFERROR(REGEXEXTRACT(SUBSTITUTE(G21,CHAR(10),"&amp;""" ""),""(?i)TO\s+(?:[0-9]+\s+TRANSFER TO\s+[0-9]+\s+TO\s+)?(.+)$""),G21))),int_acc,IFERROR(REGEXEXTRACT(G21,""(?i)(\d{4})[\s/]*DWARKADHIS""),""""),to_target,IF(I21&gt;0,IF(int_acc&lt;&gt;"""",""To: x""&amp;int_acc,""To: Internal""),""To: BOM 675""),IF(ISBLANK(U21),"""&amp;"Remarks Compulsory For Narration"",TRIM(IF(M21=""Internal"",IF(ISNUMBER(SEARCH(""DWARKADHIS"",G21)),""Internal Fund Transfer | ""&amp;to_target&amp;"" | Ref: ""&amp;ref&amp;"" | Type: ""&amp;P21&amp;"" | BU: ""&amp;L21&amp;"" | Head: ""&amp;M21,""Internal Transfer | Ref: ""&amp;ref&amp;"" | Type: "&amp;"""&amp;P21&amp;"" | BU: ""&amp;L21&amp;"" | Head: ""&amp;M21),IF(N(J21)&gt;0,IF(P21=""Customer Collection"",""Receipt Credit (Collection) ""&amp;apt&amp;"" | Ref: ""&amp;ref&amp;"" | From: ""&amp;IF(ISNUMBER(SEARCH(""SOHNA ROAD"",G21)),""Sohna Road"",""Party"")&amp;"" | BU: ""&amp;L21,""Receipt Credit fro"&amp;"m x""&amp;RIGHT(IFERROR(MID(G21,FIND(""-"",SUBSTITUTE(G21,""-"",""-"",3))+1,LEN(G21)),""0000""),4)&amp;"" (Purpose: ""&amp;IF(OR(ISBLANK(U21),U21=""N/A""),L21,U21)&amp;"") ""&amp;apt&amp;"" | Ref: ""&amp;ref&amp;"" | BU: ""&amp;L21&amp;"" | Head: ""&amp;M21),""Payment Disbursement (Purpose: ""&amp;IF(I"&amp;"SNUMBER(SEARCH(""salary"",M21)),""Salary"",U21)&amp;"") | To: ""&amp;payee&amp;"" | Ref: ""&amp;ref&amp;"" | BU: ""&amp;L21&amp;"" | Head: ""&amp;M21&amp;apt)))))"),"Internal Fund Transfer | To: BOM 675 | Ref: N/A | Type: Master to Free | BU: Casa Romana | Head: Internal")</f>
        <v>Internal Fund Transfer | To: BOM 675 | Ref: N/A | Type: Master to Free | BU: Casa Romana | Head: Internal</v>
      </c>
    </row>
    <row r="22" ht="15.75" customHeight="1">
      <c r="A22" s="36">
        <v>20.0</v>
      </c>
      <c r="B22" s="56" t="str">
        <f t="shared" si="4"/>
        <v>#NAME?</v>
      </c>
      <c r="C22" s="94">
        <f t="shared" si="2"/>
        <v>6</v>
      </c>
      <c r="D22" s="122">
        <v>46177.0</v>
      </c>
      <c r="E22" s="122">
        <f t="shared" si="3"/>
        <v>46177</v>
      </c>
      <c r="F22" s="96" t="s">
        <v>591</v>
      </c>
      <c r="G22" s="97" t="s">
        <v>830</v>
      </c>
      <c r="H22" s="96"/>
      <c r="I22" s="99"/>
      <c r="J22" s="99">
        <v>39623.1</v>
      </c>
      <c r="K22" s="99">
        <f t="shared" si="5"/>
        <v>221338.12</v>
      </c>
      <c r="L22" s="62" t="s">
        <v>45</v>
      </c>
      <c r="M22" s="62" t="s">
        <v>47</v>
      </c>
      <c r="N22" s="36"/>
      <c r="O22" s="63" t="s">
        <v>60</v>
      </c>
      <c r="P22" s="30" t="s">
        <v>51</v>
      </c>
      <c r="Q22" s="63" t="s">
        <v>50</v>
      </c>
      <c r="R22" s="124"/>
      <c r="S22" s="124"/>
      <c r="T22" s="124"/>
      <c r="U22" s="30" t="s">
        <v>75</v>
      </c>
      <c r="V22" s="30"/>
      <c r="W22" s="30" t="str">
        <f>IFERROR(__xludf.DUMMYFUNCTION("LET(ref,IF(ISBLANK(H22),""N/A"",H22),apt,IF(ISBLANK(T22),"""","" | Apt#: ""&amp;T22),payee,TRIM(IFERROR(REGEXEXTRACT(SUBSTITUTE(G22,CHAR(10),"" ""),""(?i)(?:NEFT|RTGS)\s+[A-Z0-9]+\s+(.+?)\s+[A-Z]{4}0[A-Z0-9]{6}""),IFERROR(REGEXEXTRACT(SUBSTITUTE(G22,CHAR(10),"&amp;""" ""),""(?i)TO\s+(?:[0-9]+\s+TRANSFER TO\s+[0-9]+\s+TO\s+)?(.+)$""),G22))),int_acc,IFERROR(REGEXEXTRACT(G22,""(?i)(\d{4})[\s/]*DWARKADHIS""),""""),to_target,IF(I22&gt;0,IF(int_acc&lt;&gt;"""",""To: x""&amp;int_acc,""To: Internal""),""To: BOM 675""),IF(ISBLANK(U22),"""&amp;"Remarks Compulsory For Narration"",TRIM(IF(M22=""Internal"",IF(ISNUMBER(SEARCH(""DWARKADHIS"",G22)),""Internal Fund Transfer | ""&amp;to_target&amp;"" | Ref: ""&amp;ref&amp;"" | Type: ""&amp;P22&amp;"" | BU: ""&amp;L22&amp;"" | Head: ""&amp;M22,""Internal Transfer | Ref: ""&amp;ref&amp;"" | Type: "&amp;"""&amp;P22&amp;"" | BU: ""&amp;L22&amp;"" | Head: ""&amp;M22),IF(N(J22)&gt;0,IF(P22=""Customer Collection"",""Receipt Credit (Collection) ""&amp;apt&amp;"" | Ref: ""&amp;ref&amp;"" | From: ""&amp;IF(ISNUMBER(SEARCH(""SOHNA ROAD"",G22)),""Sohna Road"",""Party"")&amp;"" | BU: ""&amp;L22,""Receipt Credit fro"&amp;"m x""&amp;RIGHT(IFERROR(MID(G22,FIND(""-"",SUBSTITUTE(G22,""-"",""-"",3))+1,LEN(G22)),""0000""),4)&amp;"" (Purpose: ""&amp;IF(OR(ISBLANK(U22),U22=""N/A""),L22,U22)&amp;"") ""&amp;apt&amp;"" | Ref: ""&amp;ref&amp;"" | BU: ""&amp;L22&amp;"" | Head: ""&amp;M22),""Payment Disbursement (Purpose: ""&amp;IF(I"&amp;"SNUMBER(SEARCH(""salary"",M22)),""Salary"",U22)&amp;"") | To: ""&amp;payee&amp;"" | Ref: ""&amp;ref&amp;"" | BU: ""&amp;L22&amp;"" | Head: ""&amp;M22&amp;apt)))))"),"Internal Fund Transfer | To: BOM 675 | Ref: N/A | Type: Master to Free | BU: Casa Romana | Head: Internal")</f>
        <v>Internal Fund Transfer | To: BOM 675 | Ref: N/A | Type: Master to Free | BU: Casa Romana | Head: Internal</v>
      </c>
    </row>
    <row r="23" ht="15.75" customHeight="1">
      <c r="A23" s="36">
        <v>21.0</v>
      </c>
      <c r="B23" s="56" t="str">
        <f t="shared" si="4"/>
        <v>#NAME?</v>
      </c>
      <c r="C23" s="94">
        <f t="shared" si="2"/>
        <v>6</v>
      </c>
      <c r="D23" s="122">
        <v>46178.0</v>
      </c>
      <c r="E23" s="122">
        <f t="shared" si="3"/>
        <v>46178</v>
      </c>
      <c r="F23" s="96" t="s">
        <v>591</v>
      </c>
      <c r="G23" s="97" t="s">
        <v>834</v>
      </c>
      <c r="H23" s="96"/>
      <c r="I23" s="99">
        <v>2500.0</v>
      </c>
      <c r="J23" s="99"/>
      <c r="K23" s="99">
        <f t="shared" si="5"/>
        <v>218838.12</v>
      </c>
      <c r="L23" s="62" t="s">
        <v>45</v>
      </c>
      <c r="M23" s="62" t="s">
        <v>118</v>
      </c>
      <c r="N23" s="36"/>
      <c r="O23" s="63" t="s">
        <v>60</v>
      </c>
      <c r="P23" s="30" t="s">
        <v>43</v>
      </c>
      <c r="Q23" s="63" t="s">
        <v>44</v>
      </c>
      <c r="R23" s="124"/>
      <c r="S23" s="124"/>
      <c r="T23" s="124"/>
      <c r="U23" s="30" t="s">
        <v>836</v>
      </c>
      <c r="V23" s="30"/>
      <c r="W23" s="30" t="str">
        <f>IFERROR(__xludf.DUMMYFUNCTION("LET(ref,IF(ISBLANK(H23),""N/A"",H23),apt,IF(ISBLANK(T23),"""","" | Apt#: ""&amp;T23),payee,TRIM(IFERROR(REGEXEXTRACT(SUBSTITUTE(G23,CHAR(10),"" ""),""(?i)(?:NEFT|RTGS)\s+[A-Z0-9]+\s+(.+?)\s+[A-Z]{4}0[A-Z0-9]{6}""),IFERROR(REGEXEXTRACT(SUBSTITUTE(G23,CHAR(10),"&amp;""" ""),""(?i)TO\s+(?:[0-9]+\s+TRANSFER TO\s+[0-9]+\s+TO\s+)?(.+)$""),G23))),int_acc,IFERROR(REGEXEXTRACT(G23,""(?i)(\d{4})[\s/]*DWARKADHIS""),""""),to_target,IF(I23&gt;0,IF(int_acc&lt;&gt;"""",""To: x""&amp;int_acc,""To: Internal""),""To: BOM 675""),IF(ISBLANK(U23),"""&amp;"Remarks Compulsory For Narration"",TRIM(IF(M23=""Internal"",IF(ISNUMBER(SEARCH(""DWARKADHIS"",G23)),""Internal Fund Transfer | ""&amp;to_target&amp;"" | Ref: ""&amp;ref&amp;"" | Type: ""&amp;P23&amp;"" | BU: ""&amp;L23&amp;"" | Head: ""&amp;M23,""Internal Transfer | Ref: ""&amp;ref&amp;"" | Type: "&amp;"""&amp;P23&amp;"" | BU: ""&amp;L23&amp;"" | Head: ""&amp;M23),IF(N(J23)&gt;0,IF(P23=""Customer Collection"",""Receipt Credit (Collection) ""&amp;apt&amp;"" | Ref: ""&amp;ref&amp;"" | From: ""&amp;IF(ISNUMBER(SEARCH(""SOHNA ROAD"",G23)),""Sohna Road"",""Party"")&amp;"" | BU: ""&amp;L23,""Receipt Credit fro"&amp;"m x""&amp;RIGHT(IFERROR(MID(G23,FIND(""-"",SUBSTITUTE(G23,""-"",""-"",3))+1,LEN(G23)),""0000""),4)&amp;"" (Purpose: ""&amp;IF(OR(ISBLANK(U23),U23=""N/A""),L23,U23)&amp;"") ""&amp;apt&amp;"" | Ref: ""&amp;ref&amp;"" | BU: ""&amp;L23&amp;"" | Head: ""&amp;M23),""Payment Disbursement (Purpose: ""&amp;IF(I"&amp;"SNUMBER(SEARCH(""salary"",M23)),""Salary"",U23)&amp;"") | To: ""&amp;payee&amp;"" | Ref: ""&amp;ref&amp;"" | BU: ""&amp;L23&amp;"" | Head: ""&amp;M23&amp;apt)))))"),"Payment Disbursement (Purpose: Certification Charge , Certificate Regarding Inflow And Outflow Of Funds ) | To: Naresh k Jain | Ref: N/A | BU: Casa Romana | Head: Professional")</f>
        <v>Payment Disbursement (Purpose: Certification Charge , Certificate Regarding Inflow And Outflow Of Funds ) | To: Naresh k Jain | Ref: N/A | BU: Casa Romana | Head: Professional</v>
      </c>
    </row>
    <row r="24" ht="15.75" customHeight="1">
      <c r="A24" s="36">
        <v>22.0</v>
      </c>
      <c r="B24" s="56" t="str">
        <f t="shared" si="4"/>
        <v>#NAME?</v>
      </c>
      <c r="C24" s="94">
        <f t="shared" si="2"/>
        <v>6</v>
      </c>
      <c r="D24" s="122">
        <v>46178.0</v>
      </c>
      <c r="E24" s="122">
        <f t="shared" si="3"/>
        <v>46178</v>
      </c>
      <c r="F24" s="96" t="s">
        <v>591</v>
      </c>
      <c r="G24" s="97" t="s">
        <v>841</v>
      </c>
      <c r="H24" s="96"/>
      <c r="I24" s="99">
        <v>210000.0</v>
      </c>
      <c r="J24" s="99"/>
      <c r="K24" s="99">
        <f t="shared" si="5"/>
        <v>8838.12</v>
      </c>
      <c r="L24" s="62" t="s">
        <v>45</v>
      </c>
      <c r="M24" s="62" t="s">
        <v>47</v>
      </c>
      <c r="N24" s="36"/>
      <c r="O24" s="63" t="s">
        <v>60</v>
      </c>
      <c r="P24" s="30" t="s">
        <v>47</v>
      </c>
      <c r="Q24" s="63" t="s">
        <v>50</v>
      </c>
      <c r="R24" s="124"/>
      <c r="S24" s="124"/>
      <c r="T24" s="124"/>
      <c r="U24" s="30" t="s">
        <v>75</v>
      </c>
      <c r="V24" s="30"/>
      <c r="W24" s="30" t="str">
        <f>IFERROR(__xludf.DUMMYFUNCTION("LET(ref,IF(ISBLANK(H24),""N/A"",H24),apt,IF(ISBLANK(T24),"""","" | Apt#: ""&amp;T24),payee,TRIM(IFERROR(REGEXEXTRACT(SUBSTITUTE(G24,CHAR(10),"" ""),""(?i)(?:NEFT|RTGS)\s+[A-Z0-9]+\s+(.+?)\s+[A-Z]{4}0[A-Z0-9]{6}""),IFERROR(REGEXEXTRACT(SUBSTITUTE(G24,CHAR(10),"&amp;""" ""),""(?i)TO\s+(?:[0-9]+\s+TRANSFER TO\s+[0-9]+\s+TO\s+)?(.+)$""),G24))),int_acc,IFERROR(REGEXEXTRACT(G24,""(?i)(\d{4})[\s/]*DWARKADHIS""),""""),to_target,IF(I24&gt;0,IF(int_acc&lt;&gt;"""",""To: x""&amp;int_acc,""To: Internal""),""To: BOM 675""),IF(ISBLANK(U24),"""&amp;"Remarks Compulsory For Narration"",TRIM(IF(M24=""Internal"",IF(ISNUMBER(SEARCH(""DWARKADHIS"",G24)),""Internal Fund Transfer | ""&amp;to_target&amp;"" | Ref: ""&amp;ref&amp;"" | Type: ""&amp;P24&amp;"" | BU: ""&amp;L24&amp;"" | Head: ""&amp;M24,""Internal Transfer | Ref: ""&amp;ref&amp;"" | Type: "&amp;"""&amp;P24&amp;"" | BU: ""&amp;L24&amp;"" | Head: ""&amp;M24),IF(N(J24)&gt;0,IF(P24=""Customer Collection"",""Receipt Credit (Collection) ""&amp;apt&amp;"" | Ref: ""&amp;ref&amp;"" | From: ""&amp;IF(ISNUMBER(SEARCH(""SOHNA ROAD"",G24)),""Sohna Road"",""Party"")&amp;"" | BU: ""&amp;L24,""Receipt Credit fro"&amp;"m x""&amp;RIGHT(IFERROR(MID(G24,FIND(""-"",SUBSTITUTE(G24,""-"",""-"",3))+1,LEN(G24)),""0000""),4)&amp;"" (Purpose: ""&amp;IF(OR(ISBLANK(U24),U24=""N/A""),L24,U24)&amp;"") ""&amp;apt&amp;"" | Ref: ""&amp;ref&amp;"" | BU: ""&amp;L24&amp;"" | Head: ""&amp;M24),""Payment Disbursement (Purpose: ""&amp;IF(I"&amp;"SNUMBER(SEARCH(""salary"",M24)),""Salary"",U24)&amp;"") | To: ""&amp;payee&amp;"" | Ref: ""&amp;ref&amp;"" | BU: ""&amp;L24&amp;"" | Head: ""&amp;M24&amp;apt)))))"),"Internal Fund Transfer | To: x4381 | Ref: N/A | Type: Internal | BU: Casa Romana | Head: Internal")</f>
        <v>Internal Fund Transfer | To: x4381 | Ref: N/A | Type: Internal | BU: Casa Romana | Head: Internal</v>
      </c>
    </row>
    <row r="25" ht="15.75" customHeight="1">
      <c r="A25" s="36">
        <v>23.0</v>
      </c>
      <c r="B25" s="56" t="str">
        <f t="shared" si="4"/>
        <v>#NAME?</v>
      </c>
      <c r="C25" s="94">
        <f t="shared" si="2"/>
        <v>6</v>
      </c>
      <c r="D25" s="122">
        <v>46179.0</v>
      </c>
      <c r="E25" s="122">
        <f t="shared" si="3"/>
        <v>46179</v>
      </c>
      <c r="F25" s="96" t="s">
        <v>591</v>
      </c>
      <c r="G25" s="97" t="s">
        <v>842</v>
      </c>
      <c r="H25" s="96"/>
      <c r="I25" s="99">
        <v>1.0</v>
      </c>
      <c r="J25" s="99"/>
      <c r="K25" s="99">
        <f t="shared" si="5"/>
        <v>8837.12</v>
      </c>
      <c r="L25" s="62" t="s">
        <v>45</v>
      </c>
      <c r="M25" s="62" t="s">
        <v>47</v>
      </c>
      <c r="N25" s="36"/>
      <c r="O25" s="63" t="s">
        <v>60</v>
      </c>
      <c r="P25" s="30" t="s">
        <v>47</v>
      </c>
      <c r="Q25" s="63" t="s">
        <v>50</v>
      </c>
      <c r="R25" s="124"/>
      <c r="S25" s="124"/>
      <c r="T25" s="124"/>
      <c r="U25" s="30" t="s">
        <v>75</v>
      </c>
      <c r="V25" s="30"/>
      <c r="W25" s="30" t="str">
        <f>IFERROR(__xludf.DUMMYFUNCTION("LET(ref,IF(ISBLANK(H25),""N/A"",H25),apt,IF(ISBLANK(T25),"""","" | Apt#: ""&amp;T25),payee,TRIM(IFERROR(REGEXEXTRACT(SUBSTITUTE(G25,CHAR(10),"" ""),""(?i)(?:NEFT|RTGS)\s+[A-Z0-9]+\s+(.+?)\s+[A-Z]{4}0[A-Z0-9]{6}""),IFERROR(REGEXEXTRACT(SUBSTITUTE(G25,CHAR(10),"&amp;""" ""),""(?i)TO\s+(?:[0-9]+\s+TRANSFER TO\s+[0-9]+\s+TO\s+)?(.+)$""),G25))),int_acc,IFERROR(REGEXEXTRACT(G25,""(?i)(\d{4})[\s/]*DWARKADHIS""),""""),to_target,IF(I25&gt;0,IF(int_acc&lt;&gt;"""",""To: x""&amp;int_acc,""To: Internal""),""To: BOM 675""),IF(ISBLANK(U25),"""&amp;"Remarks Compulsory For Narration"",TRIM(IF(M25=""Internal"",IF(ISNUMBER(SEARCH(""DWARKADHIS"",G25)),""Internal Fund Transfer | ""&amp;to_target&amp;"" | Ref: ""&amp;ref&amp;"" | Type: ""&amp;P25&amp;"" | BU: ""&amp;L25&amp;"" | Head: ""&amp;M25,""Internal Transfer | Ref: ""&amp;ref&amp;"" | Type: "&amp;"""&amp;P25&amp;"" | BU: ""&amp;L25&amp;"" | Head: ""&amp;M25),IF(N(J25)&gt;0,IF(P25=""Customer Collection"",""Receipt Credit (Collection) ""&amp;apt&amp;"" | Ref: ""&amp;ref&amp;"" | From: ""&amp;IF(ISNUMBER(SEARCH(""SOHNA ROAD"",G25)),""Sohna Road"",""Party"")&amp;"" | BU: ""&amp;L25,""Receipt Credit fro"&amp;"m x""&amp;RIGHT(IFERROR(MID(G25,FIND(""-"",SUBSTITUTE(G25,""-"",""-"",3))+1,LEN(G25)),""0000""),4)&amp;"" (Purpose: ""&amp;IF(OR(ISBLANK(U25),U25=""N/A""),L25,U25)&amp;"") ""&amp;apt&amp;"" | Ref: ""&amp;ref&amp;"" | BU: ""&amp;L25&amp;"" | Head: ""&amp;M25),""Payment Disbursement (Purpose: ""&amp;IF(I"&amp;"SNUMBER(SEARCH(""salary"",M25)),""Salary"",U25)&amp;"") | To: ""&amp;payee&amp;"" | Ref: ""&amp;ref&amp;"" | BU: ""&amp;L25&amp;"" | Head: ""&amp;M25&amp;apt)))))"),"Internal Fund Transfer | To: x2285 | Ref: N/A | Type: Internal | BU: Casa Romana | Head: Internal")</f>
        <v>Internal Fund Transfer | To: x2285 | Ref: N/A | Type: Internal | BU: Casa Romana | Head: Internal</v>
      </c>
    </row>
    <row r="26" ht="15.75" customHeight="1">
      <c r="A26" s="36">
        <v>24.0</v>
      </c>
      <c r="B26" s="56" t="str">
        <f t="shared" si="4"/>
        <v>#NAME?</v>
      </c>
      <c r="C26" s="94">
        <f t="shared" si="2"/>
        <v>6</v>
      </c>
      <c r="D26" s="122">
        <v>46179.0</v>
      </c>
      <c r="E26" s="122">
        <f t="shared" si="3"/>
        <v>46179</v>
      </c>
      <c r="F26" s="96" t="s">
        <v>591</v>
      </c>
      <c r="G26" s="97" t="s">
        <v>846</v>
      </c>
      <c r="H26" s="96"/>
      <c r="I26" s="99"/>
      <c r="J26" s="99">
        <v>31504.0</v>
      </c>
      <c r="K26" s="99">
        <f t="shared" si="5"/>
        <v>40341.12</v>
      </c>
      <c r="L26" s="62" t="s">
        <v>45</v>
      </c>
      <c r="M26" s="62" t="s">
        <v>47</v>
      </c>
      <c r="N26" s="36"/>
      <c r="O26" s="63" t="s">
        <v>60</v>
      </c>
      <c r="P26" s="30" t="s">
        <v>47</v>
      </c>
      <c r="Q26" s="63" t="s">
        <v>50</v>
      </c>
      <c r="R26" s="124"/>
      <c r="S26" s="124"/>
      <c r="T26" s="124"/>
      <c r="U26" s="30" t="s">
        <v>75</v>
      </c>
      <c r="V26" s="30"/>
      <c r="W26" s="30" t="str">
        <f>IFERROR(__xludf.DUMMYFUNCTION("LET(ref,IF(ISBLANK(H26),""N/A"",H26),apt,IF(ISBLANK(T26),"""","" | Apt#: ""&amp;T26),payee,TRIM(IFERROR(REGEXEXTRACT(SUBSTITUTE(G26,CHAR(10),"" ""),""(?i)(?:NEFT|RTGS)\s+[A-Z0-9]+\s+(.+?)\s+[A-Z]{4}0[A-Z0-9]{6}""),IFERROR(REGEXEXTRACT(SUBSTITUTE(G26,CHAR(10),"&amp;""" ""),""(?i)TO\s+(?:[0-9]+\s+TRANSFER TO\s+[0-9]+\s+TO\s+)?(.+)$""),G26))),int_acc,IFERROR(REGEXEXTRACT(G26,""(?i)(\d{4})[\s/]*DWARKADHIS""),""""),to_target,IF(I26&gt;0,IF(int_acc&lt;&gt;"""",""To: x""&amp;int_acc,""To: Internal""),""To: BOM 675""),IF(ISBLANK(U26),"""&amp;"Remarks Compulsory For Narration"",TRIM(IF(M26=""Internal"",IF(ISNUMBER(SEARCH(""DWARKADHIS"",G26)),""Internal Fund Transfer | ""&amp;to_target&amp;"" | Ref: ""&amp;ref&amp;"" | Type: ""&amp;P26&amp;"" | BU: ""&amp;L26&amp;"" | Head: ""&amp;M26,""Internal Transfer | Ref: ""&amp;ref&amp;"" | Type: "&amp;"""&amp;P26&amp;"" | BU: ""&amp;L26&amp;"" | Head: ""&amp;M26),IF(N(J26)&gt;0,IF(P26=""Customer Collection"",""Receipt Credit (Collection) ""&amp;apt&amp;"" | Ref: ""&amp;ref&amp;"" | From: ""&amp;IF(ISNUMBER(SEARCH(""SOHNA ROAD"",G26)),""Sohna Road"",""Party"")&amp;"" | BU: ""&amp;L26,""Receipt Credit fro"&amp;"m x""&amp;RIGHT(IFERROR(MID(G26,FIND(""-"",SUBSTITUTE(G26,""-"",""-"",3))+1,LEN(G26)),""0000""),4)&amp;"" (Purpose: ""&amp;IF(OR(ISBLANK(U26),U26=""N/A""),L26,U26)&amp;"") ""&amp;apt&amp;"" | Ref: ""&amp;ref&amp;"" | BU: ""&amp;L26&amp;"" | Head: ""&amp;M26),""Payment Disbursement (Purpose: ""&amp;IF(I"&amp;"SNUMBER(SEARCH(""salary"",M26)),""Salary"",U26)&amp;"") | To: ""&amp;payee&amp;"" | Ref: ""&amp;ref&amp;"" | BU: ""&amp;L26&amp;"" | Head: ""&amp;M26&amp;apt)))))"),"Internal Fund Transfer | To: BOM 675 | Ref: N/A | Type: Internal | BU: Casa Romana | Head: Internal")</f>
        <v>Internal Fund Transfer | To: BOM 675 | Ref: N/A | Type: Internal | BU: Casa Romana | Head: Internal</v>
      </c>
    </row>
    <row r="27" ht="15.75" customHeight="1">
      <c r="A27" s="36">
        <v>25.0</v>
      </c>
      <c r="B27" s="56" t="str">
        <f t="shared" si="4"/>
        <v>#NAME?</v>
      </c>
      <c r="C27" s="94">
        <f t="shared" si="2"/>
        <v>6</v>
      </c>
      <c r="D27" s="122">
        <v>46180.0</v>
      </c>
      <c r="E27" s="122">
        <f t="shared" si="3"/>
        <v>46180</v>
      </c>
      <c r="F27" s="96" t="s">
        <v>591</v>
      </c>
      <c r="G27" s="97" t="s">
        <v>852</v>
      </c>
      <c r="H27" s="96"/>
      <c r="I27" s="99"/>
      <c r="J27" s="99">
        <v>106361.0</v>
      </c>
      <c r="K27" s="99">
        <f t="shared" si="5"/>
        <v>146702.12</v>
      </c>
      <c r="L27" s="62" t="s">
        <v>45</v>
      </c>
      <c r="M27" s="62" t="s">
        <v>47</v>
      </c>
      <c r="N27" s="36"/>
      <c r="O27" s="63" t="s">
        <v>60</v>
      </c>
      <c r="P27" s="30" t="s">
        <v>47</v>
      </c>
      <c r="Q27" s="63" t="s">
        <v>50</v>
      </c>
      <c r="R27" s="124"/>
      <c r="S27" s="124"/>
      <c r="T27" s="124"/>
      <c r="U27" s="30" t="s">
        <v>75</v>
      </c>
      <c r="V27" s="30"/>
      <c r="W27" s="30" t="str">
        <f>IFERROR(__xludf.DUMMYFUNCTION("LET(ref,IF(ISBLANK(H27),""N/A"",H27),apt,IF(ISBLANK(T27),"""","" | Apt#: ""&amp;T27),payee,TRIM(IFERROR(REGEXEXTRACT(SUBSTITUTE(G27,CHAR(10),"" ""),""(?i)(?:NEFT|RTGS)\s+[A-Z0-9]+\s+(.+?)\s+[A-Z]{4}0[A-Z0-9]{6}""),IFERROR(REGEXEXTRACT(SUBSTITUTE(G27,CHAR(10),"&amp;""" ""),""(?i)TO\s+(?:[0-9]+\s+TRANSFER TO\s+[0-9]+\s+TO\s+)?(.+)$""),G27))),int_acc,IFERROR(REGEXEXTRACT(G27,""(?i)(\d{4})[\s/]*DWARKADHIS""),""""),to_target,IF(I27&gt;0,IF(int_acc&lt;&gt;"""",""To: x""&amp;int_acc,""To: Internal""),""To: BOM 675""),IF(ISBLANK(U27),"""&amp;"Remarks Compulsory For Narration"",TRIM(IF(M27=""Internal"",IF(ISNUMBER(SEARCH(""DWARKADHIS"",G27)),""Internal Fund Transfer | ""&amp;to_target&amp;"" | Ref: ""&amp;ref&amp;"" | Type: ""&amp;P27&amp;"" | BU: ""&amp;L27&amp;"" | Head: ""&amp;M27,""Internal Transfer | Ref: ""&amp;ref&amp;"" | Type: "&amp;"""&amp;P27&amp;"" | BU: ""&amp;L27&amp;"" | Head: ""&amp;M27),IF(N(J27)&gt;0,IF(P27=""Customer Collection"",""Receipt Credit (Collection) ""&amp;apt&amp;"" | Ref: ""&amp;ref&amp;"" | From: ""&amp;IF(ISNUMBER(SEARCH(""SOHNA ROAD"",G27)),""Sohna Road"",""Party"")&amp;"" | BU: ""&amp;L27,""Receipt Credit fro"&amp;"m x""&amp;RIGHT(IFERROR(MID(G27,FIND(""-"",SUBSTITUTE(G27,""-"",""-"",3))+1,LEN(G27)),""0000""),4)&amp;"" (Purpose: ""&amp;IF(OR(ISBLANK(U27),U27=""N/A""),L27,U27)&amp;"") ""&amp;apt&amp;"" | Ref: ""&amp;ref&amp;"" | BU: ""&amp;L27&amp;"" | Head: ""&amp;M27),""Payment Disbursement (Purpose: ""&amp;IF(I"&amp;"SNUMBER(SEARCH(""salary"",M27)),""Salary"",U27)&amp;"") | To: ""&amp;payee&amp;"" | Ref: ""&amp;ref&amp;"" | BU: ""&amp;L27&amp;"" | Head: ""&amp;M27&amp;apt)))))"),"Internal Fund Transfer | To: BOM 675 | Ref: N/A | Type: Internal | BU: Casa Romana | Head: Internal")</f>
        <v>Internal Fund Transfer | To: BOM 675 | Ref: N/A | Type: Internal | BU: Casa Romana | Head: Internal</v>
      </c>
    </row>
    <row r="28" ht="15.75" customHeight="1">
      <c r="A28" s="36">
        <v>26.0</v>
      </c>
      <c r="B28" s="56" t="str">
        <f t="shared" si="4"/>
        <v>#NAME?</v>
      </c>
      <c r="C28" s="94">
        <f t="shared" si="2"/>
        <v>6</v>
      </c>
      <c r="D28" s="122">
        <v>46180.0</v>
      </c>
      <c r="E28" s="122">
        <f t="shared" si="3"/>
        <v>46180</v>
      </c>
      <c r="F28" s="96" t="s">
        <v>591</v>
      </c>
      <c r="G28" s="97" t="s">
        <v>856</v>
      </c>
      <c r="H28" s="96"/>
      <c r="I28" s="99">
        <v>137865.0</v>
      </c>
      <c r="J28" s="99"/>
      <c r="K28" s="99">
        <f t="shared" si="5"/>
        <v>8837.12</v>
      </c>
      <c r="L28" s="62" t="s">
        <v>45</v>
      </c>
      <c r="M28" s="62" t="s">
        <v>718</v>
      </c>
      <c r="N28" s="36"/>
      <c r="O28" s="63" t="s">
        <v>60</v>
      </c>
      <c r="P28" s="30" t="s">
        <v>43</v>
      </c>
      <c r="Q28" s="63" t="s">
        <v>44</v>
      </c>
      <c r="R28" s="124"/>
      <c r="S28" s="124"/>
      <c r="T28" s="124"/>
      <c r="U28" s="30" t="s">
        <v>859</v>
      </c>
      <c r="V28" s="30"/>
      <c r="W28" s="30" t="str">
        <f>IFERROR(__xludf.DUMMYFUNCTION("LET(ref,IF(ISBLANK(H28),""N/A"",H28),apt,IF(ISBLANK(T28),"""","" | Apt#: ""&amp;T28),payee,TRIM(IFERROR(REGEXEXTRACT(SUBSTITUTE(G28,CHAR(10),"" ""),""(?i)(?:NEFT|RTGS)\s+[A-Z0-9]+\s+(.+?)\s+[A-Z]{4}0[A-Z0-9]{6}""),IFERROR(REGEXEXTRACT(SUBSTITUTE(G28,CHAR(10),"&amp;""" ""),""(?i)TO\s+(?:[0-9]+\s+TRANSFER TO\s+[0-9]+\s+TO\s+)?(.+)$""),G28))),int_acc,IFERROR(REGEXEXTRACT(G28,""(?i)(\d{4})[\s/]*DWARKADHIS""),""""),to_target,IF(I28&gt;0,IF(int_acc&lt;&gt;"""",""To: x""&amp;int_acc,""To: Internal""),""To: BOM 675""),IF(ISBLANK(U28),"""&amp;"Remarks Compulsory For Narration"",TRIM(IF(M28=""Internal"",IF(ISNUMBER(SEARCH(""DWARKADHIS"",G28)),""Internal Fund Transfer | ""&amp;to_target&amp;"" | Ref: ""&amp;ref&amp;"" | Type: ""&amp;P28&amp;"" | BU: ""&amp;L28&amp;"" | Head: ""&amp;M28,""Internal Transfer | Ref: ""&amp;ref&amp;"" | Type: "&amp;"""&amp;P28&amp;"" | BU: ""&amp;L28&amp;"" | Head: ""&amp;M28),IF(N(J28)&gt;0,IF(P28=""Customer Collection"",""Receipt Credit (Collection) ""&amp;apt&amp;"" | Ref: ""&amp;ref&amp;"" | From: ""&amp;IF(ISNUMBER(SEARCH(""SOHNA ROAD"",G28)),""Sohna Road"",""Party"")&amp;"" | BU: ""&amp;L28,""Receipt Credit fro"&amp;"m x""&amp;RIGHT(IFERROR(MID(G28,FIND(""-"",SUBSTITUTE(G28,""-"",""-"",3))+1,LEN(G28)),""0000""),4)&amp;"" (Purpose: ""&amp;IF(OR(ISBLANK(U28),U28=""N/A""),L28,U28)&amp;"") ""&amp;apt&amp;"" | Ref: ""&amp;ref&amp;"" | BU: ""&amp;L28&amp;"" | Head: ""&amp;M28),""Payment Disbursement (Purpose: ""&amp;IF(I"&amp;"SNUMBER(SEARCH(""salary"",M28)),""Salary"",U28)&amp;"") | To: ""&amp;payee&amp;"" | Ref: ""&amp;ref&amp;"" | BU: ""&amp;L28&amp;"" | Head: ""&amp;M28&amp;apt)))))"),"Payment Disbursement (Purpose: TDS) | To: Central Govt Taxes | Ref: N/A | BU: Casa Romana | Head: Tax")</f>
        <v>Payment Disbursement (Purpose: TDS) | To: Central Govt Taxes | Ref: N/A | BU: Casa Romana | Head: Tax</v>
      </c>
    </row>
    <row r="29" ht="15.75" customHeight="1">
      <c r="A29" s="36">
        <v>27.0</v>
      </c>
      <c r="B29" s="56" t="str">
        <f t="shared" si="4"/>
        <v>#NAME?</v>
      </c>
      <c r="C29" s="94">
        <f t="shared" si="2"/>
        <v>6</v>
      </c>
      <c r="D29" s="122">
        <v>46185.0</v>
      </c>
      <c r="E29" s="122">
        <f t="shared" si="3"/>
        <v>46185</v>
      </c>
      <c r="F29" s="96" t="s">
        <v>591</v>
      </c>
      <c r="G29" s="97" t="s">
        <v>863</v>
      </c>
      <c r="H29" s="96"/>
      <c r="I29" s="99"/>
      <c r="J29" s="99">
        <v>64309.0</v>
      </c>
      <c r="K29" s="99">
        <f t="shared" si="5"/>
        <v>73146.12</v>
      </c>
      <c r="L29" s="62" t="s">
        <v>45</v>
      </c>
      <c r="M29" s="62" t="s">
        <v>47</v>
      </c>
      <c r="N29" s="36"/>
      <c r="O29" s="63" t="s">
        <v>60</v>
      </c>
      <c r="P29" s="30" t="s">
        <v>47</v>
      </c>
      <c r="Q29" s="63" t="s">
        <v>50</v>
      </c>
      <c r="R29" s="124"/>
      <c r="S29" s="124"/>
      <c r="T29" s="124"/>
      <c r="U29" s="30" t="s">
        <v>75</v>
      </c>
      <c r="V29" s="30"/>
      <c r="W29" s="30" t="str">
        <f>IFERROR(__xludf.DUMMYFUNCTION("LET(ref,IF(ISBLANK(H29),""N/A"",H29),apt,IF(ISBLANK(T29),"""","" | Apt#: ""&amp;T29),payee,TRIM(IFERROR(REGEXEXTRACT(SUBSTITUTE(G29,CHAR(10),"" ""),""(?i)(?:NEFT|RTGS)\s+[A-Z0-9]+\s+(.+?)\s+[A-Z]{4}0[A-Z0-9]{6}""),IFERROR(REGEXEXTRACT(SUBSTITUTE(G29,CHAR(10),"&amp;""" ""),""(?i)TO\s+(?:[0-9]+\s+TRANSFER TO\s+[0-9]+\s+TO\s+)?(.+)$""),G29))),int_acc,IFERROR(REGEXEXTRACT(G29,""(?i)(\d{4})[\s/]*DWARKADHIS""),""""),to_target,IF(I29&gt;0,IF(int_acc&lt;&gt;"""",""To: x""&amp;int_acc,""To: Internal""),""To: BOM 675""),IF(ISBLANK(U29),"""&amp;"Remarks Compulsory For Narration"",TRIM(IF(M29=""Internal"",IF(ISNUMBER(SEARCH(""DWARKADHIS"",G29)),""Internal Fund Transfer | ""&amp;to_target&amp;"" | Ref: ""&amp;ref&amp;"" | Type: ""&amp;P29&amp;"" | BU: ""&amp;L29&amp;"" | Head: ""&amp;M29,""Internal Transfer | Ref: ""&amp;ref&amp;"" | Type: "&amp;"""&amp;P29&amp;"" | BU: ""&amp;L29&amp;"" | Head: ""&amp;M29),IF(N(J29)&gt;0,IF(P29=""Customer Collection"",""Receipt Credit (Collection) ""&amp;apt&amp;"" | Ref: ""&amp;ref&amp;"" | From: ""&amp;IF(ISNUMBER(SEARCH(""SOHNA ROAD"",G29)),""Sohna Road"",""Party"")&amp;"" | BU: ""&amp;L29,""Receipt Credit fro"&amp;"m x""&amp;RIGHT(IFERROR(MID(G29,FIND(""-"",SUBSTITUTE(G29,""-"",""-"",3))+1,LEN(G29)),""0000""),4)&amp;"" (Purpose: ""&amp;IF(OR(ISBLANK(U29),U29=""N/A""),L29,U29)&amp;"") ""&amp;apt&amp;"" | Ref: ""&amp;ref&amp;"" | BU: ""&amp;L29&amp;"" | Head: ""&amp;M29),""Payment Disbursement (Purpose: ""&amp;IF(I"&amp;"SNUMBER(SEARCH(""salary"",M29)),""Salary"",U29)&amp;"") | To: ""&amp;payee&amp;"" | Ref: ""&amp;ref&amp;"" | BU: ""&amp;L29&amp;"" | Head: ""&amp;M29&amp;apt)))))"),"Internal Fund Transfer | To: BOM 675 | Ref: N/A | Type: Internal | BU: Casa Romana | Head: Internal")</f>
        <v>Internal Fund Transfer | To: BOM 675 | Ref: N/A | Type: Internal | BU: Casa Romana | Head: Internal</v>
      </c>
    </row>
    <row r="30" ht="15.75" customHeight="1">
      <c r="A30" s="36">
        <v>28.0</v>
      </c>
      <c r="B30" s="56" t="str">
        <f t="shared" si="4"/>
        <v>#NAME?</v>
      </c>
      <c r="C30" s="94">
        <f t="shared" si="2"/>
        <v>6</v>
      </c>
      <c r="D30" s="122">
        <v>46185.0</v>
      </c>
      <c r="E30" s="122">
        <f t="shared" si="3"/>
        <v>46185</v>
      </c>
      <c r="F30" s="96" t="s">
        <v>591</v>
      </c>
      <c r="G30" s="97" t="s">
        <v>866</v>
      </c>
      <c r="H30" s="96"/>
      <c r="I30" s="99"/>
      <c r="J30" s="99">
        <v>15520.0</v>
      </c>
      <c r="K30" s="99">
        <f t="shared" si="5"/>
        <v>88666.12</v>
      </c>
      <c r="L30" s="62" t="s">
        <v>45</v>
      </c>
      <c r="M30" s="62" t="s">
        <v>47</v>
      </c>
      <c r="N30" s="36"/>
      <c r="O30" s="63" t="s">
        <v>60</v>
      </c>
      <c r="P30" s="30" t="s">
        <v>47</v>
      </c>
      <c r="Q30" s="63" t="s">
        <v>50</v>
      </c>
      <c r="R30" s="124"/>
      <c r="S30" s="124"/>
      <c r="T30" s="124"/>
      <c r="U30" s="30" t="s">
        <v>75</v>
      </c>
      <c r="V30" s="30"/>
      <c r="W30" s="30" t="str">
        <f>IFERROR(__xludf.DUMMYFUNCTION("LET(ref,IF(ISBLANK(H30),""N/A"",H30),apt,IF(ISBLANK(T30),"""","" | Apt#: ""&amp;T30),payee,TRIM(IFERROR(REGEXEXTRACT(SUBSTITUTE(G30,CHAR(10),"" ""),""(?i)(?:NEFT|RTGS)\s+[A-Z0-9]+\s+(.+?)\s+[A-Z]{4}0[A-Z0-9]{6}""),IFERROR(REGEXEXTRACT(SUBSTITUTE(G30,CHAR(10),"&amp;""" ""),""(?i)TO\s+(?:[0-9]+\s+TRANSFER TO\s+[0-9]+\s+TO\s+)?(.+)$""),G30))),int_acc,IFERROR(REGEXEXTRACT(G30,""(?i)(\d{4})[\s/]*DWARKADHIS""),""""),to_target,IF(I30&gt;0,IF(int_acc&lt;&gt;"""",""To: x""&amp;int_acc,""To: Internal""),""To: BOM 675""),IF(ISBLANK(U30),"""&amp;"Remarks Compulsory For Narration"",TRIM(IF(M30=""Internal"",IF(ISNUMBER(SEARCH(""DWARKADHIS"",G30)),""Internal Fund Transfer | ""&amp;to_target&amp;"" | Ref: ""&amp;ref&amp;"" | Type: ""&amp;P30&amp;"" | BU: ""&amp;L30&amp;"" | Head: ""&amp;M30,""Internal Transfer | Ref: ""&amp;ref&amp;"" | Type: "&amp;"""&amp;P30&amp;"" | BU: ""&amp;L30&amp;"" | Head: ""&amp;M30),IF(N(J30)&gt;0,IF(P30=""Customer Collection"",""Receipt Credit (Collection) ""&amp;apt&amp;"" | Ref: ""&amp;ref&amp;"" | From: ""&amp;IF(ISNUMBER(SEARCH(""SOHNA ROAD"",G30)),""Sohna Road"",""Party"")&amp;"" | BU: ""&amp;L30,""Receipt Credit fro"&amp;"m x""&amp;RIGHT(IFERROR(MID(G30,FIND(""-"",SUBSTITUTE(G30,""-"",""-"",3))+1,LEN(G30)),""0000""),4)&amp;"" (Purpose: ""&amp;IF(OR(ISBLANK(U30),U30=""N/A""),L30,U30)&amp;"") ""&amp;apt&amp;"" | Ref: ""&amp;ref&amp;"" | BU: ""&amp;L30&amp;"" | Head: ""&amp;M30),""Payment Disbursement (Purpose: ""&amp;IF(I"&amp;"SNUMBER(SEARCH(""salary"",M30)),""Salary"",U30)&amp;"") | To: ""&amp;payee&amp;"" | Ref: ""&amp;ref&amp;"" | BU: ""&amp;L30&amp;"" | Head: ""&amp;M30&amp;apt)))))"),"Internal Fund Transfer | To: BOM 675 | Ref: N/A | Type: Internal | BU: Casa Romana | Head: Internal")</f>
        <v>Internal Fund Transfer | To: BOM 675 | Ref: N/A | Type: Internal | BU: Casa Romana | Head: Internal</v>
      </c>
    </row>
    <row r="31" ht="15.75" customHeight="1">
      <c r="A31" s="36">
        <v>29.0</v>
      </c>
      <c r="B31" s="56" t="str">
        <f t="shared" si="4"/>
        <v>#NAME?</v>
      </c>
      <c r="C31" s="94">
        <f t="shared" si="2"/>
        <v>6</v>
      </c>
      <c r="D31" s="122">
        <v>46185.0</v>
      </c>
      <c r="E31" s="122">
        <f t="shared" si="3"/>
        <v>46185</v>
      </c>
      <c r="F31" s="96" t="s">
        <v>591</v>
      </c>
      <c r="G31" s="97" t="s">
        <v>870</v>
      </c>
      <c r="H31" s="96">
        <v>2.606101283941E12</v>
      </c>
      <c r="I31" s="99">
        <v>72852.0</v>
      </c>
      <c r="J31" s="99"/>
      <c r="K31" s="99">
        <f t="shared" si="5"/>
        <v>15814.12</v>
      </c>
      <c r="L31" s="62" t="s">
        <v>45</v>
      </c>
      <c r="M31" s="62" t="s">
        <v>634</v>
      </c>
      <c r="N31" s="36"/>
      <c r="O31" s="63" t="s">
        <v>60</v>
      </c>
      <c r="P31" s="30" t="s">
        <v>43</v>
      </c>
      <c r="Q31" s="63" t="s">
        <v>44</v>
      </c>
      <c r="R31" s="124"/>
      <c r="S31" s="124"/>
      <c r="T31" s="124"/>
      <c r="U31" s="30" t="s">
        <v>637</v>
      </c>
      <c r="V31" s="30"/>
      <c r="W31" s="30" t="str">
        <f>IFERROR(__xludf.DUMMYFUNCTION("LET(ref,IF(ISBLANK(H31),""N/A"",H31),apt,IF(ISBLANK(T31),"""","" | Apt#: ""&amp;T31),payee,TRIM(IFERROR(REGEXEXTRACT(SUBSTITUTE(G31,CHAR(10),"" ""),""(?i)(?:NEFT|RTGS)\s+[A-Z0-9]+\s+(.+?)\s+[A-Z]{4}0[A-Z0-9]{6}""),IFERROR(REGEXEXTRACT(SUBSTITUTE(G31,CHAR(10),"&amp;""" ""),""(?i)TO\s+(?:[0-9]+\s+TRANSFER TO\s+[0-9]+\s+TO\s+)?(.+)$""),G31))),int_acc,IFERROR(REGEXEXTRACT(G31,""(?i)(\d{4})[\s/]*DWARKADHIS""),""""),to_target,IF(I31&gt;0,IF(int_acc&lt;&gt;"""",""To: x""&amp;int_acc,""To: Internal""),""To: BOM 675""),IF(ISBLANK(U31),"""&amp;"Remarks Compulsory For Narration"",TRIM(IF(M31=""Internal"",IF(ISNUMBER(SEARCH(""DWARKADHIS"",G31)),""Internal Fund Transfer | ""&amp;to_target&amp;"" | Ref: ""&amp;ref&amp;"" | Type: ""&amp;P31&amp;"" | BU: ""&amp;L31&amp;"" | Head: ""&amp;M31,""Internal Transfer | Ref: ""&amp;ref&amp;"" | Type: "&amp;"""&amp;P31&amp;"" | BU: ""&amp;L31&amp;"" | Head: ""&amp;M31),IF(N(J31)&gt;0,IF(P31=""Customer Collection"",""Receipt Credit (Collection) ""&amp;apt&amp;"" | Ref: ""&amp;ref&amp;"" | From: ""&amp;IF(ISNUMBER(SEARCH(""SOHNA ROAD"",G31)),""Sohna Road"",""Party"")&amp;"" | BU: ""&amp;L31,""Receipt Credit fro"&amp;"m x""&amp;RIGHT(IFERROR(MID(G31,FIND(""-"",SUBSTITUTE(G31,""-"",""-"",3))+1,LEN(G31)),""0000""),4)&amp;"" (Purpose: ""&amp;IF(OR(ISBLANK(U31),U31=""N/A""),L31,U31)&amp;"") ""&amp;apt&amp;"" | Ref: ""&amp;ref&amp;"" | BU: ""&amp;L31&amp;"" | Head: ""&amp;M31),""Payment Disbursement (Purpose: ""&amp;IF(I"&amp;"SNUMBER(SEARCH(""salary"",M31)),""Salary"",U31)&amp;"") | To: ""&amp;payee&amp;"" | Ref: ""&amp;ref&amp;"" | BU: ""&amp;L31&amp;"" | Head: ""&amp;M31&amp;apt)))))"),"Payment Disbursement (Purpose: EPF) | To: EMPLOYEES PROVIDENT FUND ORGANISATION | Ref: 2606101283941 | BU: Casa Romana | Head: EPF/ESI")</f>
        <v>Payment Disbursement (Purpose: EPF) | To: EMPLOYEES PROVIDENT FUND ORGANISATION | Ref: 2606101283941 | BU: Casa Romana | Head: EPF/ESI</v>
      </c>
    </row>
    <row r="32" ht="15.75" customHeight="1">
      <c r="A32" s="36">
        <v>30.0</v>
      </c>
      <c r="B32" s="56" t="str">
        <f t="shared" si="4"/>
        <v>#NAME?</v>
      </c>
      <c r="C32" s="94">
        <f t="shared" si="2"/>
        <v>6</v>
      </c>
      <c r="D32" s="122">
        <v>46185.0</v>
      </c>
      <c r="E32" s="122">
        <f t="shared" si="3"/>
        <v>46185</v>
      </c>
      <c r="F32" s="96" t="s">
        <v>591</v>
      </c>
      <c r="G32" s="97" t="s">
        <v>876</v>
      </c>
      <c r="H32" s="96" t="s">
        <v>877</v>
      </c>
      <c r="I32" s="125">
        <v>289.0</v>
      </c>
      <c r="J32" s="99"/>
      <c r="K32" s="99">
        <f t="shared" si="5"/>
        <v>15525.12</v>
      </c>
      <c r="L32" s="62" t="s">
        <v>45</v>
      </c>
      <c r="M32" s="62" t="s">
        <v>634</v>
      </c>
      <c r="N32" s="36"/>
      <c r="O32" s="63" t="s">
        <v>60</v>
      </c>
      <c r="P32" s="30" t="s">
        <v>43</v>
      </c>
      <c r="Q32" s="63" t="s">
        <v>44</v>
      </c>
      <c r="R32" s="124"/>
      <c r="S32" s="124"/>
      <c r="T32" s="124"/>
      <c r="U32" s="30" t="s">
        <v>880</v>
      </c>
      <c r="V32" s="30"/>
      <c r="W32" s="30" t="str">
        <f>IFERROR(__xludf.DUMMYFUNCTION("LET(ref,IF(ISBLANK(H32),""N/A"",H32),apt,IF(ISBLANK(T32),"""","" | Apt#: ""&amp;T32),payee,TRIM(IFERROR(REGEXEXTRACT(SUBSTITUTE(G32,CHAR(10),"" ""),""(?i)(?:NEFT|RTGS)\s+[A-Z0-9]+\s+(.+?)\s+[A-Z]{4}0[A-Z0-9]{6}""),IFERROR(REGEXEXTRACT(SUBSTITUTE(G32,CHAR(10),"&amp;""" ""),""(?i)TO\s+(?:[0-9]+\s+TRANSFER TO\s+[0-9]+\s+TO\s+)?(.+)$""),G32))),int_acc,IFERROR(REGEXEXTRACT(G32,""(?i)(\d{4})[\s/]*DWARKADHIS""),""""),to_target,IF(I32&gt;0,IF(int_acc&lt;&gt;"""",""To: x""&amp;int_acc,""To: Internal""),""To: BOM 675""),IF(ISBLANK(U32),"""&amp;"Remarks Compulsory For Narration"",TRIM(IF(M32=""Internal"",IF(ISNUMBER(SEARCH(""DWARKADHIS"",G32)),""Internal Fund Transfer | ""&amp;to_target&amp;"" | Ref: ""&amp;ref&amp;"" | Type: ""&amp;P32&amp;"" | BU: ""&amp;L32&amp;"" | Head: ""&amp;M32,""Internal Transfer | Ref: ""&amp;ref&amp;"" | Type: "&amp;"""&amp;P32&amp;"" | BU: ""&amp;L32&amp;"" | Head: ""&amp;M32),IF(N(J32)&gt;0,IF(P32=""Customer Collection"",""Receipt Credit (Collection) ""&amp;apt&amp;"" | Ref: ""&amp;ref&amp;"" | From: ""&amp;IF(ISNUMBER(SEARCH(""SOHNA ROAD"",G32)),""Sohna Road"",""Party"")&amp;"" | BU: ""&amp;L32,""Receipt Credit fro"&amp;"m x""&amp;RIGHT(IFERROR(MID(G32,FIND(""-"",SUBSTITUTE(G32,""-"",""-"",3))+1,LEN(G32)),""0000""),4)&amp;"" (Purpose: ""&amp;IF(OR(ISBLANK(U32),U32=""N/A""),L32,U32)&amp;"") ""&amp;apt&amp;"" | Ref: ""&amp;ref&amp;"" | BU: ""&amp;L32&amp;"" | Head: ""&amp;M32),""Payment Disbursement (Purpose: ""&amp;IF(I"&amp;"SNUMBER(SEARCH(""salary"",M32)),""Salary"",U32)&amp;"") | To: ""&amp;payee&amp;"" | Ref: ""&amp;ref&amp;"" | BU: ""&amp;L32&amp;"" | Head: ""&amp;M32&amp;apt)))))"),"Payment Disbursement (Purpose: ESI) | To: BILLDESK | Ref: ONLINE | BU: Casa Romana | Head: EPF/ESI")</f>
        <v>Payment Disbursement (Purpose: ESI) | To: BILLDESK | Ref: ONLINE | BU: Casa Romana | Head: EPF/ESI</v>
      </c>
    </row>
    <row r="33" ht="15.75" customHeight="1">
      <c r="A33" s="36">
        <v>31.0</v>
      </c>
      <c r="B33" s="56" t="str">
        <f t="shared" si="4"/>
        <v>#NAME?</v>
      </c>
      <c r="C33" s="94">
        <f t="shared" si="2"/>
        <v>6</v>
      </c>
      <c r="D33" s="122">
        <v>46188.0</v>
      </c>
      <c r="E33" s="122">
        <f t="shared" si="3"/>
        <v>46188</v>
      </c>
      <c r="F33" s="96" t="s">
        <v>591</v>
      </c>
      <c r="G33" s="97" t="s">
        <v>882</v>
      </c>
      <c r="H33" s="96" t="s">
        <v>877</v>
      </c>
      <c r="I33" s="125">
        <v>6148.0</v>
      </c>
      <c r="J33" s="99"/>
      <c r="K33" s="99">
        <f t="shared" si="5"/>
        <v>9377.12</v>
      </c>
      <c r="L33" s="62" t="s">
        <v>45</v>
      </c>
      <c r="M33" s="62" t="s">
        <v>634</v>
      </c>
      <c r="N33" s="36"/>
      <c r="O33" s="63" t="s">
        <v>60</v>
      </c>
      <c r="P33" s="30" t="s">
        <v>43</v>
      </c>
      <c r="Q33" s="63" t="s">
        <v>44</v>
      </c>
      <c r="R33" s="124"/>
      <c r="S33" s="124"/>
      <c r="T33" s="124"/>
      <c r="U33" s="30" t="s">
        <v>637</v>
      </c>
      <c r="V33" s="30"/>
      <c r="W33" s="30" t="str">
        <f>IFERROR(__xludf.DUMMYFUNCTION("LET(ref,IF(ISBLANK(H33),""N/A"",H33),apt,IF(ISBLANK(T33),"""","" | Apt#: ""&amp;T33),payee,TRIM(IFERROR(REGEXEXTRACT(SUBSTITUTE(G33,CHAR(10),"" ""),""(?i)(?:NEFT|RTGS)\s+[A-Z0-9]+\s+(.+?)\s+[A-Z]{4}0[A-Z0-9]{6}""),IFERROR(REGEXEXTRACT(SUBSTITUTE(G33,CHAR(10),"&amp;""" ""),""(?i)TO\s+(?:[0-9]+\s+TRANSFER TO\s+[0-9]+\s+TO\s+)?(.+)$""),G33))),int_acc,IFERROR(REGEXEXTRACT(G33,""(?i)(\d{4})[\s/]*DWARKADHIS""),""""),to_target,IF(I33&gt;0,IF(int_acc&lt;&gt;"""",""To: x""&amp;int_acc,""To: Internal""),""To: BOM 675""),IF(ISBLANK(U33),"""&amp;"Remarks Compulsory For Narration"",TRIM(IF(M33=""Internal"",IF(ISNUMBER(SEARCH(""DWARKADHIS"",G33)),""Internal Fund Transfer | ""&amp;to_target&amp;"" | Ref: ""&amp;ref&amp;"" | Type: ""&amp;P33&amp;"" | BU: ""&amp;L33&amp;"" | Head: ""&amp;M33,""Internal Transfer | Ref: ""&amp;ref&amp;"" | Type: "&amp;"""&amp;P33&amp;"" | BU: ""&amp;L33&amp;"" | Head: ""&amp;M33),IF(N(J33)&gt;0,IF(P33=""Customer Collection"",""Receipt Credit (Collection) ""&amp;apt&amp;"" | Ref: ""&amp;ref&amp;"" | From: ""&amp;IF(ISNUMBER(SEARCH(""SOHNA ROAD"",G33)),""Sohna Road"",""Party"")&amp;"" | BU: ""&amp;L33,""Receipt Credit fro"&amp;"m x""&amp;RIGHT(IFERROR(MID(G33,FIND(""-"",SUBSTITUTE(G33,""-"",""-"",3))+1,LEN(G33)),""0000""),4)&amp;"" (Purpose: ""&amp;IF(OR(ISBLANK(U33),U33=""N/A""),L33,U33)&amp;"") ""&amp;apt&amp;"" | Ref: ""&amp;ref&amp;"" | BU: ""&amp;L33&amp;"" | Head: ""&amp;M33),""Payment Disbursement (Purpose: ""&amp;IF(I"&amp;"SNUMBER(SEARCH(""salary"",M33)),""Salary"",U33)&amp;"") | To: ""&amp;payee&amp;"" | Ref: ""&amp;ref&amp;"" | BU: ""&amp;L33&amp;"" | Head: ""&amp;M33&amp;apt)))))"),"Payment Disbursement (Purpose: EPF) | To: BILLDESK | Ref: ONLINE | BU: Casa Romana | Head: EPF/ESI")</f>
        <v>Payment Disbursement (Purpose: EPF) | To: BILLDESK | Ref: ONLINE | BU: Casa Romana | Head: EPF/ESI</v>
      </c>
    </row>
    <row r="34" ht="15.75" customHeight="1">
      <c r="A34" s="36">
        <v>32.0</v>
      </c>
      <c r="B34" s="56" t="str">
        <f t="shared" si="4"/>
        <v>#NAME?</v>
      </c>
      <c r="C34" s="94">
        <f t="shared" si="2"/>
        <v>6</v>
      </c>
      <c r="D34" s="122">
        <v>46191.0</v>
      </c>
      <c r="E34" s="122">
        <f t="shared" si="3"/>
        <v>46191</v>
      </c>
      <c r="F34" s="96" t="s">
        <v>591</v>
      </c>
      <c r="G34" s="97" t="s">
        <v>888</v>
      </c>
      <c r="H34" s="96"/>
      <c r="I34" s="99"/>
      <c r="J34" s="99">
        <v>226721.0</v>
      </c>
      <c r="K34" s="99">
        <f t="shared" si="5"/>
        <v>236098.12</v>
      </c>
      <c r="L34" s="62" t="s">
        <v>45</v>
      </c>
      <c r="M34" s="62" t="s">
        <v>47</v>
      </c>
      <c r="N34" s="36"/>
      <c r="O34" s="63" t="s">
        <v>60</v>
      </c>
      <c r="P34" s="30" t="s">
        <v>74</v>
      </c>
      <c r="Q34" s="63" t="s">
        <v>50</v>
      </c>
      <c r="R34" s="124"/>
      <c r="S34" s="124"/>
      <c r="T34" s="124"/>
      <c r="U34" s="30" t="s">
        <v>75</v>
      </c>
      <c r="V34" s="30"/>
      <c r="W34" s="30" t="str">
        <f>IFERROR(__xludf.DUMMYFUNCTION("LET(ref,IF(ISBLANK(H34),""N/A"",H34),apt,IF(ISBLANK(T34),"""","" | Apt#: ""&amp;T34),payee,TRIM(IFERROR(REGEXEXTRACT(SUBSTITUTE(G34,CHAR(10),"" ""),""(?i)(?:NEFT|RTGS)\s+[A-Z0-9]+\s+(.+?)\s+[A-Z]{4}0[A-Z0-9]{6}""),IFERROR(REGEXEXTRACT(SUBSTITUTE(G34,CHAR(10),"&amp;""" ""),""(?i)TO\s+(?:[0-9]+\s+TRANSFER TO\s+[0-9]+\s+TO\s+)?(.+)$""),G34))),int_acc,IFERROR(REGEXEXTRACT(G34,""(?i)(\d{4})[\s/]*DWARKADHIS""),""""),to_target,IF(I34&gt;0,IF(int_acc&lt;&gt;"""",""To: x""&amp;int_acc,""To: Internal""),""To: BOM 675""),IF(ISBLANK(U34),"""&amp;"Remarks Compulsory For Narration"",TRIM(IF(M34=""Internal"",IF(ISNUMBER(SEARCH(""DWARKADHIS"",G34)),""Internal Fund Transfer | ""&amp;to_target&amp;"" | Ref: ""&amp;ref&amp;"" | Type: ""&amp;P34&amp;"" | BU: ""&amp;L34&amp;"" | Head: ""&amp;M34,""Internal Transfer | Ref: ""&amp;ref&amp;"" | Type: "&amp;"""&amp;P34&amp;"" | BU: ""&amp;L34&amp;"" | Head: ""&amp;M34),IF(N(J34)&gt;0,IF(P34=""Customer Collection"",""Receipt Credit (Collection) ""&amp;apt&amp;"" | Ref: ""&amp;ref&amp;"" | From: ""&amp;IF(ISNUMBER(SEARCH(""SOHNA ROAD"",G34)),""Sohna Road"",""Party"")&amp;"" | BU: ""&amp;L34,""Receipt Credit fro"&amp;"m x""&amp;RIGHT(IFERROR(MID(G34,FIND(""-"",SUBSTITUTE(G34,""-"",""-"",3))+1,LEN(G34)),""0000""),4)&amp;"" (Purpose: ""&amp;IF(OR(ISBLANK(U34),U34=""N/A""),L34,U34)&amp;"") ""&amp;apt&amp;"" | Ref: ""&amp;ref&amp;"" | BU: ""&amp;L34&amp;"" | Head: ""&amp;M34),""Payment Disbursement (Purpose: ""&amp;IF(I"&amp;"SNUMBER(SEARCH(""salary"",M34)),""Salary"",U34)&amp;"") | To: ""&amp;payee&amp;"" | Ref: ""&amp;ref&amp;"" | BU: ""&amp;L34&amp;"" | Head: ""&amp;M34&amp;apt)))))"),"Internal Fund Transfer | To: BOM 675 | Ref: N/A | Type: Free &amp; IDW Loan | BU: Casa Romana | Head: Internal")</f>
        <v>Internal Fund Transfer | To: BOM 675 | Ref: N/A | Type: Free &amp; IDW Loan | BU: Casa Romana | Head: Internal</v>
      </c>
    </row>
    <row r="35" ht="15.75" customHeight="1">
      <c r="A35" s="36">
        <v>33.0</v>
      </c>
      <c r="B35" s="56" t="str">
        <f t="shared" si="4"/>
        <v>#NAME?</v>
      </c>
      <c r="C35" s="94">
        <f t="shared" si="2"/>
        <v>6</v>
      </c>
      <c r="D35" s="122">
        <v>46191.0</v>
      </c>
      <c r="E35" s="122">
        <f t="shared" si="3"/>
        <v>46191</v>
      </c>
      <c r="F35" s="96" t="s">
        <v>591</v>
      </c>
      <c r="G35" s="97" t="s">
        <v>894</v>
      </c>
      <c r="H35" s="96"/>
      <c r="I35" s="99">
        <v>226721.0</v>
      </c>
      <c r="J35" s="99"/>
      <c r="K35" s="99">
        <f t="shared" si="5"/>
        <v>9377.12</v>
      </c>
      <c r="L35" s="62" t="s">
        <v>45</v>
      </c>
      <c r="M35" s="62" t="s">
        <v>726</v>
      </c>
      <c r="N35" s="36"/>
      <c r="O35" s="63" t="s">
        <v>60</v>
      </c>
      <c r="P35" s="30" t="s">
        <v>57</v>
      </c>
      <c r="Q35" s="63" t="s">
        <v>58</v>
      </c>
      <c r="R35" s="124"/>
      <c r="S35" s="124"/>
      <c r="T35" s="124"/>
      <c r="U35" s="30" t="s">
        <v>75</v>
      </c>
      <c r="V35" s="30"/>
      <c r="W35" s="30" t="str">
        <f>IFERROR(__xludf.DUMMYFUNCTION("LET(ref,IF(ISBLANK(H35),""N/A"",H35),apt,IF(ISBLANK(T35),"""","" | Apt#: ""&amp;T35),payee,TRIM(IFERROR(REGEXEXTRACT(SUBSTITUTE(G35,CHAR(10),"" ""),""(?i)(?:NEFT|RTGS)\s+[A-Z0-9]+\s+(.+?)\s+[A-Z]{4}0[A-Z0-9]{6}""),IFERROR(REGEXEXTRACT(SUBSTITUTE(G35,CHAR(10),"&amp;""" ""),""(?i)TO\s+(?:[0-9]+\s+TRANSFER TO\s+[0-9]+\s+TO\s+)?(.+)$""),G35))),int_acc,IFERROR(REGEXEXTRACT(G35,""(?i)(\d{4})[\s/]*DWARKADHIS""),""""),to_target,IF(I35&gt;0,IF(int_acc&lt;&gt;"""",""To: x""&amp;int_acc,""To: Internal""),""To: BOM 675""),IF(ISBLANK(U35),"""&amp;"Remarks Compulsory For Narration"",TRIM(IF(M35=""Internal"",IF(ISNUMBER(SEARCH(""DWARKADHIS"",G35)),""Internal Fund Transfer | ""&amp;to_target&amp;"" | Ref: ""&amp;ref&amp;"" | Type: ""&amp;P35&amp;"" | BU: ""&amp;L35&amp;"" | Head: ""&amp;M35,""Internal Transfer | Ref: ""&amp;ref&amp;"" | Type: "&amp;"""&amp;P35&amp;"" | BU: ""&amp;L35&amp;"" | Head: ""&amp;M35),IF(N(J35)&gt;0,IF(P35=""Customer Collection"",""Receipt Credit (Collection) ""&amp;apt&amp;"" | Ref: ""&amp;ref&amp;"" | From: ""&amp;IF(ISNUMBER(SEARCH(""SOHNA ROAD"",G35)),""Sohna Road"",""Party"")&amp;"" | BU: ""&amp;L35,""Receipt Credit fro"&amp;"m x""&amp;RIGHT(IFERROR(MID(G35,FIND(""-"",SUBSTITUTE(G35,""-"",""-"",3))+1,LEN(G35)),""0000""),4)&amp;"" (Purpose: ""&amp;IF(OR(ISBLANK(U35),U35=""N/A""),L35,U35)&amp;"") ""&amp;apt&amp;"" | Ref: ""&amp;ref&amp;"" | BU: ""&amp;L35&amp;"" | Head: ""&amp;M35),""Payment Disbursement (Purpose: ""&amp;IF(I"&amp;"SNUMBER(SEARCH(""salary"",M35)),""Salary"",U35)&amp;"") | To: ""&amp;payee&amp;"" | Ref: ""&amp;ref&amp;"" | BU: ""&amp;L35&amp;"" | Head: ""&amp;M35&amp;apt)))))"),"Payment Disbursement (Purpose: N/A) | To: BILLDESK | Ref: N/A | BU: Casa Romana | Head: Electricity")</f>
        <v>Payment Disbursement (Purpose: N/A) | To: BILLDESK | Ref: N/A | BU: Casa Romana | Head: Electricity</v>
      </c>
    </row>
    <row r="36" ht="15.75" customHeight="1">
      <c r="A36" s="36">
        <v>34.0</v>
      </c>
      <c r="B36" s="56" t="str">
        <f t="shared" si="4"/>
        <v>#NAME?</v>
      </c>
      <c r="C36" s="94">
        <f t="shared" si="2"/>
        <v>6</v>
      </c>
      <c r="D36" s="122">
        <v>46193.0</v>
      </c>
      <c r="E36" s="122">
        <f t="shared" si="3"/>
        <v>46193</v>
      </c>
      <c r="F36" s="96" t="s">
        <v>591</v>
      </c>
      <c r="G36" s="97" t="s">
        <v>897</v>
      </c>
      <c r="H36" s="96"/>
      <c r="I36" s="99"/>
      <c r="J36" s="99">
        <v>30000.0</v>
      </c>
      <c r="K36" s="125">
        <f t="shared" si="5"/>
        <v>39377.12</v>
      </c>
      <c r="L36" s="62" t="s">
        <v>41</v>
      </c>
      <c r="M36" s="62" t="s">
        <v>47</v>
      </c>
      <c r="N36" s="36"/>
      <c r="O36" s="63" t="s">
        <v>60</v>
      </c>
      <c r="P36" s="30" t="s">
        <v>47</v>
      </c>
      <c r="Q36" s="63" t="s">
        <v>50</v>
      </c>
      <c r="R36" s="124"/>
      <c r="S36" s="124"/>
      <c r="T36" s="124"/>
      <c r="U36" s="30" t="s">
        <v>75</v>
      </c>
      <c r="V36" s="30"/>
      <c r="W36" s="30" t="str">
        <f>IFERROR(__xludf.DUMMYFUNCTION("LET(ref,IF(ISBLANK(H36),""N/A"",H36),apt,IF(ISBLANK(T36),"""","" | Apt#: ""&amp;T36),payee,TRIM(IFERROR(REGEXEXTRACT(SUBSTITUTE(G36,CHAR(10),"" ""),""(?i)(?:NEFT|RTGS)\s+[A-Z0-9]+\s+(.+?)\s+[A-Z]{4}0[A-Z0-9]{6}""),IFERROR(REGEXEXTRACT(SUBSTITUTE(G36,CHAR(10),"&amp;""" ""),""(?i)TO\s+(?:[0-9]+\s+TRANSFER TO\s+[0-9]+\s+TO\s+)?(.+)$""),G36))),int_acc,IFERROR(REGEXEXTRACT(G36,""(?i)(\d{4})[\s/]*DWARKADHIS""),""""),to_target,IF(I36&gt;0,IF(int_acc&lt;&gt;"""",""To: x""&amp;int_acc,""To: Internal""),""To: BOM 675""),IF(ISBLANK(U36),"""&amp;"Remarks Compulsory For Narration"",TRIM(IF(M36=""Internal"",IF(ISNUMBER(SEARCH(""DWARKADHIS"",G36)),""Internal Fund Transfer | ""&amp;to_target&amp;"" | Ref: ""&amp;ref&amp;"" | Type: ""&amp;P36&amp;"" | BU: ""&amp;L36&amp;"" | Head: ""&amp;M36,""Internal Transfer | Ref: ""&amp;ref&amp;"" | Type: "&amp;"""&amp;P36&amp;"" | BU: ""&amp;L36&amp;"" | Head: ""&amp;M36),IF(N(J36)&gt;0,IF(P36=""Customer Collection"",""Receipt Credit (Collection) ""&amp;apt&amp;"" | Ref: ""&amp;ref&amp;"" | From: ""&amp;IF(ISNUMBER(SEARCH(""SOHNA ROAD"",G36)),""Sohna Road"",""Party"")&amp;"" | BU: ""&amp;L36,""Receipt Credit fro"&amp;"m x""&amp;RIGHT(IFERROR(MID(G36,FIND(""-"",SUBSTITUTE(G36,""-"",""-"",3))+1,LEN(G36)),""0000""),4)&amp;"" (Purpose: ""&amp;IF(OR(ISBLANK(U36),U36=""N/A""),L36,U36)&amp;"") ""&amp;apt&amp;"" | Ref: ""&amp;ref&amp;"" | BU: ""&amp;L36&amp;"" | Head: ""&amp;M36),""Payment Disbursement (Purpose: ""&amp;IF(I"&amp;"SNUMBER(SEARCH(""salary"",M36)),""Salary"",U36)&amp;"") | To: ""&amp;payee&amp;"" | Ref: ""&amp;ref&amp;"" | BU: ""&amp;L36&amp;"" | Head: ""&amp;M36&amp;apt)))))"),"Internal Fund Transfer | To: BOM 675 | Ref: N/A | Type: Internal | BU: HO | Head: Internal")</f>
        <v>Internal Fund Transfer | To: BOM 675 | Ref: N/A | Type: Internal | BU: HO | Head: Internal</v>
      </c>
    </row>
    <row r="37" ht="15.75" customHeight="1">
      <c r="A37" s="36">
        <v>35.0</v>
      </c>
      <c r="B37" s="56" t="str">
        <f t="shared" si="4"/>
        <v>#NAME?</v>
      </c>
      <c r="C37" s="94">
        <f t="shared" si="2"/>
        <v>6</v>
      </c>
      <c r="D37" s="122">
        <v>46193.0</v>
      </c>
      <c r="E37" s="122">
        <f t="shared" si="3"/>
        <v>46193</v>
      </c>
      <c r="F37" s="96" t="s">
        <v>591</v>
      </c>
      <c r="G37" s="97" t="s">
        <v>904</v>
      </c>
      <c r="H37" s="96">
        <v>2.6060600213942E13</v>
      </c>
      <c r="I37" s="99">
        <v>31860.0</v>
      </c>
      <c r="J37" s="99"/>
      <c r="K37" s="125">
        <f t="shared" si="5"/>
        <v>7517.12</v>
      </c>
      <c r="L37" s="62" t="s">
        <v>41</v>
      </c>
      <c r="M37" s="62" t="s">
        <v>718</v>
      </c>
      <c r="N37" s="36"/>
      <c r="O37" s="63" t="s">
        <v>60</v>
      </c>
      <c r="P37" s="30" t="s">
        <v>43</v>
      </c>
      <c r="Q37" s="63" t="s">
        <v>44</v>
      </c>
      <c r="R37" s="124"/>
      <c r="S37" s="124"/>
      <c r="T37" s="124"/>
      <c r="U37" s="30" t="s">
        <v>906</v>
      </c>
      <c r="V37" s="30"/>
      <c r="W37" s="30" t="str">
        <f>IFERROR(__xludf.DUMMYFUNCTION("LET(ref,IF(ISBLANK(H37),""N/A"",H37),apt,IF(ISBLANK(T37),"""","" | Apt#: ""&amp;T37),payee,TRIM(IFERROR(REGEXEXTRACT(SUBSTITUTE(G37,CHAR(10),"" ""),""(?i)(?:NEFT|RTGS)\s+[A-Z0-9]+\s+(.+?)\s+[A-Z]{4}0[A-Z0-9]{6}""),IFERROR(REGEXEXTRACT(SUBSTITUTE(G37,CHAR(10),"&amp;""" ""),""(?i)TO\s+(?:[0-9]+\s+TRANSFER TO\s+[0-9]+\s+TO\s+)?(.+)$""),G37))),int_acc,IFERROR(REGEXEXTRACT(G37,""(?i)(\d{4})[\s/]*DWARKADHIS""),""""),to_target,IF(I37&gt;0,IF(int_acc&lt;&gt;"""",""To: x""&amp;int_acc,""To: Internal""),""To: BOM 675""),IF(ISBLANK(U37),"""&amp;"Remarks Compulsory For Narration"",TRIM(IF(M37=""Internal"",IF(ISNUMBER(SEARCH(""DWARKADHIS"",G37)),""Internal Fund Transfer | ""&amp;to_target&amp;"" | Ref: ""&amp;ref&amp;"" | Type: ""&amp;P37&amp;"" | BU: ""&amp;L37&amp;"" | Head: ""&amp;M37,""Internal Transfer | Ref: ""&amp;ref&amp;"" | Type: "&amp;"""&amp;P37&amp;"" | BU: ""&amp;L37&amp;"" | Head: ""&amp;M37),IF(N(J37)&gt;0,IF(P37=""Customer Collection"",""Receipt Credit (Collection) ""&amp;apt&amp;"" | Ref: ""&amp;ref&amp;"" | From: ""&amp;IF(ISNUMBER(SEARCH(""SOHNA ROAD"",G37)),""Sohna Road"",""Party"")&amp;"" | BU: ""&amp;L37,""Receipt Credit fro"&amp;"m x""&amp;RIGHT(IFERROR(MID(G37,FIND(""-"",SUBSTITUTE(G37,""-"",""-"",3))+1,LEN(G37)),""0000""),4)&amp;"" (Purpose: ""&amp;IF(OR(ISBLANK(U37),U37=""N/A""),L37,U37)&amp;"") ""&amp;apt&amp;"" | Ref: ""&amp;ref&amp;"" | BU: ""&amp;L37&amp;"" | Head: ""&amp;M37),""Payment Disbursement (Purpose: ""&amp;IF(I"&amp;"SNUMBER(SEARCH(""salary"",M37)),""Salary"",U37)&amp;"") | To: ""&amp;payee&amp;"" | Ref: ""&amp;ref&amp;"" | BU: ""&amp;L37&amp;"" | Head: ""&amp;M37&amp;apt)))))"),"Payment Disbursement (Purpose: GST Month of May 26) | To: BANK OF MAHARASHTRA GST POOL ACCOUNT | Ref: 26060600213942 | BU: HO | Head: Tax")</f>
        <v>Payment Disbursement (Purpose: GST Month of May 26) | To: BANK OF MAHARASHTRA GST POOL ACCOUNT | Ref: 26060600213942 | BU: HO | Head: Tax</v>
      </c>
    </row>
    <row r="38" ht="15.75" customHeight="1">
      <c r="A38" s="36">
        <v>36.0</v>
      </c>
      <c r="B38" s="56" t="str">
        <f t="shared" si="4"/>
        <v>#NAME?</v>
      </c>
      <c r="C38" s="94">
        <f t="shared" si="2"/>
        <v>7</v>
      </c>
      <c r="D38" s="122">
        <v>46209.0</v>
      </c>
      <c r="E38" s="122">
        <v>46209.0</v>
      </c>
      <c r="F38" s="96" t="s">
        <v>583</v>
      </c>
      <c r="G38" s="97" t="s">
        <v>910</v>
      </c>
      <c r="H38" s="96">
        <v>6.18748887784E11</v>
      </c>
      <c r="I38" s="99"/>
      <c r="J38" s="99">
        <v>1000.0</v>
      </c>
      <c r="K38" s="125">
        <f t="shared" si="5"/>
        <v>8517.12</v>
      </c>
      <c r="L38" s="62" t="s">
        <v>211</v>
      </c>
      <c r="M38" s="62" t="s">
        <v>47</v>
      </c>
      <c r="N38" s="36"/>
      <c r="O38" s="36" t="s">
        <v>60</v>
      </c>
      <c r="P38" s="30" t="s">
        <v>47</v>
      </c>
      <c r="Q38" s="63" t="s">
        <v>50</v>
      </c>
      <c r="R38" s="124"/>
      <c r="S38" s="124"/>
      <c r="T38" s="124"/>
      <c r="U38" s="30" t="s">
        <v>75</v>
      </c>
      <c r="V38" s="30"/>
      <c r="W38" s="30" t="str">
        <f>IFERROR(__xludf.DUMMYFUNCTION("LET(ref,IF(ISBLANK(H38),""N/A"",H38),apt,IF(ISBLANK(T38),"""","" | Apt#: ""&amp;T38),payee,TRIM(IFERROR(REGEXEXTRACT(SUBSTITUTE(G38,CHAR(10),"" ""),""(?i)(?:NEFT|RTGS)\s+[A-Z0-9]+\s+(.+?)\s+[A-Z]{4}0[A-Z0-9]{6}""),IFERROR(REGEXEXTRACT(SUBSTITUTE(G38,CHAR(10),"&amp;""" ""),""(?i)TO\s+(?:[0-9]+\s+TRANSFER TO\s+[0-9]+\s+TO\s+)?(.+)$""),G38))),int_acc,IFERROR(REGEXEXTRACT(G38,""(?i)(\d{4})[\s/]*DWARKADHIS""),""""),to_target,IF(I38&gt;0,IF(int_acc&lt;&gt;"""",""To: x""&amp;int_acc,""To: Internal""),""To: BOM 675""),IF(ISBLANK(U38),"""&amp;"Remarks Compulsory For Narration"",TRIM(IF(M38=""Internal"",IF(ISNUMBER(SEARCH(""DWARKADHIS"",G38)),""Internal Fund Transfer | ""&amp;to_target&amp;"" | Ref: ""&amp;ref&amp;"" | Type: ""&amp;P38&amp;"" | BU: ""&amp;L38&amp;"" | Head: ""&amp;M38,""Internal Transfer | Ref: ""&amp;ref&amp;"" | Type: "&amp;"""&amp;P38&amp;"" | BU: ""&amp;L38&amp;"" | Head: ""&amp;M38),IF(N(J38)&gt;0,IF(P38=""Customer Collection"",""Receipt Credit (Collection) ""&amp;apt&amp;"" | Ref: ""&amp;ref&amp;"" | From: ""&amp;IF(ISNUMBER(SEARCH(""SOHNA ROAD"",G38)),""Sohna Road"",""Party"")&amp;"" | BU: ""&amp;L38,""Receipt Credit fro"&amp;"m x""&amp;RIGHT(IFERROR(MID(G38,FIND(""-"",SUBSTITUTE(G38,""-"",""-"",3))+1,LEN(G38)),""0000""),4)&amp;"" (Purpose: ""&amp;IF(OR(ISBLANK(U38),U38=""N/A""),L38,U38)&amp;"") ""&amp;apt&amp;"" | Ref: ""&amp;ref&amp;"" | BU: ""&amp;L38&amp;"" | Head: ""&amp;M38),""Payment Disbursement (Purpose: ""&amp;IF(I"&amp;"SNUMBER(SEARCH(""salary"",M38)),""Salary"",U38)&amp;"") | To: ""&amp;payee&amp;"" | Ref: ""&amp;ref&amp;"" | BU: ""&amp;L38&amp;"" | Head: ""&amp;M38&amp;apt)))))"),"Internal Fund Transfer | To: BOM 675 | Ref: 618748887784 | Type: Internal | BU: Aravali Heights | Head: Internal")</f>
        <v>Internal Fund Transfer | To: BOM 675 | Ref: 618748887784 | Type: Internal | BU: Aravali Heights | Head: Internal</v>
      </c>
    </row>
    <row r="39" ht="15.75" customHeight="1">
      <c r="A39" s="36">
        <v>37.0</v>
      </c>
      <c r="B39" s="56" t="str">
        <f t="shared" si="4"/>
        <v>#NAME?</v>
      </c>
      <c r="C39" s="94">
        <f t="shared" si="2"/>
        <v>7</v>
      </c>
      <c r="D39" s="122">
        <v>46209.0</v>
      </c>
      <c r="E39" s="122">
        <v>46209.0</v>
      </c>
      <c r="F39" s="96" t="s">
        <v>591</v>
      </c>
      <c r="G39" s="97" t="s">
        <v>914</v>
      </c>
      <c r="H39" s="96"/>
      <c r="I39" s="99"/>
      <c r="J39" s="99">
        <v>25000.0</v>
      </c>
      <c r="K39" s="125">
        <f t="shared" si="5"/>
        <v>33517.12</v>
      </c>
      <c r="L39" s="62" t="s">
        <v>41</v>
      </c>
      <c r="M39" s="62" t="s">
        <v>47</v>
      </c>
      <c r="N39" s="36"/>
      <c r="O39" s="36" t="s">
        <v>60</v>
      </c>
      <c r="P39" s="30" t="s">
        <v>47</v>
      </c>
      <c r="Q39" s="63" t="s">
        <v>50</v>
      </c>
      <c r="R39" s="124"/>
      <c r="S39" s="124"/>
      <c r="T39" s="124"/>
      <c r="U39" s="30"/>
      <c r="V39" s="30"/>
      <c r="W39" s="30" t="str">
        <f>IFERROR(__xludf.DUMMYFUNCTION("LET(ref,IF(ISBLANK(H39),""N/A"",H39),apt,IF(ISBLANK(T39),"""","" | Apt#: ""&amp;T39),payee,TRIM(IFERROR(REGEXEXTRACT(SUBSTITUTE(G39,CHAR(10),"" ""),""(?i)(?:NEFT|RTGS)\s+[A-Z0-9]+\s+(.+?)\s+[A-Z]{4}0[A-Z0-9]{6}""),IFERROR(REGEXEXTRACT(SUBSTITUTE(G39,CHAR(10),"&amp;""" ""),""(?i)TO\s+(?:[0-9]+\s+TRANSFER TO\s+[0-9]+\s+TO\s+)?(.+)$""),G39))),int_acc,IFERROR(REGEXEXTRACT(G39,""(?i)(\d{4})[\s/]*DWARKADHIS""),""""),to_target,IF(I39&gt;0,IF(int_acc&lt;&gt;"""",""To: x""&amp;int_acc,""To: Internal""),""To: BOM 675""),IF(ISBLANK(U39),"""&amp;"Remarks Compulsory For Narration"",TRIM(IF(M39=""Internal"",IF(ISNUMBER(SEARCH(""DWARKADHIS"",G39)),""Internal Fund Transfer | ""&amp;to_target&amp;"" | Ref: ""&amp;ref&amp;"" | Type: ""&amp;P39&amp;"" | BU: ""&amp;L39&amp;"" | Head: ""&amp;M39,""Internal Transfer | Ref: ""&amp;ref&amp;"" | Type: "&amp;"""&amp;P39&amp;"" | BU: ""&amp;L39&amp;"" | Head: ""&amp;M39),IF(N(J39)&gt;0,IF(P39=""Customer Collection"",""Receipt Credit (Collection) ""&amp;apt&amp;"" | Ref: ""&amp;ref&amp;"" | From: ""&amp;IF(ISNUMBER(SEARCH(""SOHNA ROAD"",G39)),""Sohna Road"",""Party"")&amp;"" | BU: ""&amp;L39,""Receipt Credit fro"&amp;"m x""&amp;RIGHT(IFERROR(MID(G39,FIND(""-"",SUBSTITUTE(G39,""-"",""-"",3))+1,LEN(G39)),""0000""),4)&amp;"" (Purpose: ""&amp;IF(OR(ISBLANK(U39),U39=""N/A""),L39,U39)&amp;"") ""&amp;apt&amp;"" | Ref: ""&amp;ref&amp;"" | BU: ""&amp;L39&amp;"" | Head: ""&amp;M39),""Payment Disbursement (Purpose: ""&amp;IF(I"&amp;"SNUMBER(SEARCH(""salary"",M39)),""Salary"",U39)&amp;"") | To: ""&amp;payee&amp;"" | Ref: ""&amp;ref&amp;"" | BU: ""&amp;L39&amp;"" | Head: ""&amp;M39&amp;apt)))))"),"Remarks Compulsory For Narration")</f>
        <v>Remarks Compulsory For Narration</v>
      </c>
    </row>
    <row r="40" ht="15.75" customHeight="1">
      <c r="A40" s="36">
        <v>38.0</v>
      </c>
      <c r="B40" s="56" t="str">
        <f t="shared" si="4"/>
        <v>#NAME?</v>
      </c>
      <c r="C40" s="94">
        <f t="shared" si="2"/>
        <v>7</v>
      </c>
      <c r="D40" s="122">
        <v>46209.0</v>
      </c>
      <c r="E40" s="122">
        <v>46209.0</v>
      </c>
      <c r="F40" s="96" t="s">
        <v>591</v>
      </c>
      <c r="G40" s="97" t="s">
        <v>916</v>
      </c>
      <c r="H40" s="96"/>
      <c r="I40" s="99"/>
      <c r="J40" s="99">
        <v>20709.0</v>
      </c>
      <c r="K40" s="125">
        <f t="shared" si="5"/>
        <v>54226.12</v>
      </c>
      <c r="L40" s="62" t="s">
        <v>45</v>
      </c>
      <c r="M40" s="62" t="s">
        <v>47</v>
      </c>
      <c r="N40" s="36"/>
      <c r="O40" s="36" t="s">
        <v>60</v>
      </c>
      <c r="P40" s="30" t="s">
        <v>47</v>
      </c>
      <c r="Q40" s="63" t="s">
        <v>50</v>
      </c>
      <c r="R40" s="124"/>
      <c r="S40" s="124"/>
      <c r="T40" s="124"/>
      <c r="U40" s="30"/>
      <c r="V40" s="30"/>
      <c r="W40" s="30" t="str">
        <f>IFERROR(__xludf.DUMMYFUNCTION("LET(ref,IF(ISBLANK(H40),""N/A"",H40),apt,IF(ISBLANK(T40),"""","" | Apt#: ""&amp;T40),payee,TRIM(IFERROR(REGEXEXTRACT(SUBSTITUTE(G40,CHAR(10),"" ""),""(?i)(?:NEFT|RTGS)\s+[A-Z0-9]+\s+(.+?)\s+[A-Z]{4}0[A-Z0-9]{6}""),IFERROR(REGEXEXTRACT(SUBSTITUTE(G40,CHAR(10),"&amp;""" ""),""(?i)TO\s+(?:[0-9]+\s+TRANSFER TO\s+[0-9]+\s+TO\s+)?(.+)$""),G40))),int_acc,IFERROR(REGEXEXTRACT(G40,""(?i)(\d{4})[\s/]*DWARKADHIS""),""""),to_target,IF(I40&gt;0,IF(int_acc&lt;&gt;"""",""To: x""&amp;int_acc,""To: Internal""),""To: BOM 675""),IF(ISBLANK(U40),"""&amp;"Remarks Compulsory For Narration"",TRIM(IF(M40=""Internal"",IF(ISNUMBER(SEARCH(""DWARKADHIS"",G40)),""Internal Fund Transfer | ""&amp;to_target&amp;"" | Ref: ""&amp;ref&amp;"" | Type: ""&amp;P40&amp;"" | BU: ""&amp;L40&amp;"" | Head: ""&amp;M40,""Internal Transfer | Ref: ""&amp;ref&amp;"" | Type: "&amp;"""&amp;P40&amp;"" | BU: ""&amp;L40&amp;"" | Head: ""&amp;M40),IF(N(J40)&gt;0,IF(P40=""Customer Collection"",""Receipt Credit (Collection) ""&amp;apt&amp;"" | Ref: ""&amp;ref&amp;"" | From: ""&amp;IF(ISNUMBER(SEARCH(""SOHNA ROAD"",G40)),""Sohna Road"",""Party"")&amp;"" | BU: ""&amp;L40,""Receipt Credit fro"&amp;"m x""&amp;RIGHT(IFERROR(MID(G40,FIND(""-"",SUBSTITUTE(G40,""-"",""-"",3))+1,LEN(G40)),""0000""),4)&amp;"" (Purpose: ""&amp;IF(OR(ISBLANK(U40),U40=""N/A""),L40,U40)&amp;"") ""&amp;apt&amp;"" | Ref: ""&amp;ref&amp;"" | BU: ""&amp;L40&amp;"" | Head: ""&amp;M40),""Payment Disbursement (Purpose: ""&amp;IF(I"&amp;"SNUMBER(SEARCH(""salary"",M40)),""Salary"",U40)&amp;"") | To: ""&amp;payee&amp;"" | Ref: ""&amp;ref&amp;"" | BU: ""&amp;L40&amp;"" | Head: ""&amp;M40&amp;apt)))))"),"Remarks Compulsory For Narration")</f>
        <v>Remarks Compulsory For Narration</v>
      </c>
    </row>
    <row r="41" ht="15.75" customHeight="1">
      <c r="A41" s="36">
        <v>39.0</v>
      </c>
      <c r="B41" s="56" t="str">
        <f t="shared" si="4"/>
        <v>#NAME?</v>
      </c>
      <c r="C41" s="94">
        <f t="shared" si="2"/>
        <v>7</v>
      </c>
      <c r="D41" s="122">
        <v>46209.0</v>
      </c>
      <c r="E41" s="122">
        <v>46209.0</v>
      </c>
      <c r="F41" s="96" t="s">
        <v>591</v>
      </c>
      <c r="G41" s="97" t="s">
        <v>923</v>
      </c>
      <c r="H41" s="96"/>
      <c r="I41" s="125">
        <v>46709.0</v>
      </c>
      <c r="J41" s="99"/>
      <c r="K41" s="125">
        <f t="shared" si="5"/>
        <v>7517.12</v>
      </c>
      <c r="L41" s="62" t="s">
        <v>41</v>
      </c>
      <c r="M41" s="62" t="s">
        <v>718</v>
      </c>
      <c r="N41" s="36"/>
      <c r="O41" s="36" t="s">
        <v>60</v>
      </c>
      <c r="P41" s="30"/>
      <c r="Q41" s="63"/>
      <c r="R41" s="124"/>
      <c r="S41" s="124"/>
      <c r="T41" s="124"/>
      <c r="U41" s="30" t="s">
        <v>926</v>
      </c>
      <c r="V41" s="30"/>
      <c r="W41" s="30" t="str">
        <f>IFERROR(__xludf.DUMMYFUNCTION("LET(ref,IF(ISBLANK(H41),""N/A"",H41),apt,IF(ISBLANK(T41),"""","" | Apt#: ""&amp;T41),payee,TRIM(IFERROR(REGEXEXTRACT(SUBSTITUTE(G41,CHAR(10),"" ""),""(?i)(?:NEFT|RTGS)\s+[A-Z0-9]+\s+(.+?)\s+[A-Z]{4}0[A-Z0-9]{6}""),IFERROR(REGEXEXTRACT(SUBSTITUTE(G41,CHAR(10),"&amp;""" ""),""(?i)TO\s+(?:[0-9]+\s+TRANSFER TO\s+[0-9]+\s+TO\s+)?(.+)$""),G41))),int_acc,IFERROR(REGEXEXTRACT(G41,""(?i)(\d{4})[\s/]*DWARKADHIS""),""""),to_target,IF(I41&gt;0,IF(int_acc&lt;&gt;"""",""To: x""&amp;int_acc,""To: Internal""),""To: BOM 675""),IF(ISBLANK(U41),"""&amp;"Remarks Compulsory For Narration"",TRIM(IF(M41=""Internal"",IF(ISNUMBER(SEARCH(""DWARKADHIS"",G41)),""Internal Fund Transfer | ""&amp;to_target&amp;"" | Ref: ""&amp;ref&amp;"" | Type: ""&amp;P41&amp;"" | BU: ""&amp;L41&amp;"" | Head: ""&amp;M41,""Internal Transfer | Ref: ""&amp;ref&amp;"" | Type: "&amp;"""&amp;P41&amp;"" | BU: ""&amp;L41&amp;"" | Head: ""&amp;M41),IF(N(J41)&gt;0,IF(P41=""Customer Collection"",""Receipt Credit (Collection) ""&amp;apt&amp;"" | Ref: ""&amp;ref&amp;"" | From: ""&amp;IF(ISNUMBER(SEARCH(""SOHNA ROAD"",G41)),""Sohna Road"",""Party"")&amp;"" | BU: ""&amp;L41,""Receipt Credit fro"&amp;"m x""&amp;RIGHT(IFERROR(MID(G41,FIND(""-"",SUBSTITUTE(G41,""-"",""-"",3))+1,LEN(G41)),""0000""),4)&amp;"" (Purpose: ""&amp;IF(OR(ISBLANK(U41),U41=""N/A""),L41,U41)&amp;"") ""&amp;apt&amp;"" | Ref: ""&amp;ref&amp;"" | BU: ""&amp;L41&amp;"" | Head: ""&amp;M41),""Payment Disbursement (Purpose: ""&amp;IF(I"&amp;"SNUMBER(SEARCH(""salary"",M41)),""Salary"",U41)&amp;"") | To: ""&amp;payee&amp;"" | Ref: ""&amp;ref&amp;"" | BU: ""&amp;L41&amp;"" | Head: ""&amp;M41&amp;apt)))))"),"Payment Disbursement (Purpose: TDS Deposit for the month of June 2026) | To: Central Govt Taxes | Ref: N/A | BU: HO | Head: Tax")</f>
        <v>Payment Disbursement (Purpose: TDS Deposit for the month of June 2026) | To: Central Govt Taxes | Ref: N/A | BU: HO | Head: Tax</v>
      </c>
    </row>
    <row r="42" ht="15.75" customHeight="1">
      <c r="A42" s="36">
        <v>40.0</v>
      </c>
      <c r="B42" s="56" t="str">
        <f t="shared" si="4"/>
        <v>#NAME?</v>
      </c>
      <c r="C42" s="94">
        <f t="shared" si="2"/>
        <v>7</v>
      </c>
      <c r="D42" s="122">
        <v>46216.0</v>
      </c>
      <c r="E42" s="122">
        <v>46216.0</v>
      </c>
      <c r="F42" s="96" t="s">
        <v>591</v>
      </c>
      <c r="G42" s="97" t="s">
        <v>929</v>
      </c>
      <c r="H42" s="96"/>
      <c r="I42" s="99"/>
      <c r="J42" s="99">
        <v>56299.0</v>
      </c>
      <c r="K42" s="125">
        <f t="shared" si="5"/>
        <v>63816.12</v>
      </c>
      <c r="L42" s="62" t="s">
        <v>45</v>
      </c>
      <c r="M42" s="62" t="s">
        <v>47</v>
      </c>
      <c r="N42" s="36"/>
      <c r="O42" s="36" t="s">
        <v>60</v>
      </c>
      <c r="P42" s="30" t="s">
        <v>47</v>
      </c>
      <c r="Q42" s="63" t="s">
        <v>50</v>
      </c>
      <c r="R42" s="124"/>
      <c r="S42" s="124"/>
      <c r="T42" s="124"/>
      <c r="U42" s="30" t="s">
        <v>75</v>
      </c>
      <c r="V42" s="30"/>
      <c r="W42" s="30" t="str">
        <f>IFERROR(__xludf.DUMMYFUNCTION("LET(ref,IF(ISBLANK(H42),""N/A"",H42),apt,IF(ISBLANK(T42),"""","" | Apt#: ""&amp;T42),payee,TRIM(IFERROR(REGEXEXTRACT(SUBSTITUTE(G42,CHAR(10),"" ""),""(?i)(?:NEFT|RTGS)\s+[A-Z0-9]+\s+(.+?)\s+[A-Z]{4}0[A-Z0-9]{6}""),IFERROR(REGEXEXTRACT(SUBSTITUTE(G42,CHAR(10),"&amp;""" ""),""(?i)TO\s+(?:[0-9]+\s+TRANSFER TO\s+[0-9]+\s+TO\s+)?(.+)$""),G42))),int_acc,IFERROR(REGEXEXTRACT(G42,""(?i)(\d{4})[\s/]*DWARKADHIS""),""""),to_target,IF(I42&gt;0,IF(int_acc&lt;&gt;"""",""To: x""&amp;int_acc,""To: Internal""),""To: BOM 675""),IF(ISBLANK(U42),"""&amp;"Remarks Compulsory For Narration"",TRIM(IF(M42=""Internal"",IF(ISNUMBER(SEARCH(""DWARKADHIS"",G42)),""Internal Fund Transfer | ""&amp;to_target&amp;"" | Ref: ""&amp;ref&amp;"" | Type: ""&amp;P42&amp;"" | BU: ""&amp;L42&amp;"" | Head: ""&amp;M42,""Internal Transfer | Ref: ""&amp;ref&amp;"" | Type: "&amp;"""&amp;P42&amp;"" | BU: ""&amp;L42&amp;"" | Head: ""&amp;M42),IF(N(J42)&gt;0,IF(P42=""Customer Collection"",""Receipt Credit (Collection) ""&amp;apt&amp;"" | Ref: ""&amp;ref&amp;"" | From: ""&amp;IF(ISNUMBER(SEARCH(""SOHNA ROAD"",G42)),""Sohna Road"",""Party"")&amp;"" | BU: ""&amp;L42,""Receipt Credit fro"&amp;"m x""&amp;RIGHT(IFERROR(MID(G42,FIND(""-"",SUBSTITUTE(G42,""-"",""-"",3))+1,LEN(G42)),""0000""),4)&amp;"" (Purpose: ""&amp;IF(OR(ISBLANK(U42),U42=""N/A""),L42,U42)&amp;"") ""&amp;apt&amp;"" | Ref: ""&amp;ref&amp;"" | BU: ""&amp;L42&amp;"" | Head: ""&amp;M42),""Payment Disbursement (Purpose: ""&amp;IF(I"&amp;"SNUMBER(SEARCH(""salary"",M42)),""Salary"",U42)&amp;"") | To: ""&amp;payee&amp;"" | Ref: ""&amp;ref&amp;"" | BU: ""&amp;L42&amp;"" | Head: ""&amp;M42&amp;apt)))))"),"Internal Fund Transfer | To: BOM 675 | Ref: N/A | Type: Internal | BU: Casa Romana | Head: Internal")</f>
        <v>Internal Fund Transfer | To: BOM 675 | Ref: N/A | Type: Internal | BU: Casa Romana | Head: Internal</v>
      </c>
    </row>
    <row r="43" ht="15.75" customHeight="1">
      <c r="A43" s="36">
        <v>41.0</v>
      </c>
      <c r="B43" s="56" t="str">
        <f t="shared" si="4"/>
        <v>#NAME?</v>
      </c>
      <c r="C43" s="94">
        <f t="shared" si="2"/>
        <v>7</v>
      </c>
      <c r="D43" s="122">
        <v>46216.0</v>
      </c>
      <c r="E43" s="122">
        <v>46216.0</v>
      </c>
      <c r="F43" s="96" t="s">
        <v>591</v>
      </c>
      <c r="G43" s="97" t="s">
        <v>931</v>
      </c>
      <c r="H43" s="96"/>
      <c r="I43" s="99"/>
      <c r="J43" s="99">
        <v>13496.0</v>
      </c>
      <c r="K43" s="125">
        <f t="shared" si="5"/>
        <v>77312.12</v>
      </c>
      <c r="L43" s="62" t="s">
        <v>41</v>
      </c>
      <c r="M43" s="62" t="s">
        <v>47</v>
      </c>
      <c r="N43" s="36"/>
      <c r="O43" s="36" t="s">
        <v>60</v>
      </c>
      <c r="P43" s="30" t="s">
        <v>47</v>
      </c>
      <c r="Q43" s="63" t="s">
        <v>50</v>
      </c>
      <c r="R43" s="124"/>
      <c r="S43" s="124"/>
      <c r="T43" s="124"/>
      <c r="U43" s="30" t="s">
        <v>75</v>
      </c>
      <c r="V43" s="30"/>
      <c r="W43" s="30" t="str">
        <f>IFERROR(__xludf.DUMMYFUNCTION("LET(ref,IF(ISBLANK(H43),""N/A"",H43),apt,IF(ISBLANK(T43),"""","" | Apt#: ""&amp;T43),payee,TRIM(IFERROR(REGEXEXTRACT(SUBSTITUTE(G43,CHAR(10),"" ""),""(?i)(?:NEFT|RTGS)\s+[A-Z0-9]+\s+(.+?)\s+[A-Z]{4}0[A-Z0-9]{6}""),IFERROR(REGEXEXTRACT(SUBSTITUTE(G43,CHAR(10),"&amp;""" ""),""(?i)TO\s+(?:[0-9]+\s+TRANSFER TO\s+[0-9]+\s+TO\s+)?(.+)$""),G43))),int_acc,IFERROR(REGEXEXTRACT(G43,""(?i)(\d{4})[\s/]*DWARKADHIS""),""""),to_target,IF(I43&gt;0,IF(int_acc&lt;&gt;"""",""To: x""&amp;int_acc,""To: Internal""),""To: BOM 675""),IF(ISBLANK(U43),"""&amp;"Remarks Compulsory For Narration"",TRIM(IF(M43=""Internal"",IF(ISNUMBER(SEARCH(""DWARKADHIS"",G43)),""Internal Fund Transfer | ""&amp;to_target&amp;"" | Ref: ""&amp;ref&amp;"" | Type: ""&amp;P43&amp;"" | BU: ""&amp;L43&amp;"" | Head: ""&amp;M43,""Internal Transfer | Ref: ""&amp;ref&amp;"" | Type: "&amp;"""&amp;P43&amp;"" | BU: ""&amp;L43&amp;"" | Head: ""&amp;M43),IF(N(J43)&gt;0,IF(P43=""Customer Collection"",""Receipt Credit (Collection) ""&amp;apt&amp;"" | Ref: ""&amp;ref&amp;"" | From: ""&amp;IF(ISNUMBER(SEARCH(""SOHNA ROAD"",G43)),""Sohna Road"",""Party"")&amp;"" | BU: ""&amp;L43,""Receipt Credit fro"&amp;"m x""&amp;RIGHT(IFERROR(MID(G43,FIND(""-"",SUBSTITUTE(G43,""-"",""-"",3))+1,LEN(G43)),""0000""),4)&amp;"" (Purpose: ""&amp;IF(OR(ISBLANK(U43),U43=""N/A""),L43,U43)&amp;"") ""&amp;apt&amp;"" | Ref: ""&amp;ref&amp;"" | BU: ""&amp;L43&amp;"" | Head: ""&amp;M43),""Payment Disbursement (Purpose: ""&amp;IF(I"&amp;"SNUMBER(SEARCH(""salary"",M43)),""Salary"",U43)&amp;"") | To: ""&amp;payee&amp;"" | Ref: ""&amp;ref&amp;"" | BU: ""&amp;L43&amp;"" | Head: ""&amp;M43&amp;apt)))))"),"Internal Fund Transfer | To: BOM 675 | Ref: N/A | Type: Internal | BU: HO | Head: Internal")</f>
        <v>Internal Fund Transfer | To: BOM 675 | Ref: N/A | Type: Internal | BU: HO | Head: Internal</v>
      </c>
    </row>
    <row r="44" ht="15.75" customHeight="1">
      <c r="A44" s="36">
        <v>42.0</v>
      </c>
      <c r="B44" s="56" t="str">
        <f t="shared" si="4"/>
        <v>#NAME?</v>
      </c>
      <c r="C44" s="94">
        <f t="shared" si="2"/>
        <v>7</v>
      </c>
      <c r="D44" s="122">
        <v>46216.0</v>
      </c>
      <c r="E44" s="122">
        <v>46216.0</v>
      </c>
      <c r="F44" s="96" t="s">
        <v>591</v>
      </c>
      <c r="G44" s="97" t="s">
        <v>934</v>
      </c>
      <c r="H44" s="96"/>
      <c r="I44" s="99">
        <v>63014.0</v>
      </c>
      <c r="J44" s="99"/>
      <c r="K44" s="125">
        <f t="shared" si="5"/>
        <v>14298.12</v>
      </c>
      <c r="L44" s="62" t="s">
        <v>41</v>
      </c>
      <c r="M44" s="62" t="s">
        <v>634</v>
      </c>
      <c r="N44" s="36"/>
      <c r="O44" s="36" t="s">
        <v>60</v>
      </c>
      <c r="P44" s="30" t="s">
        <v>57</v>
      </c>
      <c r="Q44" s="63" t="s">
        <v>58</v>
      </c>
      <c r="R44" s="124"/>
      <c r="S44" s="124"/>
      <c r="T44" s="124"/>
      <c r="U44" s="30" t="s">
        <v>190</v>
      </c>
      <c r="V44" s="30"/>
      <c r="W44" s="30" t="str">
        <f>IFERROR(__xludf.DUMMYFUNCTION("LET(ref,IF(ISBLANK(H44),""N/A"",H44),apt,IF(ISBLANK(T44),"""","" | Apt#: ""&amp;T44),payee,TRIM(IFERROR(REGEXEXTRACT(SUBSTITUTE(G44,CHAR(10),"" ""),""(?i)(?:NEFT|RTGS)\s+[A-Z0-9]+\s+(.+?)\s+[A-Z]{4}0[A-Z0-9]{6}""),IFERROR(REGEXEXTRACT(SUBSTITUTE(G44,CHAR(10),"&amp;""" ""),""(?i)TO\s+(?:[0-9]+\s+TRANSFER TO\s+[0-9]+\s+TO\s+)?(.+)$""),G44))),int_acc,IFERROR(REGEXEXTRACT(G44,""(?i)(\d{4})[\s/]*DWARKADHIS""),""""),to_target,IF(I44&gt;0,IF(int_acc&lt;&gt;"""",""To: x""&amp;int_acc,""To: Internal""),""To: BOM 675""),IF(ISBLANK(U44),"""&amp;"Remarks Compulsory For Narration"",TRIM(IF(M44=""Internal"",IF(ISNUMBER(SEARCH(""DWARKADHIS"",G44)),""Internal Fund Transfer | ""&amp;to_target&amp;"" | Ref: ""&amp;ref&amp;"" | Type: ""&amp;P44&amp;"" | BU: ""&amp;L44&amp;"" | Head: ""&amp;M44,""Internal Transfer | Ref: ""&amp;ref&amp;"" | Type: "&amp;"""&amp;P44&amp;"" | BU: ""&amp;L44&amp;"" | Head: ""&amp;M44),IF(N(J44)&gt;0,IF(P44=""Customer Collection"",""Receipt Credit (Collection) ""&amp;apt&amp;"" | Ref: ""&amp;ref&amp;"" | From: ""&amp;IF(ISNUMBER(SEARCH(""SOHNA ROAD"",G44)),""Sohna Road"",""Party"")&amp;"" | BU: ""&amp;L44,""Receipt Credit fro"&amp;"m x""&amp;RIGHT(IFERROR(MID(G44,FIND(""-"",SUBSTITUTE(G44,""-"",""-"",3))+1,LEN(G44)),""0000""),4)&amp;"" (Purpose: ""&amp;IF(OR(ISBLANK(U44),U44=""N/A""),L44,U44)&amp;"") ""&amp;apt&amp;"" | Ref: ""&amp;ref&amp;"" | BU: ""&amp;L44&amp;"" | Head: ""&amp;M44),""Payment Disbursement (Purpose: ""&amp;IF(I"&amp;"SNUMBER(SEARCH(""salary"",M44)),""Salary"",U44)&amp;"") | To: ""&amp;payee&amp;"" | Ref: ""&amp;ref&amp;"" | BU: ""&amp;L44&amp;"" | Head: ""&amp;M44&amp;apt)))))"),"Payment Disbursement (Purpose: EPF Payment) | To: EMPLOYEES PROVIDENT FUND ORGANISATION | Ref: N/A | BU: HO | Head: EPF/ESI")</f>
        <v>Payment Disbursement (Purpose: EPF Payment) | To: EMPLOYEES PROVIDENT FUND ORGANISATION | Ref: N/A | BU: HO | Head: EPF/ESI</v>
      </c>
    </row>
    <row r="45" ht="15.75" customHeight="1">
      <c r="A45" s="36">
        <v>43.0</v>
      </c>
      <c r="B45" s="56" t="str">
        <f t="shared" si="4"/>
        <v>#NAME?</v>
      </c>
      <c r="C45" s="94">
        <f t="shared" si="2"/>
        <v>7</v>
      </c>
      <c r="D45" s="122">
        <v>46216.0</v>
      </c>
      <c r="E45" s="122">
        <v>46216.0</v>
      </c>
      <c r="F45" s="96" t="s">
        <v>591</v>
      </c>
      <c r="G45" s="97" t="s">
        <v>937</v>
      </c>
      <c r="H45" s="96"/>
      <c r="I45" s="99">
        <v>6779.0</v>
      </c>
      <c r="J45" s="99"/>
      <c r="K45" s="125">
        <f t="shared" si="5"/>
        <v>7519.12</v>
      </c>
      <c r="L45" s="62" t="s">
        <v>41</v>
      </c>
      <c r="M45" s="62" t="s">
        <v>634</v>
      </c>
      <c r="N45" s="36"/>
      <c r="O45" s="36" t="s">
        <v>60</v>
      </c>
      <c r="P45" s="30" t="s">
        <v>57</v>
      </c>
      <c r="Q45" s="63" t="s">
        <v>58</v>
      </c>
      <c r="R45" s="124"/>
      <c r="S45" s="124"/>
      <c r="T45" s="124"/>
      <c r="U45" s="30" t="s">
        <v>197</v>
      </c>
      <c r="V45" s="30"/>
      <c r="W45" s="30" t="str">
        <f>IFERROR(__xludf.DUMMYFUNCTION("LET(ref,IF(ISBLANK(H45),""N/A"",H45),apt,IF(ISBLANK(T45),"""","" | Apt#: ""&amp;T45),payee,TRIM(IFERROR(REGEXEXTRACT(SUBSTITUTE(G45,CHAR(10),"" ""),""(?i)(?:NEFT|RTGS)\s+[A-Z0-9]+\s+(.+?)\s+[A-Z]{4}0[A-Z0-9]{6}""),IFERROR(REGEXEXTRACT(SUBSTITUTE(G45,CHAR(10),"&amp;""" ""),""(?i)TO\s+(?:[0-9]+\s+TRANSFER TO\s+[0-9]+\s+TO\s+)?(.+)$""),G45))),int_acc,IFERROR(REGEXEXTRACT(G45,""(?i)(\d{4})[\s/]*DWARKADHIS""),""""),to_target,IF(I45&gt;0,IF(int_acc&lt;&gt;"""",""To: x""&amp;int_acc,""To: Internal""),""To: BOM 675""),IF(ISBLANK(U45),"""&amp;"Remarks Compulsory For Narration"",TRIM(IF(M45=""Internal"",IF(ISNUMBER(SEARCH(""DWARKADHIS"",G45)),""Internal Fund Transfer | ""&amp;to_target&amp;"" | Ref: ""&amp;ref&amp;"" | Type: ""&amp;P45&amp;"" | BU: ""&amp;L45&amp;"" | Head: ""&amp;M45,""Internal Transfer | Ref: ""&amp;ref&amp;"" | Type: "&amp;"""&amp;P45&amp;"" | BU: ""&amp;L45&amp;"" | Head: ""&amp;M45),IF(N(J45)&gt;0,IF(P45=""Customer Collection"",""Receipt Credit (Collection) ""&amp;apt&amp;"" | Ref: ""&amp;ref&amp;"" | From: ""&amp;IF(ISNUMBER(SEARCH(""SOHNA ROAD"",G45)),""Sohna Road"",""Party"")&amp;"" | BU: ""&amp;L45,""Receipt Credit fro"&amp;"m x""&amp;RIGHT(IFERROR(MID(G45,FIND(""-"",SUBSTITUTE(G45,""-"",""-"",3))+1,LEN(G45)),""0000""),4)&amp;"" (Purpose: ""&amp;IF(OR(ISBLANK(U45),U45=""N/A""),L45,U45)&amp;"") ""&amp;apt&amp;"" | Ref: ""&amp;ref&amp;"" | BU: ""&amp;L45&amp;"" | Head: ""&amp;M45),""Payment Disbursement (Purpose: ""&amp;IF(I"&amp;"SNUMBER(SEARCH(""salary"",M45)),""Salary"",U45)&amp;"") | To: ""&amp;payee&amp;"" | Ref: ""&amp;ref&amp;"" | BU: ""&amp;L45&amp;"" | Head: ""&amp;M45&amp;apt)))))"),"Payment Disbursement (Purpose: ESI Payment) | To: BILLDESK | Ref: N/A | BU: HO | Head: EPF/ESI")</f>
        <v>Payment Disbursement (Purpose: ESI Payment) | To: BILLDESK | Ref: N/A | BU: HO | Head: EPF/ESI</v>
      </c>
    </row>
    <row r="46" ht="15.75" customHeight="1">
      <c r="A46" s="36">
        <v>44.0</v>
      </c>
      <c r="B46" s="56" t="str">
        <f t="shared" si="4"/>
        <v>#NAME?</v>
      </c>
      <c r="C46" s="94">
        <f t="shared" si="2"/>
        <v>7</v>
      </c>
      <c r="D46" s="122">
        <v>46218.0</v>
      </c>
      <c r="E46" s="122">
        <v>46218.0</v>
      </c>
      <c r="F46" s="96" t="s">
        <v>591</v>
      </c>
      <c r="G46" s="97" t="s">
        <v>940</v>
      </c>
      <c r="H46" s="96"/>
      <c r="I46" s="99">
        <v>1.0</v>
      </c>
      <c r="J46" s="99"/>
      <c r="K46" s="125">
        <f t="shared" si="5"/>
        <v>7518.12</v>
      </c>
      <c r="L46" s="62" t="s">
        <v>41</v>
      </c>
      <c r="M46" s="62" t="s">
        <v>47</v>
      </c>
      <c r="N46" s="36"/>
      <c r="O46" s="36" t="s">
        <v>60</v>
      </c>
      <c r="P46" s="30" t="s">
        <v>47</v>
      </c>
      <c r="Q46" s="63" t="s">
        <v>50</v>
      </c>
      <c r="R46" s="124"/>
      <c r="S46" s="124"/>
      <c r="T46" s="124"/>
      <c r="U46" s="30"/>
      <c r="V46" s="30"/>
      <c r="W46" s="30" t="str">
        <f>IFERROR(__xludf.DUMMYFUNCTION("LET(ref,IF(ISBLANK(H46),""N/A"",H46),apt,IF(ISBLANK(T46),"""","" | Apt#: ""&amp;T46),payee,TRIM(IFERROR(REGEXEXTRACT(SUBSTITUTE(G46,CHAR(10),"" ""),""(?i)(?:NEFT|RTGS)\s+[A-Z0-9]+\s+(.+?)\s+[A-Z]{4}0[A-Z0-9]{6}""),IFERROR(REGEXEXTRACT(SUBSTITUTE(G46,CHAR(10),"&amp;""" ""),""(?i)TO\s+(?:[0-9]+\s+TRANSFER TO\s+[0-9]+\s+TO\s+)?(.+)$""),G46))),int_acc,IFERROR(REGEXEXTRACT(G46,""(?i)(\d{4})[\s/]*DWARKADHIS""),""""),to_target,IF(I46&gt;0,IF(int_acc&lt;&gt;"""",""To: x""&amp;int_acc,""To: Internal""),""To: BOM 675""),IF(ISBLANK(U46),"""&amp;"Remarks Compulsory For Narration"",TRIM(IF(M46=""Internal"",IF(ISNUMBER(SEARCH(""DWARKADHIS"",G46)),""Internal Fund Transfer | ""&amp;to_target&amp;"" | Ref: ""&amp;ref&amp;"" | Type: ""&amp;P46&amp;"" | BU: ""&amp;L46&amp;"" | Head: ""&amp;M46,""Internal Transfer | Ref: ""&amp;ref&amp;"" | Type: "&amp;"""&amp;P46&amp;"" | BU: ""&amp;L46&amp;"" | Head: ""&amp;M46),IF(N(J46)&gt;0,IF(P46=""Customer Collection"",""Receipt Credit (Collection) ""&amp;apt&amp;"" | Ref: ""&amp;ref&amp;"" | From: ""&amp;IF(ISNUMBER(SEARCH(""SOHNA ROAD"",G46)),""Sohna Road"",""Party"")&amp;"" | BU: ""&amp;L46,""Receipt Credit fro"&amp;"m x""&amp;RIGHT(IFERROR(MID(G46,FIND(""-"",SUBSTITUTE(G46,""-"",""-"",3))+1,LEN(G46)),""0000""),4)&amp;"" (Purpose: ""&amp;IF(OR(ISBLANK(U46),U46=""N/A""),L46,U46)&amp;"") ""&amp;apt&amp;"" | Ref: ""&amp;ref&amp;"" | BU: ""&amp;L46&amp;"" | Head: ""&amp;M46),""Payment Disbursement (Purpose: ""&amp;IF(I"&amp;"SNUMBER(SEARCH(""salary"",M46)),""Salary"",U46)&amp;"") | To: ""&amp;payee&amp;"" | Ref: ""&amp;ref&amp;"" | BU: ""&amp;L46&amp;"" | Head: ""&amp;M46&amp;apt)))))"),"Remarks Compulsory For Narration")</f>
        <v>Remarks Compulsory For Narration</v>
      </c>
    </row>
    <row r="47" ht="15.75" customHeight="1">
      <c r="A47" s="36">
        <v>45.0</v>
      </c>
      <c r="B47" s="56" t="str">
        <f t="shared" si="4"/>
        <v>#NAME?</v>
      </c>
      <c r="C47" s="94">
        <f t="shared" si="2"/>
        <v>7</v>
      </c>
      <c r="D47" s="122">
        <v>46223.0</v>
      </c>
      <c r="E47" s="122">
        <v>46223.0</v>
      </c>
      <c r="F47" s="96" t="s">
        <v>591</v>
      </c>
      <c r="G47" s="97" t="s">
        <v>945</v>
      </c>
      <c r="H47" s="96"/>
      <c r="I47" s="99"/>
      <c r="J47" s="99">
        <v>47810.0</v>
      </c>
      <c r="K47" s="125">
        <f t="shared" si="5"/>
        <v>55328.12</v>
      </c>
      <c r="L47" s="62" t="s">
        <v>41</v>
      </c>
      <c r="M47" s="62" t="s">
        <v>47</v>
      </c>
      <c r="N47" s="36"/>
      <c r="O47" s="36" t="s">
        <v>60</v>
      </c>
      <c r="P47" s="30" t="s">
        <v>47</v>
      </c>
      <c r="Q47" s="63" t="s">
        <v>50</v>
      </c>
      <c r="R47" s="124"/>
      <c r="S47" s="124"/>
      <c r="T47" s="124"/>
      <c r="U47" s="30" t="s">
        <v>75</v>
      </c>
      <c r="V47" s="30"/>
      <c r="W47" s="30" t="str">
        <f>IFERROR(__xludf.DUMMYFUNCTION("LET(ref,IF(ISBLANK(H47),""N/A"",H47),apt,IF(ISBLANK(T47),"""","" | Apt#: ""&amp;T47),payee,TRIM(IFERROR(REGEXEXTRACT(SUBSTITUTE(G47,CHAR(10),"" ""),""(?i)(?:NEFT|RTGS)\s+[A-Z0-9]+\s+(.+?)\s+[A-Z]{4}0[A-Z0-9]{6}""),IFERROR(REGEXEXTRACT(SUBSTITUTE(G47,CHAR(10),"&amp;""" ""),""(?i)TO\s+(?:[0-9]+\s+TRANSFER TO\s+[0-9]+\s+TO\s+)?(.+)$""),G47))),int_acc,IFERROR(REGEXEXTRACT(G47,""(?i)(\d{4})[\s/]*DWARKADHIS""),""""),to_target,IF(I47&gt;0,IF(int_acc&lt;&gt;"""",""To: x""&amp;int_acc,""To: Internal""),""To: BOM 675""),IF(ISBLANK(U47),"""&amp;"Remarks Compulsory For Narration"",TRIM(IF(M47=""Internal"",IF(ISNUMBER(SEARCH(""DWARKADHIS"",G47)),""Internal Fund Transfer | ""&amp;to_target&amp;"" | Ref: ""&amp;ref&amp;"" | Type: ""&amp;P47&amp;"" | BU: ""&amp;L47&amp;"" | Head: ""&amp;M47,""Internal Transfer | Ref: ""&amp;ref&amp;"" | Type: "&amp;"""&amp;P47&amp;"" | BU: ""&amp;L47&amp;"" | Head: ""&amp;M47),IF(N(J47)&gt;0,IF(P47=""Customer Collection"",""Receipt Credit (Collection) ""&amp;apt&amp;"" | Ref: ""&amp;ref&amp;"" | From: ""&amp;IF(ISNUMBER(SEARCH(""SOHNA ROAD"",G47)),""Sohna Road"",""Party"")&amp;"" | BU: ""&amp;L47,""Receipt Credit fro"&amp;"m x""&amp;RIGHT(IFERROR(MID(G47,FIND(""-"",SUBSTITUTE(G47,""-"",""-"",3))+1,LEN(G47)),""0000""),4)&amp;"" (Purpose: ""&amp;IF(OR(ISBLANK(U47),U47=""N/A""),L47,U47)&amp;"") ""&amp;apt&amp;"" | Ref: ""&amp;ref&amp;"" | BU: ""&amp;L47&amp;"" | Head: ""&amp;M47),""Payment Disbursement (Purpose: ""&amp;IF(I"&amp;"SNUMBER(SEARCH(""salary"",M47)),""Salary"",U47)&amp;"") | To: ""&amp;payee&amp;"" | Ref: ""&amp;ref&amp;"" | BU: ""&amp;L47&amp;"" | Head: ""&amp;M47&amp;apt)))))"),"Internal Fund Transfer | To: BOM 675 | Ref: N/A | Type: Internal | BU: HO | Head: Internal")</f>
        <v>Internal Fund Transfer | To: BOM 675 | Ref: N/A | Type: Internal | BU: HO | Head: Internal</v>
      </c>
    </row>
    <row r="48" ht="15.75" customHeight="1">
      <c r="A48" s="36">
        <v>46.0</v>
      </c>
      <c r="B48" s="56" t="str">
        <f t="shared" si="4"/>
        <v>#NAME?</v>
      </c>
      <c r="C48" s="94">
        <f t="shared" si="2"/>
        <v>7</v>
      </c>
      <c r="D48" s="122">
        <v>46223.0</v>
      </c>
      <c r="E48" s="122">
        <v>46223.0</v>
      </c>
      <c r="F48" s="96" t="s">
        <v>591</v>
      </c>
      <c r="G48" s="97" t="s">
        <v>948</v>
      </c>
      <c r="H48" s="96"/>
      <c r="I48" s="99">
        <v>47810.0</v>
      </c>
      <c r="J48" s="99"/>
      <c r="K48" s="125">
        <f t="shared" si="5"/>
        <v>7518.12</v>
      </c>
      <c r="L48" s="62" t="s">
        <v>41</v>
      </c>
      <c r="M48" s="62"/>
      <c r="N48" s="36"/>
      <c r="O48" s="36" t="s">
        <v>60</v>
      </c>
      <c r="P48" s="30" t="s">
        <v>43</v>
      </c>
      <c r="Q48" s="63" t="s">
        <v>50</v>
      </c>
      <c r="R48" s="124"/>
      <c r="S48" s="124"/>
      <c r="T48" s="124"/>
      <c r="U48" s="30" t="s">
        <v>951</v>
      </c>
      <c r="V48" s="30"/>
      <c r="W48" s="30" t="str">
        <f>IFERROR(__xludf.DUMMYFUNCTION("LET(ref,IF(ISBLANK(H48),""N/A"",H48),apt,IF(ISBLANK(T48),"""","" | Apt#: ""&amp;T48),payee,TRIM(IFERROR(REGEXEXTRACT(SUBSTITUTE(G48,CHAR(10),"" ""),""(?i)(?:NEFT|RTGS)\s+[A-Z0-9]+\s+(.+?)\s+[A-Z]{4}0[A-Z0-9]{6}""),IFERROR(REGEXEXTRACT(SUBSTITUTE(G48,CHAR(10),"&amp;""" ""),""(?i)TO\s+(?:[0-9]+\s+TRANSFER TO\s+[0-9]+\s+TO\s+)?(.+)$""),G48))),int_acc,IFERROR(REGEXEXTRACT(G48,""(?i)(\d{4})[\s/]*DWARKADHIS""),""""),to_target,IF(I48&gt;0,IF(int_acc&lt;&gt;"""",""To: x""&amp;int_acc,""To: Internal""),""To: BOM 675""),IF(ISBLANK(U48),"""&amp;"Remarks Compulsory For Narration"",TRIM(IF(M48=""Internal"",IF(ISNUMBER(SEARCH(""DWARKADHIS"",G48)),""Internal Fund Transfer | ""&amp;to_target&amp;"" | Ref: ""&amp;ref&amp;"" | Type: ""&amp;P48&amp;"" | BU: ""&amp;L48&amp;"" | Head: ""&amp;M48,""Internal Transfer | Ref: ""&amp;ref&amp;"" | Type: "&amp;"""&amp;P48&amp;"" | BU: ""&amp;L48&amp;"" | Head: ""&amp;M48),IF(N(J48)&gt;0,IF(P48=""Customer Collection"",""Receipt Credit (Collection) ""&amp;apt&amp;"" | Ref: ""&amp;ref&amp;"" | From: ""&amp;IF(ISNUMBER(SEARCH(""SOHNA ROAD"",G48)),""Sohna Road"",""Party"")&amp;"" | BU: ""&amp;L48,""Receipt Credit fro"&amp;"m x""&amp;RIGHT(IFERROR(MID(G48,FIND(""-"",SUBSTITUTE(G48,""-"",""-"",3))+1,LEN(G48)),""0000""),4)&amp;"" (Purpose: ""&amp;IF(OR(ISBLANK(U48),U48=""N/A""),L48,U48)&amp;"") ""&amp;apt&amp;"" | Ref: ""&amp;ref&amp;"" | BU: ""&amp;L48&amp;"" | Head: ""&amp;M48),""Payment Disbursement (Purpose: ""&amp;IF(I"&amp;"SNUMBER(SEARCH(""salary"",M48)),""Salary"",U48)&amp;"") | To: ""&amp;payee&amp;"" | Ref: ""&amp;ref&amp;"" | BU: ""&amp;L48&amp;"" | Head: ""&amp;M48&amp;apt)))))"),"Payment Disbursement (Purpose: GST Paid) | To: BANK OF MAHARASHTRA GST POOL ACCOUNT | Ref: N/A | BU: HO | Head:")</f>
        <v>Payment Disbursement (Purpose: GST Paid) | To: BANK OF MAHARASHTRA GST POOL ACCOUNT | Ref: N/A | BU: HO | Head:</v>
      </c>
    </row>
    <row r="49" ht="15.75" customHeight="1">
      <c r="A49" s="36">
        <v>47.0</v>
      </c>
      <c r="B49" s="56" t="str">
        <f t="shared" si="4"/>
        <v>#NAME?</v>
      </c>
      <c r="C49" s="94">
        <f t="shared" si="2"/>
        <v>7</v>
      </c>
      <c r="D49" s="122">
        <v>46225.0</v>
      </c>
      <c r="E49" s="122">
        <v>46225.0</v>
      </c>
      <c r="F49" s="96" t="s">
        <v>591</v>
      </c>
      <c r="G49" s="97" t="s">
        <v>952</v>
      </c>
      <c r="H49" s="96"/>
      <c r="I49" s="99"/>
      <c r="J49" s="99">
        <v>2731.0</v>
      </c>
      <c r="K49" s="125">
        <f t="shared" si="5"/>
        <v>10249.12</v>
      </c>
      <c r="L49" s="62" t="s">
        <v>41</v>
      </c>
      <c r="M49" s="62" t="s">
        <v>47</v>
      </c>
      <c r="N49" s="36"/>
      <c r="O49" s="36" t="s">
        <v>60</v>
      </c>
      <c r="P49" s="30" t="s">
        <v>47</v>
      </c>
      <c r="Q49" s="63" t="s">
        <v>50</v>
      </c>
      <c r="R49" s="124"/>
      <c r="S49" s="124"/>
      <c r="T49" s="124"/>
      <c r="U49" s="30" t="s">
        <v>75</v>
      </c>
      <c r="V49" s="30"/>
      <c r="W49" s="30" t="str">
        <f>IFERROR(__xludf.DUMMYFUNCTION("LET(ref,IF(ISBLANK(H49),""N/A"",H49),apt,IF(ISBLANK(T49),"""","" | Apt#: ""&amp;T49),payee,TRIM(IFERROR(REGEXEXTRACT(SUBSTITUTE(G49,CHAR(10),"" ""),""(?i)(?:NEFT|RTGS)\s+[A-Z0-9]+\s+(.+?)\s+[A-Z]{4}0[A-Z0-9]{6}""),IFERROR(REGEXEXTRACT(SUBSTITUTE(G49,CHAR(10),"&amp;""" ""),""(?i)TO\s+(?:[0-9]+\s+TRANSFER TO\s+[0-9]+\s+TO\s+)?(.+)$""),G49))),int_acc,IFERROR(REGEXEXTRACT(G49,""(?i)(\d{4})[\s/]*DWARKADHIS""),""""),to_target,IF(I49&gt;0,IF(int_acc&lt;&gt;"""",""To: x""&amp;int_acc,""To: Internal""),""To: BOM 675""),IF(ISBLANK(U49),"""&amp;"Remarks Compulsory For Narration"",TRIM(IF(M49=""Internal"",IF(ISNUMBER(SEARCH(""DWARKADHIS"",G49)),""Internal Fund Transfer | ""&amp;to_target&amp;"" | Ref: ""&amp;ref&amp;"" | Type: ""&amp;P49&amp;"" | BU: ""&amp;L49&amp;"" | Head: ""&amp;M49,""Internal Transfer | Ref: ""&amp;ref&amp;"" | Type: "&amp;"""&amp;P49&amp;"" | BU: ""&amp;L49&amp;"" | Head: ""&amp;M49),IF(N(J49)&gt;0,IF(P49=""Customer Collection"",""Receipt Credit (Collection) ""&amp;apt&amp;"" | Ref: ""&amp;ref&amp;"" | From: ""&amp;IF(ISNUMBER(SEARCH(""SOHNA ROAD"",G49)),""Sohna Road"",""Party"")&amp;"" | BU: ""&amp;L49,""Receipt Credit fro"&amp;"m x""&amp;RIGHT(IFERROR(MID(G49,FIND(""-"",SUBSTITUTE(G49,""-"",""-"",3))+1,LEN(G49)),""0000""),4)&amp;"" (Purpose: ""&amp;IF(OR(ISBLANK(U49),U49=""N/A""),L49,U49)&amp;"") ""&amp;apt&amp;"" | Ref: ""&amp;ref&amp;"" | BU: ""&amp;L49&amp;"" | Head: ""&amp;M49),""Payment Disbursement (Purpose: ""&amp;IF(I"&amp;"SNUMBER(SEARCH(""salary"",M49)),""Salary"",U49)&amp;"") | To: ""&amp;payee&amp;"" | Ref: ""&amp;ref&amp;"" | BU: ""&amp;L49&amp;"" | Head: ""&amp;M49&amp;apt)))))"),"Internal Fund Transfer | To: BOM 675 | Ref: N/A | Type: Internal | BU: HO | Head: Internal")</f>
        <v>Internal Fund Transfer | To: BOM 675 | Ref: N/A | Type: Internal | BU: HO | Head: Internal</v>
      </c>
    </row>
    <row r="50" ht="15.75" customHeight="1">
      <c r="A50" s="36">
        <v>48.0</v>
      </c>
      <c r="B50" s="56" t="str">
        <f t="shared" si="4"/>
        <v>#NAME?</v>
      </c>
      <c r="C50" s="94">
        <f t="shared" si="2"/>
        <v>7</v>
      </c>
      <c r="D50" s="122">
        <v>46227.0</v>
      </c>
      <c r="E50" s="122">
        <v>46227.0</v>
      </c>
      <c r="F50" s="96" t="s">
        <v>591</v>
      </c>
      <c r="G50" s="97" t="s">
        <v>955</v>
      </c>
      <c r="H50" s="96"/>
      <c r="I50" s="99">
        <v>2731.0</v>
      </c>
      <c r="J50" s="99"/>
      <c r="K50" s="125">
        <f t="shared" si="5"/>
        <v>7518.12</v>
      </c>
      <c r="L50" s="62" t="s">
        <v>41</v>
      </c>
      <c r="M50" s="62" t="s">
        <v>718</v>
      </c>
      <c r="N50" s="36"/>
      <c r="O50" s="36" t="s">
        <v>60</v>
      </c>
      <c r="P50" s="30" t="s">
        <v>57</v>
      </c>
      <c r="Q50" s="63" t="s">
        <v>58</v>
      </c>
      <c r="R50" s="124"/>
      <c r="S50" s="124"/>
      <c r="T50" s="124"/>
      <c r="U50" s="30" t="s">
        <v>959</v>
      </c>
      <c r="V50" s="30"/>
      <c r="W50" s="30" t="str">
        <f>IFERROR(__xludf.DUMMYFUNCTION("LET(ref,IF(ISBLANK(H50),""N/A"",H50),apt,IF(ISBLANK(T50),"""","" | Apt#: ""&amp;T50),payee,TRIM(IFERROR(REGEXEXTRACT(SUBSTITUTE(G50,CHAR(10),"" ""),""(?i)(?:NEFT|RTGS)\s+[A-Z0-9]+\s+(.+?)\s+[A-Z]{4}0[A-Z0-9]{6}""),IFERROR(REGEXEXTRACT(SUBSTITUTE(G50,CHAR(10),"&amp;""" ""),""(?i)TO\s+(?:[0-9]+\s+TRANSFER TO\s+[0-9]+\s+TO\s+)?(.+)$""),G50))),int_acc,IFERROR(REGEXEXTRACT(G50,""(?i)(\d{4})[\s/]*DWARKADHIS""),""""),to_target,IF(I50&gt;0,IF(int_acc&lt;&gt;"""",""To: x""&amp;int_acc,""To: Internal""),""To: BOM 675""),IF(ISBLANK(U50),"""&amp;"Remarks Compulsory For Narration"",TRIM(IF(M50=""Internal"",IF(ISNUMBER(SEARCH(""DWARKADHIS"",G50)),""Internal Fund Transfer | ""&amp;to_target&amp;"" | Ref: ""&amp;ref&amp;"" | Type: ""&amp;P50&amp;"" | BU: ""&amp;L50&amp;"" | Head: ""&amp;M50,""Internal Transfer | Ref: ""&amp;ref&amp;"" | Type: "&amp;"""&amp;P50&amp;"" | BU: ""&amp;L50&amp;"" | Head: ""&amp;M50),IF(N(J50)&gt;0,IF(P50=""Customer Collection"",""Receipt Credit (Collection) ""&amp;apt&amp;"" | Ref: ""&amp;ref&amp;"" | From: ""&amp;IF(ISNUMBER(SEARCH(""SOHNA ROAD"",G50)),""Sohna Road"",""Party"")&amp;"" | BU: ""&amp;L50,""Receipt Credit fro"&amp;"m x""&amp;RIGHT(IFERROR(MID(G50,FIND(""-"",SUBSTITUTE(G50,""-"",""-"",3))+1,LEN(G50)),""0000""),4)&amp;"" (Purpose: ""&amp;IF(OR(ISBLANK(U50),U50=""N/A""),L50,U50)&amp;"") ""&amp;apt&amp;"" | Ref: ""&amp;ref&amp;"" | BU: ""&amp;L50&amp;"" | Head: ""&amp;M50),""Payment Disbursement (Purpose: ""&amp;IF(I"&amp;"SNUMBER(SEARCH(""salary"",M50)),""Salary"",U50)&amp;"") | To: ""&amp;payee&amp;"" | Ref: ""&amp;ref&amp;"" | BU: ""&amp;L50&amp;"" | Head: ""&amp;M50&amp;apt)))))"),"Payment Disbursement (Purpose: TDS Deposited) | To: Central Govt Taxes | Ref: N/A | BU: HO | Head: Tax")</f>
        <v>Payment Disbursement (Purpose: TDS Deposited) | To: Central Govt Taxes | Ref: N/A | BU: HO | Head: Tax</v>
      </c>
    </row>
    <row r="51" ht="15.75" customHeight="1">
      <c r="A51" s="36">
        <v>49.0</v>
      </c>
      <c r="B51" s="56" t="str">
        <f t="shared" si="4"/>
        <v>#NAME?</v>
      </c>
      <c r="C51" s="94">
        <f t="shared" si="2"/>
        <v>8</v>
      </c>
      <c r="D51" s="122">
        <v>46240.0</v>
      </c>
      <c r="E51" s="122">
        <v>46240.0</v>
      </c>
      <c r="F51" s="96" t="s">
        <v>591</v>
      </c>
      <c r="G51" s="97" t="s">
        <v>963</v>
      </c>
      <c r="H51" s="96"/>
      <c r="I51" s="99">
        <v>1.0</v>
      </c>
      <c r="J51" s="99"/>
      <c r="K51" s="125">
        <f t="shared" si="5"/>
        <v>7517.12</v>
      </c>
      <c r="L51" s="62" t="s">
        <v>41</v>
      </c>
      <c r="M51" s="62" t="s">
        <v>47</v>
      </c>
      <c r="N51" s="36"/>
      <c r="O51" s="36" t="s">
        <v>60</v>
      </c>
      <c r="P51" s="30" t="s">
        <v>47</v>
      </c>
      <c r="Q51" s="63" t="s">
        <v>50</v>
      </c>
      <c r="R51" s="124"/>
      <c r="S51" s="124"/>
      <c r="T51" s="124"/>
      <c r="U51" s="30"/>
      <c r="V51" s="30"/>
      <c r="W51" s="30" t="str">
        <f>IFERROR(__xludf.DUMMYFUNCTION("LET(ref,IF(ISBLANK(H51),""N/A"",H51),apt,IF(ISBLANK(T51),"""","" | Apt#: ""&amp;T51),payee,TRIM(IFERROR(REGEXEXTRACT(SUBSTITUTE(G51,CHAR(10),"" ""),""(?i)(?:NEFT|RTGS)\s+[A-Z0-9]+\s+(.+?)\s+[A-Z]{4}0[A-Z0-9]{6}""),IFERROR(REGEXEXTRACT(SUBSTITUTE(G51,CHAR(10),"&amp;""" ""),""(?i)TO\s+(?:[0-9]+\s+TRANSFER TO\s+[0-9]+\s+TO\s+)?(.+)$""),G51))),int_acc,IFERROR(REGEXEXTRACT(G51,""(?i)(\d{4})[\s/]*DWARKADHIS""),""""),to_target,IF(I51&gt;0,IF(int_acc&lt;&gt;"""",""To: x""&amp;int_acc,""To: Internal""),""To: BOM 675""),IF(ISBLANK(U51),"""&amp;"Remarks Compulsory For Narration"",TRIM(IF(M51=""Internal"",IF(ISNUMBER(SEARCH(""DWARKADHIS"",G51)),""Internal Fund Transfer | ""&amp;to_target&amp;"" | Ref: ""&amp;ref&amp;"" | Type: ""&amp;P51&amp;"" | BU: ""&amp;L51&amp;"" | Head: ""&amp;M51,""Internal Transfer | Ref: ""&amp;ref&amp;"" | Type: "&amp;"""&amp;P51&amp;"" | BU: ""&amp;L51&amp;"" | Head: ""&amp;M51),IF(N(J51)&gt;0,IF(P51=""Customer Collection"",""Receipt Credit (Collection) ""&amp;apt&amp;"" | Ref: ""&amp;ref&amp;"" | From: ""&amp;IF(ISNUMBER(SEARCH(""SOHNA ROAD"",G51)),""Sohna Road"",""Party"")&amp;"" | BU: ""&amp;L51,""Receipt Credit fro"&amp;"m x""&amp;RIGHT(IFERROR(MID(G51,FIND(""-"",SUBSTITUTE(G51,""-"",""-"",3))+1,LEN(G51)),""0000""),4)&amp;"" (Purpose: ""&amp;IF(OR(ISBLANK(U51),U51=""N/A""),L51,U51)&amp;"") ""&amp;apt&amp;"" | Ref: ""&amp;ref&amp;"" | BU: ""&amp;L51&amp;"" | Head: ""&amp;M51),""Payment Disbursement (Purpose: ""&amp;IF(I"&amp;"SNUMBER(SEARCH(""salary"",M51)),""Salary"",U51)&amp;"") | To: ""&amp;payee&amp;"" | Ref: ""&amp;ref&amp;"" | BU: ""&amp;L51&amp;"" | Head: ""&amp;M51&amp;apt)))))"),"Remarks Compulsory For Narration")</f>
        <v>Remarks Compulsory For Narration</v>
      </c>
    </row>
    <row r="52" ht="15.75" customHeight="1">
      <c r="A52" s="36">
        <v>50.0</v>
      </c>
      <c r="B52" s="56" t="str">
        <f t="shared" si="4"/>
        <v>#NAME?</v>
      </c>
      <c r="C52" s="94">
        <f t="shared" si="2"/>
        <v>8</v>
      </c>
      <c r="D52" s="122">
        <v>46240.0</v>
      </c>
      <c r="E52" s="122">
        <v>46240.0</v>
      </c>
      <c r="F52" s="96" t="s">
        <v>591</v>
      </c>
      <c r="G52" s="97" t="s">
        <v>965</v>
      </c>
      <c r="H52" s="96"/>
      <c r="I52" s="99"/>
      <c r="J52" s="99">
        <v>75000.0</v>
      </c>
      <c r="K52" s="125">
        <f t="shared" si="5"/>
        <v>82517.12</v>
      </c>
      <c r="L52" s="62" t="s">
        <v>41</v>
      </c>
      <c r="M52" s="62" t="s">
        <v>47</v>
      </c>
      <c r="N52" s="36"/>
      <c r="O52" s="36" t="s">
        <v>60</v>
      </c>
      <c r="P52" s="30" t="s">
        <v>47</v>
      </c>
      <c r="Q52" s="63" t="s">
        <v>50</v>
      </c>
      <c r="R52" s="124"/>
      <c r="S52" s="124"/>
      <c r="T52" s="124"/>
      <c r="U52" s="30"/>
      <c r="V52" s="30"/>
      <c r="W52" s="30" t="str">
        <f>IFERROR(__xludf.DUMMYFUNCTION("LET(ref,IF(ISBLANK(H52),""N/A"",H52),apt,IF(ISBLANK(T52),"""","" | Apt#: ""&amp;T52),payee,TRIM(IFERROR(REGEXEXTRACT(SUBSTITUTE(G52,CHAR(10),"" ""),""(?i)(?:NEFT|RTGS)\s+[A-Z0-9]+\s+(.+?)\s+[A-Z]{4}0[A-Z0-9]{6}""),IFERROR(REGEXEXTRACT(SUBSTITUTE(G52,CHAR(10),"&amp;""" ""),""(?i)TO\s+(?:[0-9]+\s+TRANSFER TO\s+[0-9]+\s+TO\s+)?(.+)$""),G52))),int_acc,IFERROR(REGEXEXTRACT(G52,""(?i)(\d{4})[\s/]*DWARKADHIS""),""""),to_target,IF(I52&gt;0,IF(int_acc&lt;&gt;"""",""To: x""&amp;int_acc,""To: Internal""),""To: BOM 675""),IF(ISBLANK(U52),"""&amp;"Remarks Compulsory For Narration"",TRIM(IF(M52=""Internal"",IF(ISNUMBER(SEARCH(""DWARKADHIS"",G52)),""Internal Fund Transfer | ""&amp;to_target&amp;"" | Ref: ""&amp;ref&amp;"" | Type: ""&amp;P52&amp;"" | BU: ""&amp;L52&amp;"" | Head: ""&amp;M52,""Internal Transfer | Ref: ""&amp;ref&amp;"" | Type: "&amp;"""&amp;P52&amp;"" | BU: ""&amp;L52&amp;"" | Head: ""&amp;M52),IF(N(J52)&gt;0,IF(P52=""Customer Collection"",""Receipt Credit (Collection) ""&amp;apt&amp;"" | Ref: ""&amp;ref&amp;"" | From: ""&amp;IF(ISNUMBER(SEARCH(""SOHNA ROAD"",G52)),""Sohna Road"",""Party"")&amp;"" | BU: ""&amp;L52,""Receipt Credit fro"&amp;"m x""&amp;RIGHT(IFERROR(MID(G52,FIND(""-"",SUBSTITUTE(G52,""-"",""-"",3))+1,LEN(G52)),""0000""),4)&amp;"" (Purpose: ""&amp;IF(OR(ISBLANK(U52),U52=""N/A""),L52,U52)&amp;"") ""&amp;apt&amp;"" | Ref: ""&amp;ref&amp;"" | BU: ""&amp;L52&amp;"" | Head: ""&amp;M52),""Payment Disbursement (Purpose: ""&amp;IF(I"&amp;"SNUMBER(SEARCH(""salary"",M52)),""Salary"",U52)&amp;"") | To: ""&amp;payee&amp;"" | Ref: ""&amp;ref&amp;"" | BU: ""&amp;L52&amp;"" | Head: ""&amp;M52&amp;apt)))))"),"Remarks Compulsory For Narration")</f>
        <v>Remarks Compulsory For Narration</v>
      </c>
    </row>
    <row r="53" ht="15.75" customHeight="1">
      <c r="A53" s="36">
        <v>51.0</v>
      </c>
      <c r="B53" s="56" t="str">
        <f t="shared" si="4"/>
        <v>#NAME?</v>
      </c>
      <c r="C53" s="94">
        <f t="shared" si="2"/>
        <v>8</v>
      </c>
      <c r="D53" s="122">
        <v>46240.0</v>
      </c>
      <c r="E53" s="122">
        <v>46240.0</v>
      </c>
      <c r="F53" s="96" t="s">
        <v>591</v>
      </c>
      <c r="G53" s="97" t="s">
        <v>971</v>
      </c>
      <c r="H53" s="96"/>
      <c r="I53" s="99"/>
      <c r="J53" s="99">
        <v>12949.0</v>
      </c>
      <c r="K53" s="125">
        <f t="shared" si="5"/>
        <v>95466.12</v>
      </c>
      <c r="L53" s="62" t="s">
        <v>45</v>
      </c>
      <c r="M53" s="62" t="s">
        <v>47</v>
      </c>
      <c r="N53" s="36"/>
      <c r="O53" s="36" t="s">
        <v>60</v>
      </c>
      <c r="P53" s="30" t="s">
        <v>47</v>
      </c>
      <c r="Q53" s="63" t="s">
        <v>50</v>
      </c>
      <c r="R53" s="124"/>
      <c r="S53" s="124"/>
      <c r="T53" s="124"/>
      <c r="U53" s="30"/>
      <c r="V53" s="30"/>
      <c r="W53" s="30" t="str">
        <f>IFERROR(__xludf.DUMMYFUNCTION("LET(ref,IF(ISBLANK(H53),""N/A"",H53),apt,IF(ISBLANK(T53),"""","" | Apt#: ""&amp;T53),payee,TRIM(IFERROR(REGEXEXTRACT(SUBSTITUTE(G53,CHAR(10),"" ""),""(?i)(?:NEFT|RTGS)\s+[A-Z0-9]+\s+(.+?)\s+[A-Z]{4}0[A-Z0-9]{6}""),IFERROR(REGEXEXTRACT(SUBSTITUTE(G53,CHAR(10),"&amp;""" ""),""(?i)TO\s+(?:[0-9]+\s+TRANSFER TO\s+[0-9]+\s+TO\s+)?(.+)$""),G53))),int_acc,IFERROR(REGEXEXTRACT(G53,""(?i)(\d{4})[\s/]*DWARKADHIS""),""""),to_target,IF(I53&gt;0,IF(int_acc&lt;&gt;"""",""To: x""&amp;int_acc,""To: Internal""),""To: BOM 675""),IF(ISBLANK(U53),"""&amp;"Remarks Compulsory For Narration"",TRIM(IF(M53=""Internal"",IF(ISNUMBER(SEARCH(""DWARKADHIS"",G53)),""Internal Fund Transfer | ""&amp;to_target&amp;"" | Ref: ""&amp;ref&amp;"" | Type: ""&amp;P53&amp;"" | BU: ""&amp;L53&amp;"" | Head: ""&amp;M53,""Internal Transfer | Ref: ""&amp;ref&amp;"" | Type: "&amp;"""&amp;P53&amp;"" | BU: ""&amp;L53&amp;"" | Head: ""&amp;M53),IF(N(J53)&gt;0,IF(P53=""Customer Collection"",""Receipt Credit (Collection) ""&amp;apt&amp;"" | Ref: ""&amp;ref&amp;"" | From: ""&amp;IF(ISNUMBER(SEARCH(""SOHNA ROAD"",G53)),""Sohna Road"",""Party"")&amp;"" | BU: ""&amp;L53,""Receipt Credit fro"&amp;"m x""&amp;RIGHT(IFERROR(MID(G53,FIND(""-"",SUBSTITUTE(G53,""-"",""-"",3))+1,LEN(G53)),""0000""),4)&amp;"" (Purpose: ""&amp;IF(OR(ISBLANK(U53),U53=""N/A""),L53,U53)&amp;"") ""&amp;apt&amp;"" | Ref: ""&amp;ref&amp;"" | BU: ""&amp;L53&amp;"" | Head: ""&amp;M53),""Payment Disbursement (Purpose: ""&amp;IF(I"&amp;"SNUMBER(SEARCH(""salary"",M53)),""Salary"",U53)&amp;"") | To: ""&amp;payee&amp;"" | Ref: ""&amp;ref&amp;"" | BU: ""&amp;L53&amp;"" | Head: ""&amp;M53&amp;apt)))))"),"Remarks Compulsory For Narration")</f>
        <v>Remarks Compulsory For Narration</v>
      </c>
    </row>
    <row r="54" ht="15.75" customHeight="1">
      <c r="A54" s="36">
        <v>52.0</v>
      </c>
      <c r="B54" s="56" t="str">
        <f t="shared" si="4"/>
        <v>#NAME?</v>
      </c>
      <c r="C54" s="94">
        <f t="shared" si="2"/>
        <v>8</v>
      </c>
      <c r="D54" s="122">
        <v>46240.0</v>
      </c>
      <c r="E54" s="122">
        <v>46240.0</v>
      </c>
      <c r="F54" s="96" t="s">
        <v>591</v>
      </c>
      <c r="G54" s="97" t="s">
        <v>976</v>
      </c>
      <c r="H54" s="96"/>
      <c r="I54" s="99"/>
      <c r="J54" s="99">
        <v>58897.0</v>
      </c>
      <c r="K54" s="125">
        <f t="shared" si="5"/>
        <v>154363.12</v>
      </c>
      <c r="L54" s="62" t="s">
        <v>211</v>
      </c>
      <c r="M54" s="62" t="s">
        <v>47</v>
      </c>
      <c r="N54" s="36"/>
      <c r="O54" s="36" t="s">
        <v>60</v>
      </c>
      <c r="P54" s="30" t="s">
        <v>47</v>
      </c>
      <c r="Q54" s="63" t="s">
        <v>50</v>
      </c>
      <c r="R54" s="124"/>
      <c r="S54" s="124"/>
      <c r="T54" s="124"/>
      <c r="U54" s="30" t="s">
        <v>977</v>
      </c>
      <c r="V54" s="30"/>
      <c r="W54" s="30" t="str">
        <f>IFERROR(__xludf.DUMMYFUNCTION("LET(ref,IF(ISBLANK(H54),""N/A"",H54),apt,IF(ISBLANK(T54),"""","" | Apt#: ""&amp;T54),payee,TRIM(IFERROR(REGEXEXTRACT(SUBSTITUTE(G54,CHAR(10),"" ""),""(?i)(?:NEFT|RTGS)\s+[A-Z0-9]+\s+(.+?)\s+[A-Z]{4}0[A-Z0-9]{6}""),IFERROR(REGEXEXTRACT(SUBSTITUTE(G54,CHAR(10),"&amp;""" ""),""(?i)TO\s+(?:[0-9]+\s+TRANSFER TO\s+[0-9]+\s+TO\s+)?(.+)$""),G54))),int_acc,IFERROR(REGEXEXTRACT(G54,""(?i)(\d{4})[\s/]*DWARKADHIS""),""""),to_target,IF(I54&gt;0,IF(int_acc&lt;&gt;"""",""To: x""&amp;int_acc,""To: Internal""),""To: BOM 675""),IF(ISBLANK(U54),"""&amp;"Remarks Compulsory For Narration"",TRIM(IF(M54=""Internal"",IF(ISNUMBER(SEARCH(""DWARKADHIS"",G54)),""Internal Fund Transfer | ""&amp;to_target&amp;"" | Ref: ""&amp;ref&amp;"" | Type: ""&amp;P54&amp;"" | BU: ""&amp;L54&amp;"" | Head: ""&amp;M54,""Internal Transfer | Ref: ""&amp;ref&amp;"" | Type: "&amp;"""&amp;P54&amp;"" | BU: ""&amp;L54&amp;"" | Head: ""&amp;M54),IF(N(J54)&gt;0,IF(P54=""Customer Collection"",""Receipt Credit (Collection) ""&amp;apt&amp;"" | Ref: ""&amp;ref&amp;"" | From: ""&amp;IF(ISNUMBER(SEARCH(""SOHNA ROAD"",G54)),""Sohna Road"",""Party"")&amp;"" | BU: ""&amp;L54,""Receipt Credit fro"&amp;"m x""&amp;RIGHT(IFERROR(MID(G54,FIND(""-"",SUBSTITUTE(G54,""-"",""-"",3))+1,LEN(G54)),""0000""),4)&amp;"" (Purpose: ""&amp;IF(OR(ISBLANK(U54),U54=""N/A""),L54,U54)&amp;"") ""&amp;apt&amp;"" | Ref: ""&amp;ref&amp;"" | BU: ""&amp;L54&amp;"" | Head: ""&amp;M54),""Payment Disbursement (Purpose: ""&amp;IF(I"&amp;"SNUMBER(SEARCH(""salary"",M54)),""Salary"",U54)&amp;"") | To: ""&amp;payee&amp;"" | Ref: ""&amp;ref&amp;"" | BU: ""&amp;L54&amp;"" | Head: ""&amp;M54&amp;apt)))))"),"Internal Fund Transfer | To: BOM 675 | Ref: N/A | Type: Internal | BU: Aravali Heights | Head: Internal")</f>
        <v>Internal Fund Transfer | To: BOM 675 | Ref: N/A | Type: Internal | BU: Aravali Heights | Head: Internal</v>
      </c>
    </row>
    <row r="55" ht="15.75" customHeight="1">
      <c r="A55" s="36">
        <v>53.0</v>
      </c>
      <c r="B55" s="56" t="str">
        <f t="shared" si="4"/>
        <v>#NAME?</v>
      </c>
      <c r="C55" s="94">
        <f t="shared" si="2"/>
        <v>8</v>
      </c>
      <c r="D55" s="122">
        <v>46240.0</v>
      </c>
      <c r="E55" s="122">
        <v>46240.0</v>
      </c>
      <c r="F55" s="96" t="s">
        <v>591</v>
      </c>
      <c r="G55" s="97" t="s">
        <v>982</v>
      </c>
      <c r="H55" s="96"/>
      <c r="I55" s="99">
        <v>146846.0</v>
      </c>
      <c r="J55" s="99"/>
      <c r="K55" s="125">
        <f t="shared" si="5"/>
        <v>7517.12</v>
      </c>
      <c r="L55" s="62" t="s">
        <v>41</v>
      </c>
      <c r="M55" s="62" t="s">
        <v>718</v>
      </c>
      <c r="N55" s="36"/>
      <c r="O55" s="36" t="s">
        <v>60</v>
      </c>
      <c r="P55" s="30"/>
      <c r="Q55" s="63"/>
      <c r="R55" s="124"/>
      <c r="S55" s="124"/>
      <c r="T55" s="124"/>
      <c r="U55" s="30" t="s">
        <v>959</v>
      </c>
      <c r="V55" s="30"/>
      <c r="W55" s="30" t="str">
        <f>IFERROR(__xludf.DUMMYFUNCTION("LET(ref,IF(ISBLANK(H55),""N/A"",H55),apt,IF(ISBLANK(T55),"""","" | Apt#: ""&amp;T55),payee,TRIM(IFERROR(REGEXEXTRACT(SUBSTITUTE(G55,CHAR(10),"" ""),""(?i)(?:NEFT|RTGS)\s+[A-Z0-9]+\s+(.+?)\s+[A-Z]{4}0[A-Z0-9]{6}""),IFERROR(REGEXEXTRACT(SUBSTITUTE(G55,CHAR(10),"&amp;""" ""),""(?i)TO\s+(?:[0-9]+\s+TRANSFER TO\s+[0-9]+\s+TO\s+)?(.+)$""),G55))),int_acc,IFERROR(REGEXEXTRACT(G55,""(?i)(\d{4})[\s/]*DWARKADHIS""),""""),to_target,IF(I55&gt;0,IF(int_acc&lt;&gt;"""",""To: x""&amp;int_acc,""To: Internal""),""To: BOM 675""),IF(ISBLANK(U55),"""&amp;"Remarks Compulsory For Narration"",TRIM(IF(M55=""Internal"",IF(ISNUMBER(SEARCH(""DWARKADHIS"",G55)),""Internal Fund Transfer | ""&amp;to_target&amp;"" | Ref: ""&amp;ref&amp;"" | Type: ""&amp;P55&amp;"" | BU: ""&amp;L55&amp;"" | Head: ""&amp;M55,""Internal Transfer | Ref: ""&amp;ref&amp;"" | Type: "&amp;"""&amp;P55&amp;"" | BU: ""&amp;L55&amp;"" | Head: ""&amp;M55),IF(N(J55)&gt;0,IF(P55=""Customer Collection"",""Receipt Credit (Collection) ""&amp;apt&amp;"" | Ref: ""&amp;ref&amp;"" | From: ""&amp;IF(ISNUMBER(SEARCH(""SOHNA ROAD"",G55)),""Sohna Road"",""Party"")&amp;"" | BU: ""&amp;L55,""Receipt Credit fro"&amp;"m x""&amp;RIGHT(IFERROR(MID(G55,FIND(""-"",SUBSTITUTE(G55,""-"",""-"",3))+1,LEN(G55)),""0000""),4)&amp;"" (Purpose: ""&amp;IF(OR(ISBLANK(U55),U55=""N/A""),L55,U55)&amp;"") ""&amp;apt&amp;"" | Ref: ""&amp;ref&amp;"" | BU: ""&amp;L55&amp;"" | Head: ""&amp;M55),""Payment Disbursement (Purpose: ""&amp;IF(I"&amp;"SNUMBER(SEARCH(""salary"",M55)),""Salary"",U55)&amp;"") | To: ""&amp;payee&amp;"" | Ref: ""&amp;ref&amp;"" | BU: ""&amp;L55&amp;"" | Head: ""&amp;M55&amp;apt)))))"),"Payment Disbursement (Purpose: TDS Deposited) | To: Central Govt Taxes | Ref: N/A | BU: HO | Head: Tax")</f>
        <v>Payment Disbursement (Purpose: TDS Deposited) | To: Central Govt Taxes | Ref: N/A | BU: HO | Head: Tax</v>
      </c>
    </row>
    <row r="56" ht="15.75" customHeight="1">
      <c r="A56" s="36">
        <v>54.0</v>
      </c>
      <c r="B56" s="56" t="str">
        <f t="shared" si="4"/>
        <v>#NAME?</v>
      </c>
      <c r="C56" s="94">
        <f t="shared" si="2"/>
        <v>8</v>
      </c>
      <c r="D56" s="122">
        <v>46248.0</v>
      </c>
      <c r="E56" s="122">
        <v>46248.0</v>
      </c>
      <c r="F56" s="96" t="s">
        <v>591</v>
      </c>
      <c r="G56" s="97" t="s">
        <v>990</v>
      </c>
      <c r="H56" s="96"/>
      <c r="I56" s="99">
        <v>1.0</v>
      </c>
      <c r="J56" s="99"/>
      <c r="K56" s="125">
        <f t="shared" si="5"/>
        <v>7516.12</v>
      </c>
      <c r="L56" s="62" t="s">
        <v>41</v>
      </c>
      <c r="M56" s="62" t="s">
        <v>47</v>
      </c>
      <c r="N56" s="36"/>
      <c r="O56" s="36" t="s">
        <v>60</v>
      </c>
      <c r="P56" s="30"/>
      <c r="Q56" s="63"/>
      <c r="R56" s="124"/>
      <c r="S56" s="124"/>
      <c r="T56" s="124"/>
      <c r="U56" s="30"/>
      <c r="V56" s="30"/>
      <c r="W56" s="30" t="str">
        <f>IFERROR(__xludf.DUMMYFUNCTION("LET(ref,IF(ISBLANK(H56),""N/A"",H56),apt,IF(ISBLANK(T56),"""","" | Apt#: ""&amp;T56),payee,TRIM(IFERROR(REGEXEXTRACT(SUBSTITUTE(G56,CHAR(10),"" ""),""(?i)(?:NEFT|RTGS)\s+[A-Z0-9]+\s+(.+?)\s+[A-Z]{4}0[A-Z0-9]{6}""),IFERROR(REGEXEXTRACT(SUBSTITUTE(G56,CHAR(10),"&amp;""" ""),""(?i)TO\s+(?:[0-9]+\s+TRANSFER TO\s+[0-9]+\s+TO\s+)?(.+)$""),G56))),int_acc,IFERROR(REGEXEXTRACT(G56,""(?i)(\d{4})[\s/]*DWARKADHIS""),""""),to_target,IF(I56&gt;0,IF(int_acc&lt;&gt;"""",""To: x""&amp;int_acc,""To: Internal""),""To: BOM 675""),IF(ISBLANK(U56),"""&amp;"Remarks Compulsory For Narration"",TRIM(IF(M56=""Internal"",IF(ISNUMBER(SEARCH(""DWARKADHIS"",G56)),""Internal Fund Transfer | ""&amp;to_target&amp;"" | Ref: ""&amp;ref&amp;"" | Type: ""&amp;P56&amp;"" | BU: ""&amp;L56&amp;"" | Head: ""&amp;M56,""Internal Transfer | Ref: ""&amp;ref&amp;"" | Type: "&amp;"""&amp;P56&amp;"" | BU: ""&amp;L56&amp;"" | Head: ""&amp;M56),IF(N(J56)&gt;0,IF(P56=""Customer Collection"",""Receipt Credit (Collection) ""&amp;apt&amp;"" | Ref: ""&amp;ref&amp;"" | From: ""&amp;IF(ISNUMBER(SEARCH(""SOHNA ROAD"",G56)),""Sohna Road"",""Party"")&amp;"" | BU: ""&amp;L56,""Receipt Credit fro"&amp;"m x""&amp;RIGHT(IFERROR(MID(G56,FIND(""-"",SUBSTITUTE(G56,""-"",""-"",3))+1,LEN(G56)),""0000""),4)&amp;"" (Purpose: ""&amp;IF(OR(ISBLANK(U56),U56=""N/A""),L56,U56)&amp;"") ""&amp;apt&amp;"" | Ref: ""&amp;ref&amp;"" | BU: ""&amp;L56&amp;"" | Head: ""&amp;M56),""Payment Disbursement (Purpose: ""&amp;IF(I"&amp;"SNUMBER(SEARCH(""salary"",M56)),""Salary"",U56)&amp;"") | To: ""&amp;payee&amp;"" | Ref: ""&amp;ref&amp;"" | BU: ""&amp;L56&amp;"" | Head: ""&amp;M56&amp;apt)))))"),"Remarks Compulsory For Narration")</f>
        <v>Remarks Compulsory For Narration</v>
      </c>
    </row>
    <row r="57" ht="15.75" customHeight="1">
      <c r="A57" s="36">
        <v>55.0</v>
      </c>
      <c r="B57" s="56" t="str">
        <f t="shared" si="4"/>
        <v>#NAME?</v>
      </c>
      <c r="C57" s="94">
        <f t="shared" si="2"/>
        <v>8</v>
      </c>
      <c r="D57" s="122">
        <v>46248.0</v>
      </c>
      <c r="E57" s="122">
        <v>46248.0</v>
      </c>
      <c r="F57" s="96" t="s">
        <v>591</v>
      </c>
      <c r="G57" s="97" t="s">
        <v>994</v>
      </c>
      <c r="H57" s="96"/>
      <c r="I57" s="99"/>
      <c r="J57" s="99">
        <v>45100.0</v>
      </c>
      <c r="K57" s="125">
        <f t="shared" si="5"/>
        <v>52616.12</v>
      </c>
      <c r="L57" s="62" t="s">
        <v>41</v>
      </c>
      <c r="M57" s="62" t="s">
        <v>47</v>
      </c>
      <c r="N57" s="36"/>
      <c r="O57" s="36" t="s">
        <v>60</v>
      </c>
      <c r="P57" s="30"/>
      <c r="Q57" s="63"/>
      <c r="R57" s="124"/>
      <c r="S57" s="124"/>
      <c r="T57" s="124"/>
      <c r="U57" s="30"/>
      <c r="V57" s="30"/>
      <c r="W57" s="30" t="str">
        <f>IFERROR(__xludf.DUMMYFUNCTION("LET(ref,IF(ISBLANK(H57),""N/A"",H57),apt,IF(ISBLANK(T57),"""","" | Apt#: ""&amp;T57),payee,TRIM(IFERROR(REGEXEXTRACT(SUBSTITUTE(G57,CHAR(10),"" ""),""(?i)(?:NEFT|RTGS)\s+[A-Z0-9]+\s+(.+?)\s+[A-Z]{4}0[A-Z0-9]{6}""),IFERROR(REGEXEXTRACT(SUBSTITUTE(G57,CHAR(10),"&amp;""" ""),""(?i)TO\s+(?:[0-9]+\s+TRANSFER TO\s+[0-9]+\s+TO\s+)?(.+)$""),G57))),int_acc,IFERROR(REGEXEXTRACT(G57,""(?i)(\d{4})[\s/]*DWARKADHIS""),""""),to_target,IF(I57&gt;0,IF(int_acc&lt;&gt;"""",""To: x""&amp;int_acc,""To: Internal""),""To: BOM 675""),IF(ISBLANK(U57),"""&amp;"Remarks Compulsory For Narration"",TRIM(IF(M57=""Internal"",IF(ISNUMBER(SEARCH(""DWARKADHIS"",G57)),""Internal Fund Transfer | ""&amp;to_target&amp;"" | Ref: ""&amp;ref&amp;"" | Type: ""&amp;P57&amp;"" | BU: ""&amp;L57&amp;"" | Head: ""&amp;M57,""Internal Transfer | Ref: ""&amp;ref&amp;"" | Type: "&amp;"""&amp;P57&amp;"" | BU: ""&amp;L57&amp;"" | Head: ""&amp;M57),IF(N(J57)&gt;0,IF(P57=""Customer Collection"",""Receipt Credit (Collection) ""&amp;apt&amp;"" | Ref: ""&amp;ref&amp;"" | From: ""&amp;IF(ISNUMBER(SEARCH(""SOHNA ROAD"",G57)),""Sohna Road"",""Party"")&amp;"" | BU: ""&amp;L57,""Receipt Credit fro"&amp;"m x""&amp;RIGHT(IFERROR(MID(G57,FIND(""-"",SUBSTITUTE(G57,""-"",""-"",3))+1,LEN(G57)),""0000""),4)&amp;"" (Purpose: ""&amp;IF(OR(ISBLANK(U57),U57=""N/A""),L57,U57)&amp;"") ""&amp;apt&amp;"" | Ref: ""&amp;ref&amp;"" | BU: ""&amp;L57&amp;"" | Head: ""&amp;M57),""Payment Disbursement (Purpose: ""&amp;IF(I"&amp;"SNUMBER(SEARCH(""salary"",M57)),""Salary"",U57)&amp;"") | To: ""&amp;payee&amp;"" | Ref: ""&amp;ref&amp;"" | BU: ""&amp;L57&amp;"" | Head: ""&amp;M57&amp;apt)))))"),"Remarks Compulsory For Narration")</f>
        <v>Remarks Compulsory For Narration</v>
      </c>
    </row>
    <row r="58" ht="15.75" customHeight="1">
      <c r="A58" s="36">
        <v>56.0</v>
      </c>
      <c r="B58" s="56" t="str">
        <f t="shared" si="4"/>
        <v>#NAME?</v>
      </c>
      <c r="C58" s="94">
        <f t="shared" si="2"/>
        <v>8</v>
      </c>
      <c r="D58" s="122">
        <v>46248.0</v>
      </c>
      <c r="E58" s="122">
        <v>46248.0</v>
      </c>
      <c r="F58" s="96" t="s">
        <v>591</v>
      </c>
      <c r="G58" s="97" t="s">
        <v>995</v>
      </c>
      <c r="H58" s="96"/>
      <c r="I58" s="99"/>
      <c r="J58" s="99">
        <v>5651.0</v>
      </c>
      <c r="K58" s="125">
        <f t="shared" si="5"/>
        <v>58267.12</v>
      </c>
      <c r="L58" s="62" t="s">
        <v>41</v>
      </c>
      <c r="M58" s="62" t="s">
        <v>47</v>
      </c>
      <c r="N58" s="36"/>
      <c r="O58" s="36" t="s">
        <v>60</v>
      </c>
      <c r="P58" s="30"/>
      <c r="Q58" s="63"/>
      <c r="R58" s="124"/>
      <c r="S58" s="124"/>
      <c r="T58" s="124"/>
      <c r="U58" s="30"/>
      <c r="V58" s="30"/>
      <c r="W58" s="30" t="str">
        <f>IFERROR(__xludf.DUMMYFUNCTION("LET(ref,IF(ISBLANK(H58),""N/A"",H58),apt,IF(ISBLANK(T58),"""","" | Apt#: ""&amp;T58),payee,TRIM(IFERROR(REGEXEXTRACT(SUBSTITUTE(G58,CHAR(10),"" ""),""(?i)(?:NEFT|RTGS)\s+[A-Z0-9]+\s+(.+?)\s+[A-Z]{4}0[A-Z0-9]{6}""),IFERROR(REGEXEXTRACT(SUBSTITUTE(G58,CHAR(10),"&amp;""" ""),""(?i)TO\s+(?:[0-9]+\s+TRANSFER TO\s+[0-9]+\s+TO\s+)?(.+)$""),G58))),int_acc,IFERROR(REGEXEXTRACT(G58,""(?i)(\d{4})[\s/]*DWARKADHIS""),""""),to_target,IF(I58&gt;0,IF(int_acc&lt;&gt;"""",""To: x""&amp;int_acc,""To: Internal""),""To: BOM 675""),IF(ISBLANK(U58),"""&amp;"Remarks Compulsory For Narration"",TRIM(IF(M58=""Internal"",IF(ISNUMBER(SEARCH(""DWARKADHIS"",G58)),""Internal Fund Transfer | ""&amp;to_target&amp;"" | Ref: ""&amp;ref&amp;"" | Type: ""&amp;P58&amp;"" | BU: ""&amp;L58&amp;"" | Head: ""&amp;M58,""Internal Transfer | Ref: ""&amp;ref&amp;"" | Type: "&amp;"""&amp;P58&amp;"" | BU: ""&amp;L58&amp;"" | Head: ""&amp;M58),IF(N(J58)&gt;0,IF(P58=""Customer Collection"",""Receipt Credit (Collection) ""&amp;apt&amp;"" | Ref: ""&amp;ref&amp;"" | From: ""&amp;IF(ISNUMBER(SEARCH(""SOHNA ROAD"",G58)),""Sohna Road"",""Party"")&amp;"" | BU: ""&amp;L58,""Receipt Credit fro"&amp;"m x""&amp;RIGHT(IFERROR(MID(G58,FIND(""-"",SUBSTITUTE(G58,""-"",""-"",3))+1,LEN(G58)),""0000""),4)&amp;"" (Purpose: ""&amp;IF(OR(ISBLANK(U58),U58=""N/A""),L58,U58)&amp;"") ""&amp;apt&amp;"" | Ref: ""&amp;ref&amp;"" | BU: ""&amp;L58&amp;"" | Head: ""&amp;M58),""Payment Disbursement (Purpose: ""&amp;IF(I"&amp;"SNUMBER(SEARCH(""salary"",M58)),""Salary"",U58)&amp;"") | To: ""&amp;payee&amp;"" | Ref: ""&amp;ref&amp;"" | BU: ""&amp;L58&amp;"" | Head: ""&amp;M58&amp;apt)))))"),"Remarks Compulsory For Narration")</f>
        <v>Remarks Compulsory For Narration</v>
      </c>
    </row>
    <row r="59" ht="15.75" customHeight="1">
      <c r="A59" s="36">
        <v>57.0</v>
      </c>
      <c r="B59" s="56" t="str">
        <f t="shared" si="4"/>
        <v>#NAME?</v>
      </c>
      <c r="C59" s="94">
        <f t="shared" si="2"/>
        <v>8</v>
      </c>
      <c r="D59" s="122">
        <v>46248.0</v>
      </c>
      <c r="E59" s="122">
        <v>46248.0</v>
      </c>
      <c r="F59" s="96" t="s">
        <v>591</v>
      </c>
      <c r="G59" s="97" t="s">
        <v>998</v>
      </c>
      <c r="H59" s="96"/>
      <c r="I59" s="99"/>
      <c r="J59" s="99">
        <v>11300.0</v>
      </c>
      <c r="K59" s="125">
        <f t="shared" si="5"/>
        <v>69567.12</v>
      </c>
      <c r="L59" s="62" t="s">
        <v>41</v>
      </c>
      <c r="M59" s="62" t="s">
        <v>47</v>
      </c>
      <c r="N59" s="36"/>
      <c r="O59" s="36" t="s">
        <v>60</v>
      </c>
      <c r="P59" s="30"/>
      <c r="Q59" s="63"/>
      <c r="R59" s="124"/>
      <c r="S59" s="124"/>
      <c r="T59" s="124"/>
      <c r="U59" s="30"/>
      <c r="V59" s="30"/>
      <c r="W59" s="30" t="str">
        <f>IFERROR(__xludf.DUMMYFUNCTION("LET(ref,IF(ISBLANK(H59),""N/A"",H59),apt,IF(ISBLANK(T59),"""","" | Apt#: ""&amp;T59),payee,TRIM(IFERROR(REGEXEXTRACT(SUBSTITUTE(G59,CHAR(10),"" ""),""(?i)(?:NEFT|RTGS)\s+[A-Z0-9]+\s+(.+?)\s+[A-Z]{4}0[A-Z0-9]{6}""),IFERROR(REGEXEXTRACT(SUBSTITUTE(G59,CHAR(10),"&amp;""" ""),""(?i)TO\s+(?:[0-9]+\s+TRANSFER TO\s+[0-9]+\s+TO\s+)?(.+)$""),G59))),int_acc,IFERROR(REGEXEXTRACT(G59,""(?i)(\d{4})[\s/]*DWARKADHIS""),""""),to_target,IF(I59&gt;0,IF(int_acc&lt;&gt;"""",""To: x""&amp;int_acc,""To: Internal""),""To: BOM 675""),IF(ISBLANK(U59),"""&amp;"Remarks Compulsory For Narration"",TRIM(IF(M59=""Internal"",IF(ISNUMBER(SEARCH(""DWARKADHIS"",G59)),""Internal Fund Transfer | ""&amp;to_target&amp;"" | Ref: ""&amp;ref&amp;"" | Type: ""&amp;P59&amp;"" | BU: ""&amp;L59&amp;"" | Head: ""&amp;M59,""Internal Transfer | Ref: ""&amp;ref&amp;"" | Type: "&amp;"""&amp;P59&amp;"" | BU: ""&amp;L59&amp;"" | Head: ""&amp;M59),IF(N(J59)&gt;0,IF(P59=""Customer Collection"",""Receipt Credit (Collection) ""&amp;apt&amp;"" | Ref: ""&amp;ref&amp;"" | From: ""&amp;IF(ISNUMBER(SEARCH(""SOHNA ROAD"",G59)),""Sohna Road"",""Party"")&amp;"" | BU: ""&amp;L59,""Receipt Credit fro"&amp;"m x""&amp;RIGHT(IFERROR(MID(G59,FIND(""-"",SUBSTITUTE(G59,""-"",""-"",3))+1,LEN(G59)),""0000""),4)&amp;"" (Purpose: ""&amp;IF(OR(ISBLANK(U59),U59=""N/A""),L59,U59)&amp;"") ""&amp;apt&amp;"" | Ref: ""&amp;ref&amp;"" | BU: ""&amp;L59&amp;"" | Head: ""&amp;M59),""Payment Disbursement (Purpose: ""&amp;IF(I"&amp;"SNUMBER(SEARCH(""salary"",M59)),""Salary"",U59)&amp;"") | To: ""&amp;payee&amp;"" | Ref: ""&amp;ref&amp;"" | BU: ""&amp;L59&amp;"" | Head: ""&amp;M59&amp;apt)))))"),"Remarks Compulsory For Narration")</f>
        <v>Remarks Compulsory For Narration</v>
      </c>
    </row>
    <row r="60" ht="15.75" customHeight="1">
      <c r="A60" s="36">
        <v>58.0</v>
      </c>
      <c r="B60" s="56" t="str">
        <f t="shared" si="4"/>
        <v>#NAME?</v>
      </c>
      <c r="C60" s="94">
        <f t="shared" si="2"/>
        <v>8</v>
      </c>
      <c r="D60" s="122">
        <v>46248.0</v>
      </c>
      <c r="E60" s="122">
        <v>46248.0</v>
      </c>
      <c r="F60" s="96" t="s">
        <v>591</v>
      </c>
      <c r="G60" s="97" t="s">
        <v>1003</v>
      </c>
      <c r="H60" s="96"/>
      <c r="I60" s="99"/>
      <c r="J60" s="99">
        <v>620.0</v>
      </c>
      <c r="K60" s="125">
        <f t="shared" si="5"/>
        <v>70187.12</v>
      </c>
      <c r="L60" s="62" t="s">
        <v>41</v>
      </c>
      <c r="M60" s="62" t="s">
        <v>47</v>
      </c>
      <c r="N60" s="36"/>
      <c r="O60" s="36" t="s">
        <v>60</v>
      </c>
      <c r="P60" s="30"/>
      <c r="Q60" s="63"/>
      <c r="R60" s="124"/>
      <c r="S60" s="124"/>
      <c r="T60" s="124"/>
      <c r="U60" s="30"/>
      <c r="V60" s="30"/>
      <c r="W60" s="30" t="str">
        <f>IFERROR(__xludf.DUMMYFUNCTION("LET(ref,IF(ISBLANK(H60),""N/A"",H60),apt,IF(ISBLANK(T60),"""","" | Apt#: ""&amp;T60),payee,TRIM(IFERROR(REGEXEXTRACT(SUBSTITUTE(G60,CHAR(10),"" ""),""(?i)(?:NEFT|RTGS)\s+[A-Z0-9]+\s+(.+?)\s+[A-Z]{4}0[A-Z0-9]{6}""),IFERROR(REGEXEXTRACT(SUBSTITUTE(G60,CHAR(10),"&amp;""" ""),""(?i)TO\s+(?:[0-9]+\s+TRANSFER TO\s+[0-9]+\s+TO\s+)?(.+)$""),G60))),int_acc,IFERROR(REGEXEXTRACT(G60,""(?i)(\d{4})[\s/]*DWARKADHIS""),""""),to_target,IF(I60&gt;0,IF(int_acc&lt;&gt;"""",""To: x""&amp;int_acc,""To: Internal""),""To: BOM 675""),IF(ISBLANK(U60),"""&amp;"Remarks Compulsory For Narration"",TRIM(IF(M60=""Internal"",IF(ISNUMBER(SEARCH(""DWARKADHIS"",G60)),""Internal Fund Transfer | ""&amp;to_target&amp;"" | Ref: ""&amp;ref&amp;"" | Type: ""&amp;P60&amp;"" | BU: ""&amp;L60&amp;"" | Head: ""&amp;M60,""Internal Transfer | Ref: ""&amp;ref&amp;"" | Type: "&amp;"""&amp;P60&amp;"" | BU: ""&amp;L60&amp;"" | Head: ""&amp;M60),IF(N(J60)&gt;0,IF(P60=""Customer Collection"",""Receipt Credit (Collection) ""&amp;apt&amp;"" | Ref: ""&amp;ref&amp;"" | From: ""&amp;IF(ISNUMBER(SEARCH(""SOHNA ROAD"",G60)),""Sohna Road"",""Party"")&amp;"" | BU: ""&amp;L60,""Receipt Credit fro"&amp;"m x""&amp;RIGHT(IFERROR(MID(G60,FIND(""-"",SUBSTITUTE(G60,""-"",""-"",3))+1,LEN(G60)),""0000""),4)&amp;"" (Purpose: ""&amp;IF(OR(ISBLANK(U60),U60=""N/A""),L60,U60)&amp;"") ""&amp;apt&amp;"" | Ref: ""&amp;ref&amp;"" | BU: ""&amp;L60&amp;"" | Head: ""&amp;M60),""Payment Disbursement (Purpose: ""&amp;IF(I"&amp;"SNUMBER(SEARCH(""salary"",M60)),""Salary"",U60)&amp;"") | To: ""&amp;payee&amp;"" | Ref: ""&amp;ref&amp;"" | BU: ""&amp;L60&amp;"" | Head: ""&amp;M60&amp;apt)))))"),"Remarks Compulsory For Narration")</f>
        <v>Remarks Compulsory For Narration</v>
      </c>
    </row>
    <row r="61" ht="15.75" customHeight="1">
      <c r="A61" s="36">
        <v>59.0</v>
      </c>
      <c r="B61" s="56" t="str">
        <f t="shared" si="4"/>
        <v>#NAME?</v>
      </c>
      <c r="C61" s="94">
        <f t="shared" si="2"/>
        <v>8</v>
      </c>
      <c r="D61" s="122">
        <v>46248.0</v>
      </c>
      <c r="E61" s="122">
        <v>46248.0</v>
      </c>
      <c r="F61" s="96" t="s">
        <v>591</v>
      </c>
      <c r="G61" s="97" t="s">
        <v>1006</v>
      </c>
      <c r="H61" s="96"/>
      <c r="I61" s="99">
        <v>56400.0</v>
      </c>
      <c r="J61" s="99"/>
      <c r="K61" s="125">
        <f t="shared" si="5"/>
        <v>13787.12</v>
      </c>
      <c r="L61" s="62" t="s">
        <v>41</v>
      </c>
      <c r="M61" s="62" t="s">
        <v>634</v>
      </c>
      <c r="N61" s="36"/>
      <c r="O61" s="36" t="s">
        <v>60</v>
      </c>
      <c r="P61" s="30"/>
      <c r="Q61" s="63"/>
      <c r="R61" s="124"/>
      <c r="S61" s="124"/>
      <c r="T61" s="124"/>
      <c r="U61" s="30" t="s">
        <v>190</v>
      </c>
      <c r="V61" s="30"/>
      <c r="W61" s="30" t="str">
        <f>IFERROR(__xludf.DUMMYFUNCTION("LET(ref,IF(ISBLANK(H61),""N/A"",H61),apt,IF(ISBLANK(T61),"""","" | Apt#: ""&amp;T61),payee,TRIM(IFERROR(REGEXEXTRACT(SUBSTITUTE(G61,CHAR(10),"" ""),""(?i)(?:NEFT|RTGS)\s+[A-Z0-9]+\s+(.+?)\s+[A-Z]{4}0[A-Z0-9]{6}""),IFERROR(REGEXEXTRACT(SUBSTITUTE(G61,CHAR(10),"&amp;""" ""),""(?i)TO\s+(?:[0-9]+\s+TRANSFER TO\s+[0-9]+\s+TO\s+)?(.+)$""),G61))),int_acc,IFERROR(REGEXEXTRACT(G61,""(?i)(\d{4})[\s/]*DWARKADHIS""),""""),to_target,IF(I61&gt;0,IF(int_acc&lt;&gt;"""",""To: x""&amp;int_acc,""To: Internal""),""To: BOM 675""),IF(ISBLANK(U61),"""&amp;"Remarks Compulsory For Narration"",TRIM(IF(M61=""Internal"",IF(ISNUMBER(SEARCH(""DWARKADHIS"",G61)),""Internal Fund Transfer | ""&amp;to_target&amp;"" | Ref: ""&amp;ref&amp;"" | Type: ""&amp;P61&amp;"" | BU: ""&amp;L61&amp;"" | Head: ""&amp;M61,""Internal Transfer | Ref: ""&amp;ref&amp;"" | Type: "&amp;"""&amp;P61&amp;"" | BU: ""&amp;L61&amp;"" | Head: ""&amp;M61),IF(N(J61)&gt;0,IF(P61=""Customer Collection"",""Receipt Credit (Collection) ""&amp;apt&amp;"" | Ref: ""&amp;ref&amp;"" | From: ""&amp;IF(ISNUMBER(SEARCH(""SOHNA ROAD"",G61)),""Sohna Road"",""Party"")&amp;"" | BU: ""&amp;L61,""Receipt Credit fro"&amp;"m x""&amp;RIGHT(IFERROR(MID(G61,FIND(""-"",SUBSTITUTE(G61,""-"",""-"",3))+1,LEN(G61)),""0000""),4)&amp;"" (Purpose: ""&amp;IF(OR(ISBLANK(U61),U61=""N/A""),L61,U61)&amp;"") ""&amp;apt&amp;"" | Ref: ""&amp;ref&amp;"" | BU: ""&amp;L61&amp;"" | Head: ""&amp;M61),""Payment Disbursement (Purpose: ""&amp;IF(I"&amp;"SNUMBER(SEARCH(""salary"",M61)),""Salary"",U61)&amp;"") | To: ""&amp;payee&amp;"" | Ref: ""&amp;ref&amp;"" | BU: ""&amp;L61&amp;"" | Head: ""&amp;M61&amp;apt)))))"),"Payment Disbursement (Purpose: EPF Payment) | To: EMPLOYEES PROVIDENT FUND ORGANISATION | Ref: N/A | BU: HO | Head: EPF/ESI")</f>
        <v>Payment Disbursement (Purpose: EPF Payment) | To: EMPLOYEES PROVIDENT FUND ORGANISATION | Ref: N/A | BU: HO | Head: EPF/ESI</v>
      </c>
    </row>
    <row r="62" ht="15.75" customHeight="1">
      <c r="A62" s="36">
        <v>60.0</v>
      </c>
      <c r="B62" s="56" t="str">
        <f t="shared" si="4"/>
        <v>#NAME?</v>
      </c>
      <c r="C62" s="94">
        <f t="shared" si="2"/>
        <v>8</v>
      </c>
      <c r="D62" s="122">
        <v>46248.0</v>
      </c>
      <c r="E62" s="122">
        <v>46248.0</v>
      </c>
      <c r="F62" s="96" t="s">
        <v>591</v>
      </c>
      <c r="G62" s="97" t="s">
        <v>1013</v>
      </c>
      <c r="H62" s="96"/>
      <c r="I62" s="99">
        <v>5803.0</v>
      </c>
      <c r="J62" s="99"/>
      <c r="K62" s="125">
        <f t="shared" si="5"/>
        <v>7984.12</v>
      </c>
      <c r="L62" s="62" t="s">
        <v>41</v>
      </c>
      <c r="M62" s="62" t="s">
        <v>634</v>
      </c>
      <c r="N62" s="36"/>
      <c r="O62" s="36" t="s">
        <v>60</v>
      </c>
      <c r="P62" s="30"/>
      <c r="Q62" s="63"/>
      <c r="R62" s="124"/>
      <c r="S62" s="124"/>
      <c r="T62" s="124"/>
      <c r="U62" s="30" t="s">
        <v>197</v>
      </c>
      <c r="V62" s="30"/>
      <c r="W62" s="30" t="str">
        <f>IFERROR(__xludf.DUMMYFUNCTION("LET(ref,IF(ISBLANK(H62),""N/A"",H62),apt,IF(ISBLANK(T62),"""","" | Apt#: ""&amp;T62),payee,TRIM(IFERROR(REGEXEXTRACT(SUBSTITUTE(G62,CHAR(10),"" ""),""(?i)(?:NEFT|RTGS)\s+[A-Z0-9]+\s+(.+?)\s+[A-Z]{4}0[A-Z0-9]{6}""),IFERROR(REGEXEXTRACT(SUBSTITUTE(G62,CHAR(10),"&amp;""" ""),""(?i)TO\s+(?:[0-9]+\s+TRANSFER TO\s+[0-9]+\s+TO\s+)?(.+)$""),G62))),int_acc,IFERROR(REGEXEXTRACT(G62,""(?i)(\d{4})[\s/]*DWARKADHIS""),""""),to_target,IF(I62&gt;0,IF(int_acc&lt;&gt;"""",""To: x""&amp;int_acc,""To: Internal""),""To: BOM 675""),IF(ISBLANK(U62),"""&amp;"Remarks Compulsory For Narration"",TRIM(IF(M62=""Internal"",IF(ISNUMBER(SEARCH(""DWARKADHIS"",G62)),""Internal Fund Transfer | ""&amp;to_target&amp;"" | Ref: ""&amp;ref&amp;"" | Type: ""&amp;P62&amp;"" | BU: ""&amp;L62&amp;"" | Head: ""&amp;M62,""Internal Transfer | Ref: ""&amp;ref&amp;"" | Type: "&amp;"""&amp;P62&amp;"" | BU: ""&amp;L62&amp;"" | Head: ""&amp;M62),IF(N(J62)&gt;0,IF(P62=""Customer Collection"",""Receipt Credit (Collection) ""&amp;apt&amp;"" | Ref: ""&amp;ref&amp;"" | From: ""&amp;IF(ISNUMBER(SEARCH(""SOHNA ROAD"",G62)),""Sohna Road"",""Party"")&amp;"" | BU: ""&amp;L62,""Receipt Credit fro"&amp;"m x""&amp;RIGHT(IFERROR(MID(G62,FIND(""-"",SUBSTITUTE(G62,""-"",""-"",3))+1,LEN(G62)),""0000""),4)&amp;"" (Purpose: ""&amp;IF(OR(ISBLANK(U62),U62=""N/A""),L62,U62)&amp;"") ""&amp;apt&amp;"" | Ref: ""&amp;ref&amp;"" | BU: ""&amp;L62&amp;"" | Head: ""&amp;M62),""Payment Disbursement (Purpose: ""&amp;IF(I"&amp;"SNUMBER(SEARCH(""salary"",M62)),""Salary"",U62)&amp;"") | To: ""&amp;payee&amp;"" | Ref: ""&amp;ref&amp;"" | BU: ""&amp;L62&amp;"" | Head: ""&amp;M62&amp;apt)))))"),"Payment Disbursement (Purpose: ESI Payment) | To: BILLDESK | Ref: N/A | BU: HO | Head: EPF/ESI")</f>
        <v>Payment Disbursement (Purpose: ESI Payment) | To: BILLDESK | Ref: N/A | BU: HO | Head: EPF/ESI</v>
      </c>
    </row>
    <row r="63" ht="15.75" customHeight="1">
      <c r="A63" s="36">
        <v>61.0</v>
      </c>
      <c r="B63" s="56" t="str">
        <f t="shared" si="4"/>
        <v>#NAME?</v>
      </c>
      <c r="C63" s="94">
        <f t="shared" si="2"/>
        <v>8</v>
      </c>
      <c r="D63" s="122">
        <v>46248.0</v>
      </c>
      <c r="E63" s="122">
        <v>46248.0</v>
      </c>
      <c r="F63" s="96" t="s">
        <v>591</v>
      </c>
      <c r="G63" s="97" t="s">
        <v>1021</v>
      </c>
      <c r="H63" s="96"/>
      <c r="I63" s="99">
        <v>468.0</v>
      </c>
      <c r="J63" s="99"/>
      <c r="K63" s="125">
        <f t="shared" si="5"/>
        <v>7516.12</v>
      </c>
      <c r="L63" s="62" t="s">
        <v>41</v>
      </c>
      <c r="M63" s="62" t="s">
        <v>634</v>
      </c>
      <c r="N63" s="36"/>
      <c r="O63" s="36" t="s">
        <v>48</v>
      </c>
      <c r="P63" s="30"/>
      <c r="Q63" s="63"/>
      <c r="R63" s="124"/>
      <c r="S63" s="124"/>
      <c r="T63" s="124"/>
      <c r="U63" s="30" t="s">
        <v>197</v>
      </c>
      <c r="V63" s="30"/>
      <c r="W63" s="30" t="str">
        <f>IFERROR(__xludf.DUMMYFUNCTION("LET(ref,IF(ISBLANK(H63),""N/A"",H63),apt,IF(ISBLANK(T63),"""","" | Apt#: ""&amp;T63),payee,TRIM(IFERROR(REGEXEXTRACT(SUBSTITUTE(G63,CHAR(10),"" ""),""(?i)(?:NEFT|RTGS)\s+[A-Z0-9]+\s+(.+?)\s+[A-Z]{4}0[A-Z0-9]{6}""),IFERROR(REGEXEXTRACT(SUBSTITUTE(G63,CHAR(10),"&amp;""" ""),""(?i)TO\s+(?:[0-9]+\s+TRANSFER TO\s+[0-9]+\s+TO\s+)?(.+)$""),G63))),int_acc,IFERROR(REGEXEXTRACT(G63,""(?i)(\d{4})[\s/]*DWARKADHIS""),""""),to_target,IF(I63&gt;0,IF(int_acc&lt;&gt;"""",""To: x""&amp;int_acc,""To: Internal""),""To: BOM 675""),IF(ISBLANK(U63),"""&amp;"Remarks Compulsory For Narration"",TRIM(IF(M63=""Internal"",IF(ISNUMBER(SEARCH(""DWARKADHIS"",G63)),""Internal Fund Transfer | ""&amp;to_target&amp;"" | Ref: ""&amp;ref&amp;"" | Type: ""&amp;P63&amp;"" | BU: ""&amp;L63&amp;"" | Head: ""&amp;M63,""Internal Transfer | Ref: ""&amp;ref&amp;"" | Type: "&amp;"""&amp;P63&amp;"" | BU: ""&amp;L63&amp;"" | Head: ""&amp;M63),IF(N(J63)&gt;0,IF(P63=""Customer Collection"",""Receipt Credit (Collection) ""&amp;apt&amp;"" | Ref: ""&amp;ref&amp;"" | From: ""&amp;IF(ISNUMBER(SEARCH(""SOHNA ROAD"",G63)),""Sohna Road"",""Party"")&amp;"" | BU: ""&amp;L63,""Receipt Credit fro"&amp;"m x""&amp;RIGHT(IFERROR(MID(G63,FIND(""-"",SUBSTITUTE(G63,""-"",""-"",3))+1,LEN(G63)),""0000""),4)&amp;"" (Purpose: ""&amp;IF(OR(ISBLANK(U63),U63=""N/A""),L63,U63)&amp;"") ""&amp;apt&amp;"" | Ref: ""&amp;ref&amp;"" | BU: ""&amp;L63&amp;"" | Head: ""&amp;M63),""Payment Disbursement (Purpose: ""&amp;IF(I"&amp;"SNUMBER(SEARCH(""salary"",M63)),""Salary"",U63)&amp;"") | To: ""&amp;payee&amp;"" | Ref: ""&amp;ref&amp;"" | BU: ""&amp;L63&amp;"" | Head: ""&amp;M63&amp;apt)))))"),"Payment Disbursement (Purpose: ESI Payment) | To: BILLDESK | Ref: N/A | BU: HO | Head: EPF/ESI")</f>
        <v>Payment Disbursement (Purpose: ESI Payment) | To: BILLDESK | Ref: N/A | BU: HO | Head: EPF/ESI</v>
      </c>
    </row>
    <row r="64" ht="15.75" customHeight="1">
      <c r="A64" s="36">
        <v>62.0</v>
      </c>
      <c r="B64" s="56" t="str">
        <f t="shared" si="4"/>
        <v>#NAME?</v>
      </c>
      <c r="C64" s="94">
        <f t="shared" si="2"/>
        <v>8</v>
      </c>
      <c r="D64" s="122">
        <v>46254.0</v>
      </c>
      <c r="E64" s="122">
        <v>46254.0</v>
      </c>
      <c r="F64" s="96" t="s">
        <v>591</v>
      </c>
      <c r="G64" s="97" t="s">
        <v>1022</v>
      </c>
      <c r="H64" s="96"/>
      <c r="I64" s="99"/>
      <c r="J64" s="99">
        <v>24601.0</v>
      </c>
      <c r="K64" s="125">
        <f t="shared" si="5"/>
        <v>32117.12</v>
      </c>
      <c r="L64" s="62" t="s">
        <v>41</v>
      </c>
      <c r="M64" s="62" t="s">
        <v>47</v>
      </c>
      <c r="N64" s="36"/>
      <c r="O64" s="36"/>
      <c r="P64" s="30"/>
      <c r="Q64" s="63"/>
      <c r="R64" s="124"/>
      <c r="S64" s="124"/>
      <c r="T64" s="124"/>
      <c r="U64" s="30" t="s">
        <v>75</v>
      </c>
      <c r="V64" s="30"/>
      <c r="W64" s="30" t="str">
        <f>IFERROR(__xludf.DUMMYFUNCTION("LET(ref,IF(ISBLANK(H64),""N/A"",H64),apt,IF(ISBLANK(T64),"""","" | Apt#: ""&amp;T64),payee,TRIM(IFERROR(REGEXEXTRACT(SUBSTITUTE(G64,CHAR(10),"" ""),""(?i)(?:NEFT|RTGS)\s+[A-Z0-9]+\s+(.+?)\s+[A-Z]{4}0[A-Z0-9]{6}""),IFERROR(REGEXEXTRACT(SUBSTITUTE(G64,CHAR(10),"&amp;""" ""),""(?i)TO\s+(?:[0-9]+\s+TRANSFER TO\s+[0-9]+\s+TO\s+)?(.+)$""),G64))),int_acc,IFERROR(REGEXEXTRACT(G64,""(?i)(\d{4})[\s/]*DWARKADHIS""),""""),to_target,IF(I64&gt;0,IF(int_acc&lt;&gt;"""",""To: x""&amp;int_acc,""To: Internal""),""To: BOM 675""),IF(ISBLANK(U64),"""&amp;"Remarks Compulsory For Narration"",TRIM(IF(M64=""Internal"",IF(ISNUMBER(SEARCH(""DWARKADHIS"",G64)),""Internal Fund Transfer | ""&amp;to_target&amp;"" | Ref: ""&amp;ref&amp;"" | Type: ""&amp;P64&amp;"" | BU: ""&amp;L64&amp;"" | Head: ""&amp;M64,""Internal Transfer | Ref: ""&amp;ref&amp;"" | Type: "&amp;"""&amp;P64&amp;"" | BU: ""&amp;L64&amp;"" | Head: ""&amp;M64),IF(N(J64)&gt;0,IF(P64=""Customer Collection"",""Receipt Credit (Collection) ""&amp;apt&amp;"" | Ref: ""&amp;ref&amp;"" | From: ""&amp;IF(ISNUMBER(SEARCH(""SOHNA ROAD"",G64)),""Sohna Road"",""Party"")&amp;"" | BU: ""&amp;L64,""Receipt Credit fro"&amp;"m x""&amp;RIGHT(IFERROR(MID(G64,FIND(""-"",SUBSTITUTE(G64,""-"",""-"",3))+1,LEN(G64)),""0000""),4)&amp;"" (Purpose: ""&amp;IF(OR(ISBLANK(U64),U64=""N/A""),L64,U64)&amp;"") ""&amp;apt&amp;"" | Ref: ""&amp;ref&amp;"" | BU: ""&amp;L64&amp;"" | Head: ""&amp;M64),""Payment Disbursement (Purpose: ""&amp;IF(I"&amp;"SNUMBER(SEARCH(""salary"",M64)),""Salary"",U64)&amp;"") | To: ""&amp;payee&amp;"" | Ref: ""&amp;ref&amp;"" | BU: ""&amp;L64&amp;"" | Head: ""&amp;M64&amp;apt)))))"),"Internal Fund Transfer | To: BOM 675 | Ref: N/A | Type: | BU: HO | Head: Internal")</f>
        <v>Internal Fund Transfer | To: BOM 675 | Ref: N/A | Type: | BU: HO | Head: Internal</v>
      </c>
    </row>
    <row r="65" ht="15.75" customHeight="1">
      <c r="A65" s="36">
        <v>63.0</v>
      </c>
      <c r="B65" s="56" t="str">
        <f t="shared" si="4"/>
        <v>#NAME?</v>
      </c>
      <c r="C65" s="94">
        <f t="shared" si="2"/>
        <v>8</v>
      </c>
      <c r="D65" s="122">
        <v>46254.0</v>
      </c>
      <c r="E65" s="122">
        <v>46254.0</v>
      </c>
      <c r="F65" s="96" t="s">
        <v>591</v>
      </c>
      <c r="G65" s="97" t="s">
        <v>1025</v>
      </c>
      <c r="H65" s="96"/>
      <c r="I65" s="99">
        <v>24600.0</v>
      </c>
      <c r="J65" s="99"/>
      <c r="K65" s="125">
        <f t="shared" si="5"/>
        <v>7517.12</v>
      </c>
      <c r="L65" s="62" t="s">
        <v>41</v>
      </c>
      <c r="M65" s="62" t="s">
        <v>718</v>
      </c>
      <c r="N65" s="36"/>
      <c r="O65" s="36"/>
      <c r="P65" s="30"/>
      <c r="Q65" s="63"/>
      <c r="R65" s="124"/>
      <c r="S65" s="124"/>
      <c r="T65" s="124"/>
      <c r="U65" s="30" t="s">
        <v>1029</v>
      </c>
      <c r="V65" s="30"/>
      <c r="W65" s="30" t="str">
        <f>IFERROR(__xludf.DUMMYFUNCTION("LET(ref,IF(ISBLANK(H65),""N/A"",H65),apt,IF(ISBLANK(T65),"""","" | Apt#: ""&amp;T65),payee,TRIM(IFERROR(REGEXEXTRACT(SUBSTITUTE(G65,CHAR(10),"" ""),""(?i)(?:NEFT|RTGS)\s+[A-Z0-9]+\s+(.+?)\s+[A-Z]{4}0[A-Z0-9]{6}""),IFERROR(REGEXEXTRACT(SUBSTITUTE(G65,CHAR(10),"&amp;""" ""),""(?i)TO\s+(?:[0-9]+\s+TRANSFER TO\s+[0-9]+\s+TO\s+)?(.+)$""),G65))),int_acc,IFERROR(REGEXEXTRACT(G65,""(?i)(\d{4})[\s/]*DWARKADHIS""),""""),to_target,IF(I65&gt;0,IF(int_acc&lt;&gt;"""",""To: x""&amp;int_acc,""To: Internal""),""To: BOM 675""),IF(ISBLANK(U65),"""&amp;"Remarks Compulsory For Narration"",TRIM(IF(M65=""Internal"",IF(ISNUMBER(SEARCH(""DWARKADHIS"",G65)),""Internal Fund Transfer | ""&amp;to_target&amp;"" | Ref: ""&amp;ref&amp;"" | Type: ""&amp;P65&amp;"" | BU: ""&amp;L65&amp;"" | Head: ""&amp;M65,""Internal Transfer | Ref: ""&amp;ref&amp;"" | Type: "&amp;"""&amp;P65&amp;"" | BU: ""&amp;L65&amp;"" | Head: ""&amp;M65),IF(N(J65)&gt;0,IF(P65=""Customer Collection"",""Receipt Credit (Collection) ""&amp;apt&amp;"" | Ref: ""&amp;ref&amp;"" | From: ""&amp;IF(ISNUMBER(SEARCH(""SOHNA ROAD"",G65)),""Sohna Road"",""Party"")&amp;"" | BU: ""&amp;L65,""Receipt Credit fro"&amp;"m x""&amp;RIGHT(IFERROR(MID(G65,FIND(""-"",SUBSTITUTE(G65,""-"",""-"",3))+1,LEN(G65)),""0000""),4)&amp;"" (Purpose: ""&amp;IF(OR(ISBLANK(U65),U65=""N/A""),L65,U65)&amp;"") ""&amp;apt&amp;"" | Ref: ""&amp;ref&amp;"" | BU: ""&amp;L65&amp;"" | Head: ""&amp;M65),""Payment Disbursement (Purpose: ""&amp;IF(I"&amp;"SNUMBER(SEARCH(""salary"",M65)),""Salary"",U65)&amp;"") | To: ""&amp;payee&amp;"" | Ref: ""&amp;ref&amp;"" | BU: ""&amp;L65&amp;"" | Head: ""&amp;M65&amp;apt)))))"),"Payment Disbursement (Purpose: GST Payment) | To: BANK OF MAHARASHTRA GST POOL ACCOUNT | Ref: N/A | BU: HO | Head: Tax")</f>
        <v>Payment Disbursement (Purpose: GST Payment) | To: BANK OF MAHARASHTRA GST POOL ACCOUNT | Ref: N/A | BU: HO | Head: Tax</v>
      </c>
    </row>
    <row r="66" ht="15.75" customHeight="1">
      <c r="A66" s="1"/>
      <c r="B66" s="128"/>
      <c r="C66" s="128"/>
      <c r="D66" s="130"/>
      <c r="E66" s="1"/>
      <c r="F66" s="1"/>
      <c r="G66" s="1"/>
      <c r="H66" s="1"/>
      <c r="I66" s="8"/>
      <c r="J66" s="8"/>
      <c r="K66" s="125">
        <f t="shared" si="5"/>
        <v>7517.12</v>
      </c>
      <c r="L66" s="133"/>
      <c r="M66" s="133"/>
      <c r="O66" s="134"/>
      <c r="P66" s="2"/>
      <c r="Q66" s="134"/>
      <c r="R66" s="135"/>
      <c r="S66" s="135"/>
      <c r="T66" s="135"/>
      <c r="U66" s="2"/>
      <c r="V66" s="2"/>
      <c r="W66" s="2"/>
    </row>
    <row r="67" ht="15.75" customHeight="1">
      <c r="A67" s="1"/>
      <c r="B67" s="128"/>
      <c r="C67" s="128"/>
      <c r="D67" s="130"/>
      <c r="E67" s="130"/>
      <c r="F67" s="130"/>
      <c r="G67" s="140"/>
      <c r="H67" s="130"/>
      <c r="I67" s="141"/>
      <c r="J67" s="132"/>
      <c r="K67" s="132"/>
      <c r="L67" s="133"/>
      <c r="M67" s="133"/>
      <c r="O67" s="134"/>
      <c r="P67" s="2"/>
      <c r="Q67" s="134"/>
      <c r="R67" s="135"/>
      <c r="S67" s="135"/>
      <c r="T67" s="135"/>
      <c r="U67" s="2"/>
      <c r="V67" s="2"/>
      <c r="W67" s="2"/>
    </row>
    <row r="68" ht="15.75" customHeight="1">
      <c r="A68" s="1"/>
      <c r="B68" s="128"/>
      <c r="C68" s="128"/>
      <c r="D68" s="130"/>
      <c r="E68" s="130"/>
      <c r="F68" s="130"/>
      <c r="G68" s="140"/>
      <c r="H68" s="130"/>
      <c r="I68" s="141"/>
      <c r="J68" s="132"/>
      <c r="K68" s="132"/>
      <c r="L68" s="133"/>
      <c r="M68" s="133"/>
      <c r="O68" s="134"/>
      <c r="P68" s="2"/>
      <c r="Q68" s="134"/>
      <c r="R68" s="135"/>
      <c r="S68" s="135"/>
      <c r="T68" s="135"/>
      <c r="U68" s="2"/>
      <c r="V68" s="2"/>
      <c r="W68" s="2"/>
    </row>
    <row r="69" ht="15.75" customHeight="1">
      <c r="A69" s="1"/>
      <c r="B69" s="128"/>
      <c r="C69" s="128"/>
      <c r="D69" s="130"/>
      <c r="E69" s="130"/>
      <c r="F69" s="130"/>
      <c r="G69" s="140"/>
      <c r="H69" s="130"/>
      <c r="I69" s="141"/>
      <c r="J69" s="132"/>
      <c r="K69" s="132"/>
      <c r="L69" s="133"/>
      <c r="M69" s="133"/>
      <c r="O69" s="134"/>
      <c r="P69" s="2"/>
      <c r="Q69" s="134"/>
      <c r="R69" s="135"/>
      <c r="S69" s="135"/>
      <c r="T69" s="135"/>
      <c r="U69" s="2"/>
      <c r="V69" s="2"/>
      <c r="W69" s="2"/>
    </row>
    <row r="70" ht="15.75" customHeight="1">
      <c r="A70" s="1"/>
      <c r="B70" s="128"/>
      <c r="C70" s="128"/>
      <c r="D70" s="130"/>
      <c r="E70" s="130"/>
      <c r="F70" s="130"/>
      <c r="G70" s="140"/>
      <c r="H70" s="130"/>
      <c r="I70" s="141"/>
      <c r="J70" s="132"/>
      <c r="K70" s="132"/>
      <c r="L70" s="133"/>
      <c r="M70" s="133"/>
      <c r="O70" s="134"/>
      <c r="P70" s="2"/>
      <c r="Q70" s="134"/>
      <c r="R70" s="135"/>
      <c r="S70" s="135"/>
      <c r="T70" s="135"/>
      <c r="U70" s="2"/>
      <c r="V70" s="2"/>
      <c r="W70" s="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66"/>
  <customSheetViews>
    <customSheetView guid="{CC689192-7AC6-4299-926D-E270C56A13E2}" filter="1" showAutoFilter="1">
      <autoFilter ref="$A$2:$W$66"/>
      <extLst>
        <ext uri="GoogleSheetsCustomDataVersion1">
          <go:sheetsCustomData xmlns:go="http://customooxmlschemas.google.com/" filterViewId="1543793918"/>
        </ext>
      </extLst>
    </customSheetView>
  </customSheetViews>
  <conditionalFormatting sqref="K1:K70">
    <cfRule type="expression" dxfId="0" priority="1">
      <formula>O:O="Reco"</formula>
    </cfRule>
  </conditionalFormatting>
  <conditionalFormatting sqref="K1:K70">
    <cfRule type="expression" dxfId="1" priority="2">
      <formula>O:O="entry"</formula>
    </cfRule>
  </conditionalFormatting>
  <dataValidations>
    <dataValidation type="list" allowBlank="1" showErrorMessage="1" sqref="P3 L3:M70 P4:Q70">
      <formula1>#REF!</formula1>
    </dataValidation>
    <dataValidation type="list" allowBlank="1" sqref="N3 O4:O70">
      <formula1>"Reco,Suspense,Entry,Reverse Entry,Pending"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5.0"/>
    <col customWidth="1" min="2" max="3" width="6.0"/>
    <col customWidth="1" min="4" max="4" width="9.63"/>
    <col customWidth="1" min="5" max="5" width="9.13"/>
    <col customWidth="1" min="6" max="6" width="6.13"/>
    <col customWidth="1" min="7" max="7" width="37.5"/>
    <col customWidth="1" min="8" max="8" width="15.63"/>
    <col customWidth="1" min="9" max="9" width="9.63"/>
    <col customWidth="1" min="10" max="10" width="10.88"/>
    <col customWidth="1" min="11" max="11" width="11.63"/>
    <col customWidth="1" min="12" max="12" width="13.13"/>
    <col customWidth="1" min="13" max="13" width="10.13"/>
    <col customWidth="1" min="14" max="15" width="7.63"/>
    <col customWidth="1" min="16" max="16" width="13.88"/>
    <col customWidth="1" min="17" max="17" width="7.63"/>
    <col customWidth="1" hidden="1" min="18" max="19" width="9.0"/>
    <col customWidth="1" min="21" max="21" width="16.13"/>
    <col customWidth="1" min="22" max="22" width="18.0"/>
    <col customWidth="1" min="23" max="23" width="38.13"/>
  </cols>
  <sheetData>
    <row r="1" ht="15.75" customHeight="1">
      <c r="A1" s="1" t="s">
        <v>0</v>
      </c>
      <c r="F1" s="3"/>
      <c r="G1" s="5" t="s">
        <v>3</v>
      </c>
      <c r="H1" s="4">
        <v>46256.0</v>
      </c>
      <c r="I1" s="137">
        <f t="shared" ref="I1:J1" si="1">SUBTOTAL(9,I3:I86)</f>
        <v>23452715</v>
      </c>
      <c r="J1" s="137">
        <f t="shared" si="1"/>
        <v>23481033</v>
      </c>
      <c r="K1" s="137">
        <f>J1-I1</f>
        <v>28318</v>
      </c>
      <c r="U1" s="2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1" t="str">
        <f>'YES Master 0264'!D2</f>
        <v>TXN DATE</v>
      </c>
      <c r="E2" s="11" t="str">
        <f>'YES Master 0264'!E2</f>
        <v>VALUE DATE</v>
      </c>
      <c r="F2" s="11" t="str">
        <f>'YES Master 0264'!F2</f>
        <v>TYPE</v>
      </c>
      <c r="G2" s="11" t="str">
        <f>'YES Master 0264'!G2</f>
        <v>DESCRIPTION</v>
      </c>
      <c r="H2" s="11" t="str">
        <f>'YES Master 0264'!H2</f>
        <v>REFERENCE</v>
      </c>
      <c r="I2" s="19" t="str">
        <f>'YES Master 0264'!I2</f>
        <v>DEBITS</v>
      </c>
      <c r="J2" s="19" t="str">
        <f>'YES Master 0264'!J2</f>
        <v>CREDITS</v>
      </c>
      <c r="K2" s="19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11" t="str">
        <f>'YES Master 0264'!P2</f>
        <v>TYPE FOR RERA IDW</v>
      </c>
      <c r="Q2" s="11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11" t="str">
        <f>'YES Master 0264'!W2</f>
        <v>NARRATION</v>
      </c>
    </row>
    <row r="3" ht="15.75" customHeight="1">
      <c r="A3" s="56"/>
      <c r="B3" s="56"/>
      <c r="C3" s="56"/>
      <c r="D3" s="66"/>
      <c r="E3" s="66"/>
      <c r="F3" s="45"/>
      <c r="G3" s="45"/>
      <c r="H3" s="61"/>
      <c r="I3" s="138"/>
      <c r="J3" s="138"/>
      <c r="K3" s="138"/>
      <c r="L3" s="62"/>
      <c r="M3" s="62"/>
      <c r="N3" s="63"/>
      <c r="O3" s="62"/>
      <c r="P3" s="30"/>
      <c r="Q3" s="63"/>
      <c r="R3" s="36"/>
      <c r="S3" s="36"/>
      <c r="T3" s="36"/>
      <c r="U3" s="30"/>
      <c r="V3" s="36"/>
      <c r="W3" s="36"/>
    </row>
    <row r="4" ht="15.75" customHeight="1">
      <c r="A4" s="56"/>
      <c r="B4" s="56"/>
      <c r="C4" s="56"/>
      <c r="D4" s="56"/>
      <c r="E4" s="66"/>
      <c r="F4" s="45"/>
      <c r="G4" s="45"/>
      <c r="H4" s="61"/>
      <c r="I4" s="138"/>
      <c r="J4" s="138"/>
      <c r="K4" s="138"/>
      <c r="L4" s="62"/>
      <c r="M4" s="62"/>
      <c r="N4" s="63"/>
      <c r="O4" s="62"/>
      <c r="P4" s="30"/>
      <c r="Q4" s="63"/>
      <c r="R4" s="36"/>
      <c r="S4" s="36"/>
      <c r="T4" s="36"/>
      <c r="U4" s="30"/>
      <c r="V4" s="36"/>
      <c r="W4" s="36"/>
    </row>
    <row r="5" ht="15.75" customHeight="1">
      <c r="A5" s="56"/>
      <c r="B5" s="56"/>
      <c r="C5" s="56"/>
      <c r="D5" s="66">
        <v>46254.0</v>
      </c>
      <c r="E5" s="66">
        <v>46254.0</v>
      </c>
      <c r="F5" s="45"/>
      <c r="G5" s="45" t="s">
        <v>1011</v>
      </c>
      <c r="H5" s="61" t="s">
        <v>1012</v>
      </c>
      <c r="I5" s="138">
        <v>15000.0</v>
      </c>
      <c r="J5" s="139"/>
      <c r="K5" s="139">
        <f t="shared" ref="K5:K85" si="2">K6+J5-I5</f>
        <v>28318</v>
      </c>
      <c r="L5" s="62" t="s">
        <v>211</v>
      </c>
      <c r="M5" s="62" t="s">
        <v>47</v>
      </c>
      <c r="N5" s="63"/>
      <c r="O5" s="62"/>
      <c r="P5" s="30" t="s">
        <v>47</v>
      </c>
      <c r="Q5" s="63" t="s">
        <v>50</v>
      </c>
      <c r="R5" s="36"/>
      <c r="S5" s="36"/>
      <c r="T5" s="36"/>
      <c r="U5" s="30"/>
      <c r="V5" s="30"/>
      <c r="W5" s="30"/>
    </row>
    <row r="6" ht="15.75" customHeight="1">
      <c r="A6" s="56">
        <v>82.0</v>
      </c>
      <c r="B6" s="56" t="str">
        <f t="shared" ref="B6:B85" si="3">IF(D6="","?",_xludf.IFS(
    MONTH(D6)&lt;=3,"Q4",
    MONTH(D6)&lt;=6,"Q1",
    MONTH(D6)&lt;=9,"Q2",
    TRUE,"Q3"
))</f>
        <v>#NAME?</v>
      </c>
      <c r="C6" s="56">
        <f t="shared" ref="C6:C86" si="4">MONTH(D6)</f>
        <v>8</v>
      </c>
      <c r="D6" s="66">
        <v>46248.0</v>
      </c>
      <c r="E6" s="66">
        <v>46248.0</v>
      </c>
      <c r="F6" s="45"/>
      <c r="G6" s="45" t="s">
        <v>1017</v>
      </c>
      <c r="H6" s="61" t="s">
        <v>1018</v>
      </c>
      <c r="I6" s="138">
        <v>15000.0</v>
      </c>
      <c r="J6" s="139"/>
      <c r="K6" s="139">
        <f t="shared" si="2"/>
        <v>43318</v>
      </c>
      <c r="L6" s="62" t="s">
        <v>211</v>
      </c>
      <c r="M6" s="62" t="s">
        <v>47</v>
      </c>
      <c r="N6" s="63"/>
      <c r="O6" s="62" t="s">
        <v>60</v>
      </c>
      <c r="P6" s="30" t="s">
        <v>47</v>
      </c>
      <c r="Q6" s="63" t="s">
        <v>50</v>
      </c>
      <c r="R6" s="36"/>
      <c r="S6" s="36"/>
      <c r="T6" s="36"/>
      <c r="U6" s="30" t="s">
        <v>75</v>
      </c>
      <c r="V6" s="30"/>
      <c r="W6" s="30" t="str">
        <f t="shared" ref="W6:W85" si="5">_xludf.LET(ref, IF(ISBLANK(H6), "N/A", H6), apt, IF(ISBLANK(T6), "", " | Apt#: " &amp; T6), parsed_to, "x" &amp; RIGHT(TRIM(G6), 4), suffix, " | Ref: " &amp; ref &amp; " | Type: " &amp; P6 &amp; " | BU: " &amp; L6 &amp; " | Head: " &amp; M6, IF(ISBLANK(U6), "Remarks Compulsory For Narration", TRIM(IF(M6="Internal", IF(ISNUMBER(SEARCH("DWARKADHIS", G6)), "Internal Fund Transfer (From YES AH 2314 to " &amp; parsed_to &amp; ")" &amp; suffix, "Internal Transfer" &amp; suffix), IF(N(J6)&gt;0, IF(P6="Customer Collection", "Receipt Credit (Collection)" &amp; apt &amp; suffix, "Receipt Credit from x" &amp; RIGHT(MID(G6, FIND("-", SUBSTITUTE(G6, "-", "-", 3)) + 1, LEN(G6)), 4) &amp; " (Purpose: " &amp; IF(OR(ISBLANK(U6), U6="N/A"), L6, U6) &amp; ")" &amp; apt &amp; suffix), "Payment Disbursement (Purpose: " &amp; IF(ISNUMBER(SEARCH("salary", M6)), "Salary", U6) &amp; ")" &amp; IF(ISNUMBER(SEARCH("Cancellation", M6&amp;P6)), "", " | To: " &amp; parsed_to) &amp; suffix &amp; apt)))))</f>
        <v>#NAME?</v>
      </c>
    </row>
    <row r="7" ht="15.75" customHeight="1">
      <c r="A7" s="56">
        <v>81.0</v>
      </c>
      <c r="B7" s="56" t="str">
        <f t="shared" si="3"/>
        <v>#NAME?</v>
      </c>
      <c r="C7" s="56">
        <f t="shared" si="4"/>
        <v>8</v>
      </c>
      <c r="D7" s="66">
        <v>46240.0</v>
      </c>
      <c r="E7" s="66">
        <v>46240.0</v>
      </c>
      <c r="F7" s="45"/>
      <c r="G7" s="45" t="s">
        <v>1030</v>
      </c>
      <c r="H7" s="61" t="s">
        <v>1031</v>
      </c>
      <c r="I7" s="138"/>
      <c r="J7" s="139">
        <v>50000.0</v>
      </c>
      <c r="K7" s="139">
        <f t="shared" si="2"/>
        <v>58318</v>
      </c>
      <c r="L7" s="62" t="s">
        <v>211</v>
      </c>
      <c r="M7" s="62" t="s">
        <v>94</v>
      </c>
      <c r="N7" s="63"/>
      <c r="O7" s="62"/>
      <c r="P7" s="30" t="s">
        <v>95</v>
      </c>
      <c r="Q7" s="63" t="s">
        <v>82</v>
      </c>
      <c r="R7" s="36"/>
      <c r="S7" s="36"/>
      <c r="T7" s="36"/>
      <c r="U7" s="30" t="s">
        <v>75</v>
      </c>
      <c r="V7" s="30"/>
      <c r="W7" s="30" t="str">
        <f t="shared" si="5"/>
        <v>#NAME?</v>
      </c>
    </row>
    <row r="8" ht="15.75" customHeight="1">
      <c r="A8" s="56">
        <v>80.0</v>
      </c>
      <c r="B8" s="56" t="str">
        <f t="shared" si="3"/>
        <v>#NAME?</v>
      </c>
      <c r="C8" s="56">
        <f t="shared" si="4"/>
        <v>8</v>
      </c>
      <c r="D8" s="66">
        <v>46240.0</v>
      </c>
      <c r="E8" s="66">
        <v>46240.0</v>
      </c>
      <c r="F8" s="45"/>
      <c r="G8" s="45" t="s">
        <v>1036</v>
      </c>
      <c r="H8" s="61" t="s">
        <v>1037</v>
      </c>
      <c r="I8" s="138">
        <v>58897.0</v>
      </c>
      <c r="J8" s="139"/>
      <c r="K8" s="139">
        <f t="shared" si="2"/>
        <v>8318</v>
      </c>
      <c r="L8" s="62" t="s">
        <v>211</v>
      </c>
      <c r="M8" s="62" t="s">
        <v>47</v>
      </c>
      <c r="N8" s="63"/>
      <c r="O8" s="62" t="s">
        <v>60</v>
      </c>
      <c r="P8" s="30" t="s">
        <v>47</v>
      </c>
      <c r="Q8" s="63" t="s">
        <v>50</v>
      </c>
      <c r="R8" s="36"/>
      <c r="S8" s="36"/>
      <c r="T8" s="36"/>
      <c r="U8" s="30" t="s">
        <v>216</v>
      </c>
      <c r="V8" s="30"/>
      <c r="W8" s="30" t="str">
        <f t="shared" si="5"/>
        <v>#NAME?</v>
      </c>
    </row>
    <row r="9" ht="15.75" customHeight="1">
      <c r="A9" s="56">
        <v>79.0</v>
      </c>
      <c r="B9" s="56" t="str">
        <f t="shared" si="3"/>
        <v>#NAME?</v>
      </c>
      <c r="C9" s="56">
        <f t="shared" si="4"/>
        <v>8</v>
      </c>
      <c r="D9" s="66">
        <v>46240.0</v>
      </c>
      <c r="E9" s="66">
        <v>46240.0</v>
      </c>
      <c r="F9" s="45"/>
      <c r="G9" s="45" t="s">
        <v>511</v>
      </c>
      <c r="H9" s="61" t="s">
        <v>1042</v>
      </c>
      <c r="I9" s="138"/>
      <c r="J9" s="139">
        <v>10000.0</v>
      </c>
      <c r="K9" s="139">
        <f t="shared" si="2"/>
        <v>67215</v>
      </c>
      <c r="L9" s="62" t="s">
        <v>211</v>
      </c>
      <c r="M9" s="62" t="s">
        <v>47</v>
      </c>
      <c r="N9" s="63"/>
      <c r="O9" s="62" t="s">
        <v>60</v>
      </c>
      <c r="P9" s="30" t="s">
        <v>47</v>
      </c>
      <c r="Q9" s="63" t="s">
        <v>50</v>
      </c>
      <c r="R9" s="36"/>
      <c r="S9" s="36"/>
      <c r="T9" s="36"/>
      <c r="U9" s="30" t="s">
        <v>75</v>
      </c>
      <c r="V9" s="30"/>
      <c r="W9" s="30" t="str">
        <f t="shared" si="5"/>
        <v>#NAME?</v>
      </c>
    </row>
    <row r="10" ht="15.75" customHeight="1">
      <c r="A10" s="56">
        <v>78.0</v>
      </c>
      <c r="B10" s="56" t="str">
        <f t="shared" si="3"/>
        <v>#NAME?</v>
      </c>
      <c r="C10" s="56">
        <f t="shared" si="4"/>
        <v>7</v>
      </c>
      <c r="D10" s="66">
        <v>46233.0</v>
      </c>
      <c r="E10" s="66">
        <v>46233.0</v>
      </c>
      <c r="F10" s="45"/>
      <c r="G10" s="45" t="s">
        <v>1045</v>
      </c>
      <c r="H10" s="61" t="s">
        <v>1046</v>
      </c>
      <c r="I10" s="138">
        <v>1830000.0</v>
      </c>
      <c r="J10" s="139"/>
      <c r="K10" s="139">
        <f t="shared" si="2"/>
        <v>57215</v>
      </c>
      <c r="L10" s="62" t="s">
        <v>211</v>
      </c>
      <c r="M10" s="62" t="s">
        <v>1047</v>
      </c>
      <c r="N10" s="63"/>
      <c r="O10" s="62"/>
      <c r="P10" s="30" t="s">
        <v>1048</v>
      </c>
      <c r="Q10" s="63" t="s">
        <v>1049</v>
      </c>
      <c r="R10" s="36"/>
      <c r="S10" s="36"/>
      <c r="T10" s="36"/>
      <c r="U10" s="30" t="s">
        <v>75</v>
      </c>
      <c r="V10" s="30"/>
      <c r="W10" s="30" t="str">
        <f t="shared" si="5"/>
        <v>#NAME?</v>
      </c>
    </row>
    <row r="11" ht="15.75" customHeight="1">
      <c r="A11" s="56">
        <v>77.0</v>
      </c>
      <c r="B11" s="56" t="str">
        <f t="shared" si="3"/>
        <v>#NAME?</v>
      </c>
      <c r="C11" s="56">
        <f t="shared" si="4"/>
        <v>7</v>
      </c>
      <c r="D11" s="66">
        <v>46233.0</v>
      </c>
      <c r="E11" s="66">
        <v>46233.0</v>
      </c>
      <c r="F11" s="45"/>
      <c r="G11" s="45" t="s">
        <v>1054</v>
      </c>
      <c r="H11" s="61" t="s">
        <v>1055</v>
      </c>
      <c r="I11" s="138"/>
      <c r="J11" s="139">
        <v>1850000.0</v>
      </c>
      <c r="K11" s="139">
        <f t="shared" si="2"/>
        <v>1887215</v>
      </c>
      <c r="L11" s="62" t="s">
        <v>211</v>
      </c>
      <c r="M11" s="62" t="s">
        <v>94</v>
      </c>
      <c r="N11" s="63"/>
      <c r="O11" s="62"/>
      <c r="P11" s="30" t="s">
        <v>95</v>
      </c>
      <c r="Q11" s="63" t="s">
        <v>82</v>
      </c>
      <c r="R11" s="36"/>
      <c r="S11" s="36"/>
      <c r="T11" s="36"/>
      <c r="U11" s="30" t="s">
        <v>75</v>
      </c>
      <c r="V11" s="30"/>
      <c r="W11" s="30" t="str">
        <f t="shared" si="5"/>
        <v>#NAME?</v>
      </c>
    </row>
    <row r="12" ht="15.75" customHeight="1">
      <c r="A12" s="56">
        <v>76.0</v>
      </c>
      <c r="B12" s="56" t="str">
        <f t="shared" si="3"/>
        <v>#NAME?</v>
      </c>
      <c r="C12" s="56">
        <f t="shared" si="4"/>
        <v>7</v>
      </c>
      <c r="D12" s="66">
        <v>46231.0</v>
      </c>
      <c r="E12" s="66">
        <v>46231.0</v>
      </c>
      <c r="F12" s="45"/>
      <c r="G12" s="45" t="s">
        <v>1059</v>
      </c>
      <c r="H12" s="61" t="s">
        <v>1061</v>
      </c>
      <c r="I12" s="138">
        <v>2467992.0</v>
      </c>
      <c r="J12" s="139"/>
      <c r="K12" s="139">
        <f t="shared" si="2"/>
        <v>37215</v>
      </c>
      <c r="L12" s="62" t="s">
        <v>211</v>
      </c>
      <c r="M12" s="62" t="s">
        <v>1047</v>
      </c>
      <c r="N12" s="63"/>
      <c r="O12" s="62"/>
      <c r="P12" s="30" t="s">
        <v>1048</v>
      </c>
      <c r="Q12" s="63" t="s">
        <v>1049</v>
      </c>
      <c r="R12" s="36"/>
      <c r="S12" s="36"/>
      <c r="T12" s="36"/>
      <c r="U12" s="30" t="s">
        <v>75</v>
      </c>
      <c r="V12" s="30"/>
      <c r="W12" s="30" t="str">
        <f t="shared" si="5"/>
        <v>#NAME?</v>
      </c>
    </row>
    <row r="13" ht="15.75" customHeight="1">
      <c r="A13" s="56">
        <v>75.0</v>
      </c>
      <c r="B13" s="56" t="str">
        <f t="shared" si="3"/>
        <v>#NAME?</v>
      </c>
      <c r="C13" s="56">
        <f t="shared" si="4"/>
        <v>7</v>
      </c>
      <c r="D13" s="66">
        <v>46231.0</v>
      </c>
      <c r="E13" s="66">
        <v>46231.0</v>
      </c>
      <c r="F13" s="45"/>
      <c r="G13" s="45" t="s">
        <v>511</v>
      </c>
      <c r="H13" s="61" t="s">
        <v>1064</v>
      </c>
      <c r="I13" s="138"/>
      <c r="J13" s="139">
        <v>100000.0</v>
      </c>
      <c r="K13" s="139">
        <f t="shared" si="2"/>
        <v>2505207</v>
      </c>
      <c r="L13" s="62" t="s">
        <v>211</v>
      </c>
      <c r="M13" s="62" t="s">
        <v>47</v>
      </c>
      <c r="N13" s="63"/>
      <c r="O13" s="62" t="s">
        <v>60</v>
      </c>
      <c r="P13" s="30" t="s">
        <v>47</v>
      </c>
      <c r="Q13" s="63" t="s">
        <v>50</v>
      </c>
      <c r="R13" s="36"/>
      <c r="S13" s="36"/>
      <c r="T13" s="36"/>
      <c r="U13" s="30" t="s">
        <v>75</v>
      </c>
      <c r="V13" s="30"/>
      <c r="W13" s="30" t="str">
        <f t="shared" si="5"/>
        <v>#NAME?</v>
      </c>
    </row>
    <row r="14" ht="15.75" customHeight="1">
      <c r="A14" s="56">
        <v>74.0</v>
      </c>
      <c r="B14" s="56" t="str">
        <f t="shared" si="3"/>
        <v>#NAME?</v>
      </c>
      <c r="C14" s="56">
        <f t="shared" si="4"/>
        <v>7</v>
      </c>
      <c r="D14" s="66">
        <v>46226.0</v>
      </c>
      <c r="E14" s="66">
        <v>46226.0</v>
      </c>
      <c r="F14" s="45"/>
      <c r="G14" s="45" t="s">
        <v>1068</v>
      </c>
      <c r="H14" s="61">
        <v>302926.0</v>
      </c>
      <c r="I14" s="138"/>
      <c r="J14" s="139">
        <v>2400000.0</v>
      </c>
      <c r="K14" s="139">
        <f t="shared" si="2"/>
        <v>2405207</v>
      </c>
      <c r="L14" s="62" t="s">
        <v>211</v>
      </c>
      <c r="M14" s="62" t="s">
        <v>94</v>
      </c>
      <c r="N14" s="63"/>
      <c r="O14" s="62" t="s">
        <v>60</v>
      </c>
      <c r="P14" s="30" t="s">
        <v>95</v>
      </c>
      <c r="Q14" s="63" t="s">
        <v>82</v>
      </c>
      <c r="R14" s="36"/>
      <c r="S14" s="36"/>
      <c r="T14" s="36" t="s">
        <v>1069</v>
      </c>
      <c r="U14" s="30" t="s">
        <v>75</v>
      </c>
      <c r="V14" s="30"/>
      <c r="W14" s="30" t="str">
        <f t="shared" si="5"/>
        <v>#NAME?</v>
      </c>
    </row>
    <row r="15" ht="15.75" customHeight="1">
      <c r="A15" s="56">
        <v>73.0</v>
      </c>
      <c r="B15" s="56" t="str">
        <f t="shared" si="3"/>
        <v>#NAME?</v>
      </c>
      <c r="C15" s="56">
        <f t="shared" si="4"/>
        <v>7</v>
      </c>
      <c r="D15" s="66">
        <v>46224.0</v>
      </c>
      <c r="E15" s="66">
        <v>46224.0</v>
      </c>
      <c r="F15" s="45"/>
      <c r="G15" s="45" t="s">
        <v>1072</v>
      </c>
      <c r="H15" s="61" t="s">
        <v>1073</v>
      </c>
      <c r="I15" s="138">
        <v>2000000.0</v>
      </c>
      <c r="J15" s="139"/>
      <c r="K15" s="139">
        <f t="shared" si="2"/>
        <v>5207</v>
      </c>
      <c r="L15" s="62" t="s">
        <v>211</v>
      </c>
      <c r="M15" s="62" t="s">
        <v>1047</v>
      </c>
      <c r="N15" s="63"/>
      <c r="O15" s="62"/>
      <c r="P15" s="30" t="s">
        <v>1048</v>
      </c>
      <c r="Q15" s="63" t="s">
        <v>1049</v>
      </c>
      <c r="R15" s="36"/>
      <c r="S15" s="36"/>
      <c r="T15" s="36"/>
      <c r="U15" s="30" t="s">
        <v>75</v>
      </c>
      <c r="V15" s="30"/>
      <c r="W15" s="30" t="str">
        <f t="shared" si="5"/>
        <v>#NAME?</v>
      </c>
    </row>
    <row r="16" ht="15.75" customHeight="1">
      <c r="A16" s="56">
        <v>72.0</v>
      </c>
      <c r="B16" s="56" t="str">
        <f t="shared" si="3"/>
        <v>#NAME?</v>
      </c>
      <c r="C16" s="56">
        <f t="shared" si="4"/>
        <v>7</v>
      </c>
      <c r="D16" s="66">
        <v>46224.0</v>
      </c>
      <c r="E16" s="66">
        <v>46224.0</v>
      </c>
      <c r="F16" s="45"/>
      <c r="G16" s="45" t="s">
        <v>141</v>
      </c>
      <c r="H16" s="61" t="s">
        <v>308</v>
      </c>
      <c r="I16" s="138"/>
      <c r="J16" s="139">
        <v>150000.0</v>
      </c>
      <c r="K16" s="139">
        <f t="shared" si="2"/>
        <v>2005207</v>
      </c>
      <c r="L16" s="62" t="s">
        <v>211</v>
      </c>
      <c r="M16" s="62" t="s">
        <v>47</v>
      </c>
      <c r="N16" s="63"/>
      <c r="O16" s="62" t="s">
        <v>60</v>
      </c>
      <c r="P16" s="30" t="s">
        <v>47</v>
      </c>
      <c r="Q16" s="63" t="s">
        <v>50</v>
      </c>
      <c r="R16" s="36"/>
      <c r="S16" s="36"/>
      <c r="T16" s="36"/>
      <c r="U16" s="30" t="s">
        <v>75</v>
      </c>
      <c r="V16" s="30"/>
      <c r="W16" s="30" t="str">
        <f t="shared" si="5"/>
        <v>#NAME?</v>
      </c>
    </row>
    <row r="17" ht="15.75" customHeight="1">
      <c r="A17" s="56">
        <v>71.0</v>
      </c>
      <c r="B17" s="56" t="str">
        <f t="shared" si="3"/>
        <v>#NAME?</v>
      </c>
      <c r="C17" s="56">
        <f t="shared" si="4"/>
        <v>7</v>
      </c>
      <c r="D17" s="66">
        <v>46224.0</v>
      </c>
      <c r="E17" s="66">
        <v>46224.0</v>
      </c>
      <c r="F17" s="45"/>
      <c r="G17" s="45" t="s">
        <v>511</v>
      </c>
      <c r="H17" s="61" t="s">
        <v>1079</v>
      </c>
      <c r="I17" s="138"/>
      <c r="J17" s="139">
        <v>100000.0</v>
      </c>
      <c r="K17" s="139">
        <f t="shared" si="2"/>
        <v>1855207</v>
      </c>
      <c r="L17" s="62" t="s">
        <v>211</v>
      </c>
      <c r="M17" s="62" t="s">
        <v>47</v>
      </c>
      <c r="N17" s="63"/>
      <c r="O17" s="62" t="s">
        <v>60</v>
      </c>
      <c r="P17" s="30" t="s">
        <v>47</v>
      </c>
      <c r="Q17" s="63" t="s">
        <v>50</v>
      </c>
      <c r="R17" s="36"/>
      <c r="S17" s="36"/>
      <c r="T17" s="36"/>
      <c r="U17" s="30" t="s">
        <v>75</v>
      </c>
      <c r="V17" s="30"/>
      <c r="W17" s="30" t="str">
        <f t="shared" si="5"/>
        <v>#NAME?</v>
      </c>
    </row>
    <row r="18" ht="15.75" customHeight="1">
      <c r="A18" s="56">
        <v>70.0</v>
      </c>
      <c r="B18" s="56" t="str">
        <f t="shared" si="3"/>
        <v>#NAME?</v>
      </c>
      <c r="C18" s="56">
        <f t="shared" si="4"/>
        <v>7</v>
      </c>
      <c r="D18" s="66">
        <v>46221.0</v>
      </c>
      <c r="E18" s="66">
        <v>46221.0</v>
      </c>
      <c r="F18" s="45"/>
      <c r="G18" s="45" t="s">
        <v>1081</v>
      </c>
      <c r="H18" s="61" t="s">
        <v>1083</v>
      </c>
      <c r="I18" s="138">
        <v>100000.0</v>
      </c>
      <c r="J18" s="139"/>
      <c r="K18" s="139">
        <f t="shared" si="2"/>
        <v>1755207</v>
      </c>
      <c r="L18" s="62" t="s">
        <v>211</v>
      </c>
      <c r="M18" s="62" t="s">
        <v>1087</v>
      </c>
      <c r="N18" s="63"/>
      <c r="O18" s="62" t="s">
        <v>60</v>
      </c>
      <c r="P18" s="30"/>
      <c r="Q18" s="63"/>
      <c r="R18" s="36"/>
      <c r="S18" s="36"/>
      <c r="T18" s="36" t="s">
        <v>1088</v>
      </c>
      <c r="U18" s="30" t="s">
        <v>1089</v>
      </c>
      <c r="V18" s="30"/>
      <c r="W18" s="30" t="str">
        <f t="shared" si="5"/>
        <v>#NAME?</v>
      </c>
    </row>
    <row r="19" ht="15.75" customHeight="1">
      <c r="A19" s="56">
        <v>69.0</v>
      </c>
      <c r="B19" s="56" t="str">
        <f t="shared" si="3"/>
        <v>#NAME?</v>
      </c>
      <c r="C19" s="56">
        <f t="shared" si="4"/>
        <v>7</v>
      </c>
      <c r="D19" s="66">
        <v>46221.0</v>
      </c>
      <c r="E19" s="66">
        <v>46221.0</v>
      </c>
      <c r="F19" s="45"/>
      <c r="G19" s="45" t="s">
        <v>1092</v>
      </c>
      <c r="H19" s="61" t="s">
        <v>1093</v>
      </c>
      <c r="I19" s="138">
        <v>2250000.0</v>
      </c>
      <c r="J19" s="139"/>
      <c r="K19" s="139">
        <f t="shared" si="2"/>
        <v>1855207</v>
      </c>
      <c r="L19" s="62" t="s">
        <v>211</v>
      </c>
      <c r="M19" s="62" t="s">
        <v>1047</v>
      </c>
      <c r="N19" s="63"/>
      <c r="O19" s="62" t="s">
        <v>60</v>
      </c>
      <c r="P19" s="30" t="s">
        <v>1048</v>
      </c>
      <c r="Q19" s="63"/>
      <c r="R19" s="36"/>
      <c r="S19" s="36"/>
      <c r="T19" s="36" t="s">
        <v>1088</v>
      </c>
      <c r="U19" s="30" t="s">
        <v>75</v>
      </c>
      <c r="V19" s="30"/>
      <c r="W19" s="30" t="str">
        <f t="shared" si="5"/>
        <v>#NAME?</v>
      </c>
    </row>
    <row r="20" ht="15.75" customHeight="1">
      <c r="A20" s="56">
        <v>68.0</v>
      </c>
      <c r="B20" s="56" t="str">
        <f t="shared" si="3"/>
        <v>#NAME?</v>
      </c>
      <c r="C20" s="56">
        <f t="shared" si="4"/>
        <v>7</v>
      </c>
      <c r="D20" s="66">
        <v>46214.0</v>
      </c>
      <c r="E20" s="66">
        <v>46214.0</v>
      </c>
      <c r="F20" s="45"/>
      <c r="G20" s="45" t="s">
        <v>1098</v>
      </c>
      <c r="H20" s="61" t="s">
        <v>1099</v>
      </c>
      <c r="I20" s="142">
        <v>50000.0</v>
      </c>
      <c r="J20" s="139"/>
      <c r="K20" s="139">
        <f t="shared" si="2"/>
        <v>4105207</v>
      </c>
      <c r="L20" s="62" t="s">
        <v>211</v>
      </c>
      <c r="M20" s="62" t="s">
        <v>1047</v>
      </c>
      <c r="N20" s="63"/>
      <c r="O20" s="62"/>
      <c r="P20" s="30"/>
      <c r="Q20" s="63"/>
      <c r="R20" s="36"/>
      <c r="S20" s="36"/>
      <c r="T20" s="30" t="s">
        <v>1100</v>
      </c>
      <c r="U20" s="30" t="s">
        <v>75</v>
      </c>
      <c r="V20" s="30"/>
      <c r="W20" s="30" t="str">
        <f t="shared" si="5"/>
        <v>#NAME?</v>
      </c>
    </row>
    <row r="21" ht="15.75" customHeight="1">
      <c r="A21" s="56">
        <v>67.0</v>
      </c>
      <c r="B21" s="56" t="str">
        <f t="shared" si="3"/>
        <v>#NAME?</v>
      </c>
      <c r="C21" s="56">
        <f t="shared" si="4"/>
        <v>7</v>
      </c>
      <c r="D21" s="66">
        <v>46212.0</v>
      </c>
      <c r="E21" s="66">
        <v>46212.0</v>
      </c>
      <c r="F21" s="45"/>
      <c r="G21" s="45" t="s">
        <v>1101</v>
      </c>
      <c r="H21" s="61">
        <v>302902.0</v>
      </c>
      <c r="I21" s="138"/>
      <c r="J21" s="139">
        <v>2100000.0</v>
      </c>
      <c r="K21" s="139">
        <f t="shared" si="2"/>
        <v>4155207</v>
      </c>
      <c r="L21" s="62" t="s">
        <v>211</v>
      </c>
      <c r="M21" s="62" t="s">
        <v>94</v>
      </c>
      <c r="N21" s="63"/>
      <c r="O21" s="62" t="s">
        <v>60</v>
      </c>
      <c r="P21" s="30" t="s">
        <v>95</v>
      </c>
      <c r="Q21" s="63" t="s">
        <v>82</v>
      </c>
      <c r="R21" s="36"/>
      <c r="S21" s="36"/>
      <c r="T21" s="36" t="s">
        <v>1088</v>
      </c>
      <c r="U21" s="30" t="s">
        <v>75</v>
      </c>
      <c r="V21" s="30"/>
      <c r="W21" s="30" t="str">
        <f t="shared" si="5"/>
        <v>#NAME?</v>
      </c>
    </row>
    <row r="22" ht="15.75" customHeight="1">
      <c r="A22" s="56">
        <v>66.0</v>
      </c>
      <c r="B22" s="56" t="str">
        <f t="shared" si="3"/>
        <v>#NAME?</v>
      </c>
      <c r="C22" s="56">
        <f t="shared" si="4"/>
        <v>6</v>
      </c>
      <c r="D22" s="66">
        <v>46198.0</v>
      </c>
      <c r="E22" s="66">
        <v>46198.0</v>
      </c>
      <c r="F22" s="45"/>
      <c r="G22" s="45" t="s">
        <v>1104</v>
      </c>
      <c r="H22" s="61" t="s">
        <v>1105</v>
      </c>
      <c r="I22" s="138" t="s">
        <v>37</v>
      </c>
      <c r="J22" s="139">
        <v>250000.0</v>
      </c>
      <c r="K22" s="139">
        <f t="shared" si="2"/>
        <v>2055207</v>
      </c>
      <c r="L22" s="62" t="s">
        <v>211</v>
      </c>
      <c r="M22" s="62" t="s">
        <v>94</v>
      </c>
      <c r="N22" s="63"/>
      <c r="O22" s="62" t="s">
        <v>60</v>
      </c>
      <c r="P22" s="30" t="s">
        <v>95</v>
      </c>
      <c r="Q22" s="63" t="s">
        <v>82</v>
      </c>
      <c r="R22" s="36"/>
      <c r="S22" s="36"/>
      <c r="T22" s="36" t="s">
        <v>1088</v>
      </c>
      <c r="U22" s="30" t="s">
        <v>75</v>
      </c>
      <c r="V22" s="30"/>
      <c r="W22" s="30" t="str">
        <f t="shared" si="5"/>
        <v>#NAME?</v>
      </c>
    </row>
    <row r="23" ht="15.75" customHeight="1">
      <c r="A23" s="56">
        <v>65.0</v>
      </c>
      <c r="B23" s="56" t="str">
        <f t="shared" si="3"/>
        <v>#NAME?</v>
      </c>
      <c r="C23" s="56">
        <f t="shared" si="4"/>
        <v>6</v>
      </c>
      <c r="D23" s="66">
        <v>46196.0</v>
      </c>
      <c r="E23" s="66">
        <v>46196.0</v>
      </c>
      <c r="F23" s="45"/>
      <c r="G23" s="45" t="s">
        <v>1108</v>
      </c>
      <c r="H23" s="61" t="s">
        <v>1109</v>
      </c>
      <c r="I23" s="138">
        <v>500000.0</v>
      </c>
      <c r="J23" s="139" t="s">
        <v>37</v>
      </c>
      <c r="K23" s="139">
        <f t="shared" si="2"/>
        <v>1805207</v>
      </c>
      <c r="L23" s="62" t="s">
        <v>45</v>
      </c>
      <c r="M23" s="62" t="s">
        <v>47</v>
      </c>
      <c r="N23" s="63"/>
      <c r="O23" s="62" t="s">
        <v>60</v>
      </c>
      <c r="P23" s="30" t="s">
        <v>47</v>
      </c>
      <c r="Q23" s="63" t="s">
        <v>50</v>
      </c>
      <c r="R23" s="36"/>
      <c r="S23" s="36"/>
      <c r="T23" s="36"/>
      <c r="U23" s="30" t="s">
        <v>75</v>
      </c>
      <c r="V23" s="30"/>
      <c r="W23" s="30" t="str">
        <f t="shared" si="5"/>
        <v>#NAME?</v>
      </c>
    </row>
    <row r="24" ht="15.75" customHeight="1">
      <c r="A24" s="56">
        <v>64.0</v>
      </c>
      <c r="B24" s="56" t="str">
        <f t="shared" si="3"/>
        <v>#NAME?</v>
      </c>
      <c r="C24" s="56">
        <f t="shared" si="4"/>
        <v>6</v>
      </c>
      <c r="D24" s="66">
        <v>46195.0</v>
      </c>
      <c r="E24" s="66">
        <v>46195.0</v>
      </c>
      <c r="F24" s="45"/>
      <c r="G24" s="45" t="s">
        <v>1108</v>
      </c>
      <c r="H24" s="61" t="s">
        <v>1110</v>
      </c>
      <c r="I24" s="138">
        <v>200000.0</v>
      </c>
      <c r="J24" s="139" t="s">
        <v>37</v>
      </c>
      <c r="K24" s="139">
        <f t="shared" si="2"/>
        <v>2305207</v>
      </c>
      <c r="L24" s="62" t="s">
        <v>45</v>
      </c>
      <c r="M24" s="62" t="s">
        <v>47</v>
      </c>
      <c r="N24" s="63"/>
      <c r="O24" s="62" t="s">
        <v>60</v>
      </c>
      <c r="P24" s="30" t="s">
        <v>47</v>
      </c>
      <c r="Q24" s="63" t="s">
        <v>50</v>
      </c>
      <c r="R24" s="36"/>
      <c r="S24" s="36"/>
      <c r="T24" s="36"/>
      <c r="U24" s="30" t="s">
        <v>75</v>
      </c>
      <c r="V24" s="30"/>
      <c r="W24" s="30" t="str">
        <f t="shared" si="5"/>
        <v>#NAME?</v>
      </c>
    </row>
    <row r="25" ht="15.75" customHeight="1">
      <c r="A25" s="56">
        <v>63.0</v>
      </c>
      <c r="B25" s="56" t="str">
        <f t="shared" si="3"/>
        <v>#NAME?</v>
      </c>
      <c r="C25" s="56">
        <f t="shared" si="4"/>
        <v>6</v>
      </c>
      <c r="D25" s="66">
        <v>46195.0</v>
      </c>
      <c r="E25" s="66">
        <v>46195.0</v>
      </c>
      <c r="F25" s="45"/>
      <c r="G25" s="45" t="s">
        <v>1115</v>
      </c>
      <c r="H25" s="61" t="s">
        <v>1116</v>
      </c>
      <c r="I25" s="138" t="s">
        <v>37</v>
      </c>
      <c r="J25" s="143">
        <v>2500000.0</v>
      </c>
      <c r="K25" s="139">
        <f t="shared" si="2"/>
        <v>2505207</v>
      </c>
      <c r="L25" s="62" t="s">
        <v>211</v>
      </c>
      <c r="M25" s="62" t="s">
        <v>94</v>
      </c>
      <c r="N25" s="63"/>
      <c r="O25" s="62"/>
      <c r="P25" s="30" t="s">
        <v>95</v>
      </c>
      <c r="Q25" s="63" t="s">
        <v>82</v>
      </c>
      <c r="R25" s="36"/>
      <c r="S25" s="36"/>
      <c r="T25" s="36"/>
      <c r="U25" s="30" t="s">
        <v>75</v>
      </c>
      <c r="V25" s="30"/>
      <c r="W25" s="30" t="str">
        <f t="shared" si="5"/>
        <v>#NAME?</v>
      </c>
    </row>
    <row r="26" ht="15.75" customHeight="1">
      <c r="A26" s="56">
        <v>62.0</v>
      </c>
      <c r="B26" s="56" t="str">
        <f t="shared" si="3"/>
        <v>#NAME?</v>
      </c>
      <c r="C26" s="56">
        <f t="shared" si="4"/>
        <v>6</v>
      </c>
      <c r="D26" s="66">
        <v>46193.0</v>
      </c>
      <c r="E26" s="66">
        <v>46193.0</v>
      </c>
      <c r="F26" s="45"/>
      <c r="G26" s="45" t="s">
        <v>1108</v>
      </c>
      <c r="H26" s="61" t="s">
        <v>1122</v>
      </c>
      <c r="I26" s="138">
        <v>40000.0</v>
      </c>
      <c r="J26" s="139" t="s">
        <v>37</v>
      </c>
      <c r="K26" s="139">
        <f t="shared" si="2"/>
        <v>5207</v>
      </c>
      <c r="L26" s="62" t="s">
        <v>45</v>
      </c>
      <c r="M26" s="62" t="s">
        <v>47</v>
      </c>
      <c r="N26" s="63"/>
      <c r="O26" s="62" t="s">
        <v>60</v>
      </c>
      <c r="P26" s="30" t="s">
        <v>47</v>
      </c>
      <c r="Q26" s="63" t="s">
        <v>50</v>
      </c>
      <c r="R26" s="36"/>
      <c r="S26" s="36"/>
      <c r="T26" s="36"/>
      <c r="U26" s="30" t="s">
        <v>75</v>
      </c>
      <c r="V26" s="30"/>
      <c r="W26" s="30" t="str">
        <f t="shared" si="5"/>
        <v>#NAME?</v>
      </c>
    </row>
    <row r="27" ht="15.75" customHeight="1">
      <c r="A27" s="56">
        <v>61.0</v>
      </c>
      <c r="B27" s="56" t="str">
        <f t="shared" si="3"/>
        <v>#NAME?</v>
      </c>
      <c r="C27" s="56">
        <f t="shared" si="4"/>
        <v>6</v>
      </c>
      <c r="D27" s="66">
        <v>46193.0</v>
      </c>
      <c r="E27" s="66">
        <v>46193.0</v>
      </c>
      <c r="F27" s="45"/>
      <c r="G27" s="45" t="s">
        <v>1129</v>
      </c>
      <c r="H27" s="61" t="s">
        <v>1130</v>
      </c>
      <c r="I27" s="138">
        <v>9000.0</v>
      </c>
      <c r="J27" s="139" t="s">
        <v>37</v>
      </c>
      <c r="K27" s="139">
        <f t="shared" si="2"/>
        <v>45207</v>
      </c>
      <c r="L27" s="62" t="s">
        <v>211</v>
      </c>
      <c r="M27" s="62" t="s">
        <v>118</v>
      </c>
      <c r="N27" s="63"/>
      <c r="O27" s="62" t="s">
        <v>60</v>
      </c>
      <c r="P27" s="30" t="s">
        <v>43</v>
      </c>
      <c r="Q27" s="63" t="s">
        <v>44</v>
      </c>
      <c r="R27" s="36"/>
      <c r="S27" s="36"/>
      <c r="T27" s="36"/>
      <c r="U27" s="30" t="s">
        <v>119</v>
      </c>
      <c r="V27" s="30"/>
      <c r="W27" s="30" t="str">
        <f t="shared" si="5"/>
        <v>#NAME?</v>
      </c>
    </row>
    <row r="28" ht="15.75" customHeight="1">
      <c r="A28" s="56">
        <v>60.0</v>
      </c>
      <c r="B28" s="56" t="str">
        <f t="shared" si="3"/>
        <v>#NAME?</v>
      </c>
      <c r="C28" s="56">
        <f t="shared" si="4"/>
        <v>6</v>
      </c>
      <c r="D28" s="66">
        <v>46188.0</v>
      </c>
      <c r="E28" s="66">
        <v>46188.0</v>
      </c>
      <c r="F28" s="45"/>
      <c r="G28" s="45" t="s">
        <v>1138</v>
      </c>
      <c r="H28" s="61" t="str">
        <f t="shared" ref="H28:H30" si="6">MID(G28,FIND("-",G28,FIND("-",G28)+1)+1,FIND("-",G28,FIND("-",G28,FIND("-",G28)+1)+1)-FIND("-",G28,FIND("-",G28)+1)-1)</f>
        <v>YESME61660061288</v>
      </c>
      <c r="I28" s="138">
        <v>250000.0</v>
      </c>
      <c r="J28" s="139"/>
      <c r="K28" s="139">
        <f t="shared" si="2"/>
        <v>54207</v>
      </c>
      <c r="L28" s="62" t="s">
        <v>211</v>
      </c>
      <c r="M28" s="62" t="s">
        <v>1047</v>
      </c>
      <c r="N28" s="63">
        <v>3687.0</v>
      </c>
      <c r="O28" s="62" t="s">
        <v>60</v>
      </c>
      <c r="P28" s="30" t="s">
        <v>1048</v>
      </c>
      <c r="Q28" s="63" t="s">
        <v>1049</v>
      </c>
      <c r="R28" s="36"/>
      <c r="S28" s="36"/>
      <c r="T28" s="36" t="s">
        <v>1088</v>
      </c>
      <c r="U28" s="30" t="s">
        <v>1047</v>
      </c>
      <c r="V28" s="30"/>
      <c r="W28" s="30" t="str">
        <f t="shared" si="5"/>
        <v>#NAME?</v>
      </c>
    </row>
    <row r="29" ht="15.75" customHeight="1">
      <c r="A29" s="56">
        <v>59.0</v>
      </c>
      <c r="B29" s="56" t="str">
        <f t="shared" si="3"/>
        <v>#NAME?</v>
      </c>
      <c r="C29" s="56">
        <f t="shared" si="4"/>
        <v>6</v>
      </c>
      <c r="D29" s="66">
        <v>46188.0</v>
      </c>
      <c r="E29" s="66">
        <v>46188.0</v>
      </c>
      <c r="F29" s="45"/>
      <c r="G29" s="45" t="s">
        <v>1144</v>
      </c>
      <c r="H29" s="61" t="str">
        <f t="shared" si="6"/>
        <v>YESME61660064170</v>
      </c>
      <c r="I29" s="138">
        <v>200000.0</v>
      </c>
      <c r="J29" s="139"/>
      <c r="K29" s="139">
        <f t="shared" si="2"/>
        <v>304207</v>
      </c>
      <c r="L29" s="62" t="s">
        <v>211</v>
      </c>
      <c r="M29" s="62" t="s">
        <v>1047</v>
      </c>
      <c r="N29" s="63"/>
      <c r="O29" s="62" t="s">
        <v>60</v>
      </c>
      <c r="P29" s="30" t="s">
        <v>1048</v>
      </c>
      <c r="Q29" s="63" t="s">
        <v>1049</v>
      </c>
      <c r="R29" s="36"/>
      <c r="S29" s="36"/>
      <c r="T29" s="36" t="s">
        <v>1069</v>
      </c>
      <c r="U29" s="30" t="s">
        <v>1047</v>
      </c>
      <c r="V29" s="30"/>
      <c r="W29" s="30" t="str">
        <f t="shared" si="5"/>
        <v>#NAME?</v>
      </c>
    </row>
    <row r="30" ht="15.75" customHeight="1">
      <c r="A30" s="56">
        <v>58.0</v>
      </c>
      <c r="B30" s="56" t="str">
        <f t="shared" si="3"/>
        <v>#NAME?</v>
      </c>
      <c r="C30" s="56">
        <f t="shared" si="4"/>
        <v>6</v>
      </c>
      <c r="D30" s="66">
        <v>46188.0</v>
      </c>
      <c r="E30" s="66">
        <v>46188.0</v>
      </c>
      <c r="F30" s="45"/>
      <c r="G30" s="45" t="s">
        <v>1144</v>
      </c>
      <c r="H30" s="61" t="str">
        <f t="shared" si="6"/>
        <v>YESME61660064170</v>
      </c>
      <c r="I30" s="138">
        <v>100000.0</v>
      </c>
      <c r="J30" s="139"/>
      <c r="K30" s="139">
        <f t="shared" si="2"/>
        <v>504207</v>
      </c>
      <c r="L30" s="62" t="s">
        <v>211</v>
      </c>
      <c r="M30" s="62" t="s">
        <v>1047</v>
      </c>
      <c r="N30" s="63"/>
      <c r="O30" s="62" t="s">
        <v>60</v>
      </c>
      <c r="P30" s="30" t="s">
        <v>1048</v>
      </c>
      <c r="Q30" s="63" t="s">
        <v>1049</v>
      </c>
      <c r="R30" s="36"/>
      <c r="S30" s="36"/>
      <c r="T30" s="36" t="s">
        <v>1069</v>
      </c>
      <c r="U30" s="30" t="s">
        <v>1047</v>
      </c>
      <c r="V30" s="30"/>
      <c r="W30" s="30" t="str">
        <f t="shared" si="5"/>
        <v>#NAME?</v>
      </c>
    </row>
    <row r="31" ht="15.75" customHeight="1">
      <c r="A31" s="56">
        <v>57.0</v>
      </c>
      <c r="B31" s="56" t="str">
        <f t="shared" si="3"/>
        <v>#NAME?</v>
      </c>
      <c r="C31" s="56">
        <f t="shared" si="4"/>
        <v>6</v>
      </c>
      <c r="D31" s="66">
        <v>46188.0</v>
      </c>
      <c r="E31" s="66">
        <v>46188.0</v>
      </c>
      <c r="F31" s="45"/>
      <c r="G31" s="45" t="s">
        <v>1154</v>
      </c>
      <c r="H31" s="61" t="s">
        <v>1155</v>
      </c>
      <c r="I31" s="138">
        <v>200000.0</v>
      </c>
      <c r="J31" s="139"/>
      <c r="K31" s="139">
        <f t="shared" si="2"/>
        <v>604207</v>
      </c>
      <c r="L31" s="62" t="s">
        <v>211</v>
      </c>
      <c r="M31" s="62" t="s">
        <v>1047</v>
      </c>
      <c r="N31" s="63"/>
      <c r="O31" s="62" t="s">
        <v>60</v>
      </c>
      <c r="P31" s="30" t="s">
        <v>1048</v>
      </c>
      <c r="Q31" s="63" t="s">
        <v>1049</v>
      </c>
      <c r="R31" s="36"/>
      <c r="S31" s="36"/>
      <c r="T31" s="36" t="s">
        <v>1069</v>
      </c>
      <c r="U31" s="30" t="s">
        <v>1047</v>
      </c>
      <c r="V31" s="30"/>
      <c r="W31" s="30" t="str">
        <f t="shared" si="5"/>
        <v>#NAME?</v>
      </c>
    </row>
    <row r="32" ht="15.75" customHeight="1">
      <c r="A32" s="56">
        <v>56.0</v>
      </c>
      <c r="B32" s="56" t="str">
        <f t="shared" si="3"/>
        <v>#NAME?</v>
      </c>
      <c r="C32" s="56">
        <f t="shared" si="4"/>
        <v>6</v>
      </c>
      <c r="D32" s="66">
        <v>46188.0</v>
      </c>
      <c r="E32" s="66">
        <v>46188.0</v>
      </c>
      <c r="F32" s="45"/>
      <c r="G32" s="45" t="s">
        <v>1162</v>
      </c>
      <c r="H32" s="61"/>
      <c r="I32" s="138">
        <v>700000.0</v>
      </c>
      <c r="J32" s="139"/>
      <c r="K32" s="139">
        <f t="shared" si="2"/>
        <v>804207</v>
      </c>
      <c r="L32" s="62" t="s">
        <v>45</v>
      </c>
      <c r="M32" s="62" t="s">
        <v>47</v>
      </c>
      <c r="N32" s="63"/>
      <c r="O32" s="62" t="s">
        <v>60</v>
      </c>
      <c r="P32" s="30" t="s">
        <v>213</v>
      </c>
      <c r="Q32" s="63" t="s">
        <v>50</v>
      </c>
      <c r="R32" s="36"/>
      <c r="S32" s="36"/>
      <c r="T32" s="36"/>
      <c r="U32" s="30" t="s">
        <v>75</v>
      </c>
      <c r="V32" s="30"/>
      <c r="W32" s="30" t="str">
        <f t="shared" si="5"/>
        <v>#NAME?</v>
      </c>
    </row>
    <row r="33" ht="15.75" customHeight="1">
      <c r="A33" s="56">
        <v>55.0</v>
      </c>
      <c r="B33" s="56" t="str">
        <f t="shared" si="3"/>
        <v>#NAME?</v>
      </c>
      <c r="C33" s="56">
        <f t="shared" si="4"/>
        <v>6</v>
      </c>
      <c r="D33" s="66">
        <v>46186.0</v>
      </c>
      <c r="E33" s="66">
        <v>46186.0</v>
      </c>
      <c r="F33" s="45"/>
      <c r="G33" s="45" t="s">
        <v>1167</v>
      </c>
      <c r="H33" s="61" t="s">
        <v>1168</v>
      </c>
      <c r="I33" s="142">
        <v>200000.0</v>
      </c>
      <c r="J33" s="139"/>
      <c r="K33" s="139">
        <f t="shared" si="2"/>
        <v>1504207</v>
      </c>
      <c r="L33" s="62" t="s">
        <v>211</v>
      </c>
      <c r="M33" s="62" t="s">
        <v>1047</v>
      </c>
      <c r="N33" s="63"/>
      <c r="O33" s="62"/>
      <c r="P33" s="30" t="s">
        <v>1048</v>
      </c>
      <c r="Q33" s="63" t="s">
        <v>1049</v>
      </c>
      <c r="R33" s="36"/>
      <c r="S33" s="36"/>
      <c r="T33" s="36" t="s">
        <v>1169</v>
      </c>
      <c r="U33" s="30" t="s">
        <v>1047</v>
      </c>
      <c r="V33" s="30"/>
      <c r="W33" s="30" t="str">
        <f t="shared" si="5"/>
        <v>#NAME?</v>
      </c>
    </row>
    <row r="34" ht="15.75" customHeight="1">
      <c r="A34" s="56">
        <v>54.0</v>
      </c>
      <c r="B34" s="56" t="str">
        <f t="shared" si="3"/>
        <v>#NAME?</v>
      </c>
      <c r="C34" s="56">
        <f t="shared" si="4"/>
        <v>6</v>
      </c>
      <c r="D34" s="66">
        <v>46178.0</v>
      </c>
      <c r="E34" s="66">
        <v>46178.0</v>
      </c>
      <c r="F34" s="45"/>
      <c r="G34" s="45" t="s">
        <v>1172</v>
      </c>
      <c r="H34" s="61" t="s">
        <v>1173</v>
      </c>
      <c r="I34" s="138"/>
      <c r="J34" s="139">
        <v>99000.0</v>
      </c>
      <c r="K34" s="139">
        <f t="shared" si="2"/>
        <v>1704207</v>
      </c>
      <c r="L34" s="62" t="s">
        <v>211</v>
      </c>
      <c r="M34" s="62" t="s">
        <v>94</v>
      </c>
      <c r="N34" s="63"/>
      <c r="O34" s="62" t="s">
        <v>60</v>
      </c>
      <c r="P34" s="30" t="s">
        <v>95</v>
      </c>
      <c r="Q34" s="63" t="s">
        <v>82</v>
      </c>
      <c r="R34" s="36"/>
      <c r="S34" s="36"/>
      <c r="T34" s="36" t="s">
        <v>1088</v>
      </c>
      <c r="U34" s="30" t="s">
        <v>75</v>
      </c>
      <c r="V34" s="30"/>
      <c r="W34" s="30" t="str">
        <f t="shared" si="5"/>
        <v>#NAME?</v>
      </c>
    </row>
    <row r="35" ht="15.75" customHeight="1">
      <c r="A35" s="56">
        <v>53.0</v>
      </c>
      <c r="B35" s="56" t="str">
        <f t="shared" si="3"/>
        <v>#NAME?</v>
      </c>
      <c r="C35" s="56">
        <f t="shared" si="4"/>
        <v>6</v>
      </c>
      <c r="D35" s="66">
        <v>46178.0</v>
      </c>
      <c r="E35" s="66">
        <v>46178.0</v>
      </c>
      <c r="F35" s="45"/>
      <c r="G35" s="45" t="s">
        <v>1177</v>
      </c>
      <c r="H35" s="61" t="s">
        <v>1178</v>
      </c>
      <c r="I35" s="138"/>
      <c r="J35" s="139">
        <v>1000.0</v>
      </c>
      <c r="K35" s="139">
        <f t="shared" si="2"/>
        <v>1605207</v>
      </c>
      <c r="L35" s="62" t="s">
        <v>211</v>
      </c>
      <c r="M35" s="62" t="s">
        <v>94</v>
      </c>
      <c r="N35" s="63"/>
      <c r="O35" s="62" t="s">
        <v>60</v>
      </c>
      <c r="P35" s="30" t="s">
        <v>95</v>
      </c>
      <c r="Q35" s="63" t="s">
        <v>82</v>
      </c>
      <c r="R35" s="36"/>
      <c r="S35" s="36"/>
      <c r="T35" s="36" t="s">
        <v>1088</v>
      </c>
      <c r="U35" s="30" t="s">
        <v>75</v>
      </c>
      <c r="V35" s="30"/>
      <c r="W35" s="30" t="str">
        <f t="shared" si="5"/>
        <v>#NAME?</v>
      </c>
    </row>
    <row r="36" ht="15.75" customHeight="1">
      <c r="A36" s="56">
        <v>52.0</v>
      </c>
      <c r="B36" s="56" t="str">
        <f t="shared" si="3"/>
        <v>#NAME?</v>
      </c>
      <c r="C36" s="56">
        <f t="shared" si="4"/>
        <v>6</v>
      </c>
      <c r="D36" s="66">
        <v>46178.0</v>
      </c>
      <c r="E36" s="66">
        <v>46178.0</v>
      </c>
      <c r="F36" s="45"/>
      <c r="G36" s="45" t="s">
        <v>1183</v>
      </c>
      <c r="H36" s="61" t="s">
        <v>1185</v>
      </c>
      <c r="I36" s="138"/>
      <c r="J36" s="139">
        <v>100000.0</v>
      </c>
      <c r="K36" s="139">
        <f t="shared" si="2"/>
        <v>1604207</v>
      </c>
      <c r="L36" s="62" t="s">
        <v>211</v>
      </c>
      <c r="M36" s="62" t="s">
        <v>94</v>
      </c>
      <c r="N36" s="63"/>
      <c r="O36" s="62" t="s">
        <v>60</v>
      </c>
      <c r="P36" s="30" t="s">
        <v>95</v>
      </c>
      <c r="Q36" s="63" t="s">
        <v>82</v>
      </c>
      <c r="R36" s="36"/>
      <c r="S36" s="36"/>
      <c r="T36" s="36" t="s">
        <v>1088</v>
      </c>
      <c r="U36" s="30" t="s">
        <v>75</v>
      </c>
      <c r="V36" s="30"/>
      <c r="W36" s="30" t="str">
        <f t="shared" si="5"/>
        <v>#NAME?</v>
      </c>
    </row>
    <row r="37" ht="15.75" customHeight="1">
      <c r="A37" s="56">
        <v>51.0</v>
      </c>
      <c r="B37" s="56" t="str">
        <f t="shared" si="3"/>
        <v>#NAME?</v>
      </c>
      <c r="C37" s="56">
        <f t="shared" si="4"/>
        <v>6</v>
      </c>
      <c r="D37" s="66">
        <v>46178.0</v>
      </c>
      <c r="E37" s="66">
        <v>46178.0</v>
      </c>
      <c r="F37" s="45"/>
      <c r="G37" s="45" t="s">
        <v>1187</v>
      </c>
      <c r="H37" s="61" t="s">
        <v>1188</v>
      </c>
      <c r="I37" s="138"/>
      <c r="J37" s="139">
        <v>200000.0</v>
      </c>
      <c r="K37" s="139">
        <f t="shared" si="2"/>
        <v>1504207</v>
      </c>
      <c r="L37" s="62" t="s">
        <v>211</v>
      </c>
      <c r="M37" s="62" t="s">
        <v>94</v>
      </c>
      <c r="N37" s="63"/>
      <c r="O37" s="62" t="s">
        <v>60</v>
      </c>
      <c r="P37" s="30" t="s">
        <v>95</v>
      </c>
      <c r="Q37" s="63" t="s">
        <v>82</v>
      </c>
      <c r="R37" s="36"/>
      <c r="S37" s="36"/>
      <c r="T37" s="36" t="s">
        <v>1088</v>
      </c>
      <c r="U37" s="30" t="s">
        <v>75</v>
      </c>
      <c r="V37" s="30"/>
      <c r="W37" s="30" t="str">
        <f t="shared" si="5"/>
        <v>#NAME?</v>
      </c>
    </row>
    <row r="38" ht="15.75" customHeight="1">
      <c r="A38" s="56">
        <v>50.0</v>
      </c>
      <c r="B38" s="56" t="str">
        <f t="shared" si="3"/>
        <v>#NAME?</v>
      </c>
      <c r="C38" s="56">
        <f t="shared" si="4"/>
        <v>6</v>
      </c>
      <c r="D38" s="66">
        <v>46176.0</v>
      </c>
      <c r="E38" s="66">
        <v>46176.0</v>
      </c>
      <c r="F38" s="45"/>
      <c r="G38" s="45" t="s">
        <v>1196</v>
      </c>
      <c r="H38" s="61" t="s">
        <v>1197</v>
      </c>
      <c r="I38" s="138"/>
      <c r="J38" s="139">
        <v>49000.0</v>
      </c>
      <c r="K38" s="139">
        <f t="shared" si="2"/>
        <v>1304207</v>
      </c>
      <c r="L38" s="62" t="s">
        <v>211</v>
      </c>
      <c r="M38" s="62" t="s">
        <v>94</v>
      </c>
      <c r="N38" s="63"/>
      <c r="O38" s="62" t="s">
        <v>60</v>
      </c>
      <c r="P38" s="30" t="s">
        <v>95</v>
      </c>
      <c r="Q38" s="63" t="s">
        <v>82</v>
      </c>
      <c r="R38" s="36"/>
      <c r="S38" s="36"/>
      <c r="T38" s="36" t="s">
        <v>1088</v>
      </c>
      <c r="U38" s="30" t="s">
        <v>75</v>
      </c>
      <c r="V38" s="30"/>
      <c r="W38" s="30" t="str">
        <f t="shared" si="5"/>
        <v>#NAME?</v>
      </c>
    </row>
    <row r="39" ht="15.75" customHeight="1">
      <c r="A39" s="56">
        <v>49.0</v>
      </c>
      <c r="B39" s="56" t="str">
        <f t="shared" si="3"/>
        <v>#NAME?</v>
      </c>
      <c r="C39" s="56">
        <f t="shared" si="4"/>
        <v>6</v>
      </c>
      <c r="D39" s="66">
        <v>46176.0</v>
      </c>
      <c r="E39" s="66">
        <v>46176.0</v>
      </c>
      <c r="F39" s="45"/>
      <c r="G39" s="45" t="s">
        <v>1204</v>
      </c>
      <c r="H39" s="61" t="s">
        <v>1205</v>
      </c>
      <c r="I39" s="138"/>
      <c r="J39" s="138">
        <v>1000.0</v>
      </c>
      <c r="K39" s="139">
        <f t="shared" si="2"/>
        <v>1255207</v>
      </c>
      <c r="L39" s="62" t="s">
        <v>211</v>
      </c>
      <c r="M39" s="62" t="s">
        <v>94</v>
      </c>
      <c r="N39" s="63"/>
      <c r="O39" s="62" t="s">
        <v>60</v>
      </c>
      <c r="P39" s="30" t="s">
        <v>95</v>
      </c>
      <c r="Q39" s="63" t="s">
        <v>82</v>
      </c>
      <c r="R39" s="36"/>
      <c r="S39" s="36"/>
      <c r="T39" s="36" t="s">
        <v>1088</v>
      </c>
      <c r="U39" s="30" t="s">
        <v>75</v>
      </c>
      <c r="V39" s="30"/>
      <c r="W39" s="30" t="str">
        <f t="shared" si="5"/>
        <v>#NAME?</v>
      </c>
    </row>
    <row r="40" ht="15.75" customHeight="1">
      <c r="A40" s="56">
        <v>47.0</v>
      </c>
      <c r="B40" s="56" t="str">
        <f t="shared" si="3"/>
        <v>#NAME?</v>
      </c>
      <c r="C40" s="56">
        <f t="shared" si="4"/>
        <v>5</v>
      </c>
      <c r="D40" s="66">
        <v>46167.0</v>
      </c>
      <c r="E40" s="66">
        <v>46167.0</v>
      </c>
      <c r="F40" s="45"/>
      <c r="G40" s="45" t="s">
        <v>1017</v>
      </c>
      <c r="H40" s="61"/>
      <c r="I40" s="138">
        <v>500000.0</v>
      </c>
      <c r="J40" s="139"/>
      <c r="K40" s="139">
        <f t="shared" si="2"/>
        <v>1254207</v>
      </c>
      <c r="L40" s="62" t="s">
        <v>211</v>
      </c>
      <c r="M40" s="62" t="s">
        <v>47</v>
      </c>
      <c r="N40" s="63"/>
      <c r="O40" s="62" t="s">
        <v>60</v>
      </c>
      <c r="P40" s="30" t="s">
        <v>47</v>
      </c>
      <c r="Q40" s="63" t="s">
        <v>50</v>
      </c>
      <c r="R40" s="36"/>
      <c r="S40" s="36"/>
      <c r="T40" s="36"/>
      <c r="U40" s="30" t="s">
        <v>75</v>
      </c>
      <c r="V40" s="30"/>
      <c r="W40" s="30" t="str">
        <f t="shared" si="5"/>
        <v>#NAME?</v>
      </c>
    </row>
    <row r="41" ht="15.75" customHeight="1">
      <c r="A41" s="56">
        <v>46.0</v>
      </c>
      <c r="B41" s="56" t="str">
        <f t="shared" si="3"/>
        <v>#NAME?</v>
      </c>
      <c r="C41" s="56">
        <f t="shared" si="4"/>
        <v>5</v>
      </c>
      <c r="D41" s="66">
        <v>46165.0</v>
      </c>
      <c r="E41" s="66">
        <v>46165.0</v>
      </c>
      <c r="F41" s="45"/>
      <c r="G41" s="45" t="s">
        <v>1214</v>
      </c>
      <c r="H41" s="61" t="s">
        <v>1215</v>
      </c>
      <c r="I41" s="138">
        <v>150000.0</v>
      </c>
      <c r="J41" s="139"/>
      <c r="K41" s="139">
        <f t="shared" si="2"/>
        <v>1754207</v>
      </c>
      <c r="L41" s="62" t="s">
        <v>45</v>
      </c>
      <c r="M41" s="62" t="s">
        <v>47</v>
      </c>
      <c r="N41" s="63"/>
      <c r="O41" s="62" t="s">
        <v>60</v>
      </c>
      <c r="P41" s="30" t="s">
        <v>213</v>
      </c>
      <c r="Q41" s="63" t="s">
        <v>50</v>
      </c>
      <c r="R41" s="36"/>
      <c r="S41" s="36"/>
      <c r="T41" s="36"/>
      <c r="U41" s="30" t="s">
        <v>75</v>
      </c>
      <c r="V41" s="30"/>
      <c r="W41" s="30" t="str">
        <f t="shared" si="5"/>
        <v>#NAME?</v>
      </c>
    </row>
    <row r="42" ht="15.75" customHeight="1">
      <c r="A42" s="56">
        <v>45.0</v>
      </c>
      <c r="B42" s="56" t="str">
        <f t="shared" si="3"/>
        <v>#NAME?</v>
      </c>
      <c r="C42" s="56">
        <f t="shared" si="4"/>
        <v>5</v>
      </c>
      <c r="D42" s="66">
        <v>46164.0</v>
      </c>
      <c r="E42" s="66">
        <v>46164.0</v>
      </c>
      <c r="F42" s="45"/>
      <c r="G42" s="45" t="s">
        <v>1217</v>
      </c>
      <c r="H42" s="61" t="s">
        <v>1218</v>
      </c>
      <c r="I42" s="138">
        <v>260000.0</v>
      </c>
      <c r="J42" s="139"/>
      <c r="K42" s="139">
        <f t="shared" si="2"/>
        <v>1904207</v>
      </c>
      <c r="L42" s="62" t="s">
        <v>45</v>
      </c>
      <c r="M42" s="62" t="s">
        <v>47</v>
      </c>
      <c r="N42" s="63"/>
      <c r="O42" s="62" t="s">
        <v>60</v>
      </c>
      <c r="P42" s="30" t="s">
        <v>213</v>
      </c>
      <c r="Q42" s="63" t="s">
        <v>50</v>
      </c>
      <c r="R42" s="36"/>
      <c r="S42" s="36"/>
      <c r="T42" s="36"/>
      <c r="U42" s="30" t="s">
        <v>75</v>
      </c>
      <c r="V42" s="30"/>
      <c r="W42" s="30" t="str">
        <f t="shared" si="5"/>
        <v>#NAME?</v>
      </c>
    </row>
    <row r="43" ht="15.75" customHeight="1">
      <c r="A43" s="56">
        <v>44.0</v>
      </c>
      <c r="B43" s="56" t="str">
        <f t="shared" si="3"/>
        <v>#NAME?</v>
      </c>
      <c r="C43" s="56">
        <f t="shared" si="4"/>
        <v>5</v>
      </c>
      <c r="D43" s="66">
        <v>46164.0</v>
      </c>
      <c r="E43" s="66">
        <v>46164.0</v>
      </c>
      <c r="F43" s="45"/>
      <c r="G43" s="45" t="s">
        <v>1225</v>
      </c>
      <c r="H43" s="61" t="s">
        <v>1226</v>
      </c>
      <c r="I43" s="138">
        <v>9907.0</v>
      </c>
      <c r="J43" s="139"/>
      <c r="K43" s="139">
        <f t="shared" si="2"/>
        <v>2164207</v>
      </c>
      <c r="L43" s="62" t="s">
        <v>211</v>
      </c>
      <c r="M43" s="62" t="s">
        <v>42</v>
      </c>
      <c r="N43" s="63"/>
      <c r="O43" s="62" t="s">
        <v>60</v>
      </c>
      <c r="P43" s="30" t="s">
        <v>43</v>
      </c>
      <c r="Q43" s="63" t="s">
        <v>44</v>
      </c>
      <c r="R43" s="36"/>
      <c r="S43" s="36"/>
      <c r="T43" s="36"/>
      <c r="U43" s="30" t="s">
        <v>1228</v>
      </c>
      <c r="V43" s="30"/>
      <c r="W43" s="30" t="str">
        <f t="shared" si="5"/>
        <v>#NAME?</v>
      </c>
    </row>
    <row r="44" ht="15.75" customHeight="1">
      <c r="A44" s="56">
        <v>43.0</v>
      </c>
      <c r="B44" s="56" t="str">
        <f t="shared" si="3"/>
        <v>#NAME?</v>
      </c>
      <c r="C44" s="56">
        <f t="shared" si="4"/>
        <v>5</v>
      </c>
      <c r="D44" s="66">
        <v>46163.0</v>
      </c>
      <c r="E44" s="66">
        <v>46163.0</v>
      </c>
      <c r="F44" s="45"/>
      <c r="G44" s="45" t="s">
        <v>1229</v>
      </c>
      <c r="H44" s="61">
        <v>134729.0</v>
      </c>
      <c r="I44" s="138"/>
      <c r="J44" s="139">
        <v>500000.0</v>
      </c>
      <c r="K44" s="139">
        <f t="shared" si="2"/>
        <v>2174114</v>
      </c>
      <c r="L44" s="62" t="s">
        <v>211</v>
      </c>
      <c r="M44" s="62" t="s">
        <v>94</v>
      </c>
      <c r="N44" s="63"/>
      <c r="O44" s="62" t="s">
        <v>60</v>
      </c>
      <c r="P44" s="30" t="s">
        <v>95</v>
      </c>
      <c r="Q44" s="63" t="s">
        <v>82</v>
      </c>
      <c r="R44" s="36"/>
      <c r="S44" s="91">
        <v>178.0</v>
      </c>
      <c r="T44" s="36" t="s">
        <v>1069</v>
      </c>
      <c r="U44" s="30" t="s">
        <v>75</v>
      </c>
      <c r="V44" s="30"/>
      <c r="W44" s="30" t="str">
        <f t="shared" si="5"/>
        <v>#NAME?</v>
      </c>
    </row>
    <row r="45" ht="15.75" customHeight="1">
      <c r="A45" s="56">
        <v>42.0</v>
      </c>
      <c r="B45" s="56" t="str">
        <f t="shared" si="3"/>
        <v>#NAME?</v>
      </c>
      <c r="C45" s="56">
        <f t="shared" si="4"/>
        <v>5</v>
      </c>
      <c r="D45" s="66">
        <v>46163.0</v>
      </c>
      <c r="E45" s="66">
        <v>46163.0</v>
      </c>
      <c r="F45" s="45"/>
      <c r="G45" s="45" t="s">
        <v>1234</v>
      </c>
      <c r="H45" s="61" t="s">
        <v>1235</v>
      </c>
      <c r="I45" s="138">
        <v>30000.0</v>
      </c>
      <c r="J45" s="139"/>
      <c r="K45" s="139">
        <f t="shared" si="2"/>
        <v>1674114</v>
      </c>
      <c r="L45" s="62" t="s">
        <v>211</v>
      </c>
      <c r="M45" s="62" t="s">
        <v>118</v>
      </c>
      <c r="N45" s="63"/>
      <c r="O45" s="62" t="s">
        <v>60</v>
      </c>
      <c r="P45" s="30" t="s">
        <v>43</v>
      </c>
      <c r="Q45" s="63" t="s">
        <v>44</v>
      </c>
      <c r="R45" s="36"/>
      <c r="S45" s="36"/>
      <c r="T45" s="36"/>
      <c r="U45" s="30" t="s">
        <v>1236</v>
      </c>
      <c r="V45" s="30"/>
      <c r="W45" s="30" t="str">
        <f t="shared" si="5"/>
        <v>#NAME?</v>
      </c>
    </row>
    <row r="46" ht="15.75" customHeight="1">
      <c r="A46" s="56">
        <v>41.0</v>
      </c>
      <c r="B46" s="56" t="str">
        <f t="shared" si="3"/>
        <v>#NAME?</v>
      </c>
      <c r="C46" s="56">
        <f t="shared" si="4"/>
        <v>5</v>
      </c>
      <c r="D46" s="66">
        <v>46157.0</v>
      </c>
      <c r="E46" s="66">
        <v>46157.0</v>
      </c>
      <c r="F46" s="45"/>
      <c r="G46" s="45" t="s">
        <v>1237</v>
      </c>
      <c r="H46" s="61" t="s">
        <v>1238</v>
      </c>
      <c r="I46" s="138">
        <v>14160.0</v>
      </c>
      <c r="J46" s="139"/>
      <c r="K46" s="139">
        <f t="shared" si="2"/>
        <v>1704114</v>
      </c>
      <c r="L46" s="62" t="s">
        <v>211</v>
      </c>
      <c r="M46" s="62" t="s">
        <v>67</v>
      </c>
      <c r="N46" s="63"/>
      <c r="O46" s="62" t="s">
        <v>60</v>
      </c>
      <c r="P46" s="30" t="s">
        <v>43</v>
      </c>
      <c r="Q46" s="63" t="s">
        <v>44</v>
      </c>
      <c r="R46" s="36"/>
      <c r="S46" s="36"/>
      <c r="T46" s="36" t="s">
        <v>1243</v>
      </c>
      <c r="U46" s="30" t="s">
        <v>1125</v>
      </c>
      <c r="V46" s="30"/>
      <c r="W46" s="30" t="str">
        <f t="shared" si="5"/>
        <v>#NAME?</v>
      </c>
    </row>
    <row r="47" ht="15.75" customHeight="1">
      <c r="A47" s="56">
        <v>40.0</v>
      </c>
      <c r="B47" s="56" t="str">
        <f t="shared" si="3"/>
        <v>#NAME?</v>
      </c>
      <c r="C47" s="56">
        <f t="shared" si="4"/>
        <v>5</v>
      </c>
      <c r="D47" s="66">
        <v>46155.0</v>
      </c>
      <c r="E47" s="66">
        <v>46155.0</v>
      </c>
      <c r="F47" s="45"/>
      <c r="G47" s="45" t="s">
        <v>1247</v>
      </c>
      <c r="H47" s="61" t="s">
        <v>1248</v>
      </c>
      <c r="I47" s="138">
        <v>9950.0</v>
      </c>
      <c r="J47" s="139"/>
      <c r="K47" s="139">
        <f t="shared" si="2"/>
        <v>1718274</v>
      </c>
      <c r="L47" s="62" t="s">
        <v>211</v>
      </c>
      <c r="M47" s="62" t="s">
        <v>67</v>
      </c>
      <c r="N47" s="63"/>
      <c r="O47" s="62" t="s">
        <v>60</v>
      </c>
      <c r="P47" s="30" t="s">
        <v>57</v>
      </c>
      <c r="Q47" s="63" t="s">
        <v>58</v>
      </c>
      <c r="R47" s="36"/>
      <c r="S47" s="36"/>
      <c r="T47" s="36"/>
      <c r="U47" s="30" t="s">
        <v>499</v>
      </c>
      <c r="V47" s="30"/>
      <c r="W47" s="30" t="str">
        <f t="shared" si="5"/>
        <v>#NAME?</v>
      </c>
    </row>
    <row r="48" ht="15.75" customHeight="1">
      <c r="A48" s="56">
        <v>39.0</v>
      </c>
      <c r="B48" s="56" t="str">
        <f t="shared" si="3"/>
        <v>#NAME?</v>
      </c>
      <c r="C48" s="56">
        <f t="shared" si="4"/>
        <v>5</v>
      </c>
      <c r="D48" s="66">
        <v>46155.0</v>
      </c>
      <c r="E48" s="66">
        <v>46155.0</v>
      </c>
      <c r="F48" s="45"/>
      <c r="G48" s="45" t="s">
        <v>1254</v>
      </c>
      <c r="H48" s="61" t="s">
        <v>1255</v>
      </c>
      <c r="I48" s="138">
        <v>651123.0</v>
      </c>
      <c r="J48" s="139"/>
      <c r="K48" s="139">
        <f t="shared" si="2"/>
        <v>1728224</v>
      </c>
      <c r="L48" s="62" t="s">
        <v>211</v>
      </c>
      <c r="M48" s="62" t="s">
        <v>67</v>
      </c>
      <c r="N48" s="63"/>
      <c r="O48" s="62" t="s">
        <v>60</v>
      </c>
      <c r="P48" s="30" t="s">
        <v>43</v>
      </c>
      <c r="Q48" s="63" t="s">
        <v>44</v>
      </c>
      <c r="R48" s="36"/>
      <c r="S48" s="36"/>
      <c r="T48" s="36" t="s">
        <v>1257</v>
      </c>
      <c r="U48" s="30" t="s">
        <v>1125</v>
      </c>
      <c r="V48" s="30"/>
      <c r="W48" s="30" t="str">
        <f t="shared" si="5"/>
        <v>#NAME?</v>
      </c>
    </row>
    <row r="49" ht="15.75" customHeight="1">
      <c r="A49" s="56">
        <v>38.0</v>
      </c>
      <c r="B49" s="56" t="str">
        <f t="shared" si="3"/>
        <v>#NAME?</v>
      </c>
      <c r="C49" s="56">
        <f t="shared" si="4"/>
        <v>5</v>
      </c>
      <c r="D49" s="66">
        <v>46155.0</v>
      </c>
      <c r="E49" s="66">
        <v>46155.0</v>
      </c>
      <c r="F49" s="45"/>
      <c r="G49" s="45" t="s">
        <v>1260</v>
      </c>
      <c r="H49" s="61" t="s">
        <v>1261</v>
      </c>
      <c r="I49" s="138"/>
      <c r="J49" s="139">
        <v>50000.0</v>
      </c>
      <c r="K49" s="139">
        <f t="shared" si="2"/>
        <v>2379347</v>
      </c>
      <c r="L49" s="62" t="s">
        <v>211</v>
      </c>
      <c r="M49" s="62" t="s">
        <v>94</v>
      </c>
      <c r="N49" s="63"/>
      <c r="O49" s="62" t="s">
        <v>60</v>
      </c>
      <c r="P49" s="30" t="s">
        <v>95</v>
      </c>
      <c r="Q49" s="63" t="s">
        <v>82</v>
      </c>
      <c r="R49" s="36"/>
      <c r="S49" s="91">
        <v>178.0</v>
      </c>
      <c r="T49" s="36" t="s">
        <v>1069</v>
      </c>
      <c r="U49" s="30" t="s">
        <v>75</v>
      </c>
      <c r="V49" s="30"/>
      <c r="W49" s="30" t="str">
        <f t="shared" si="5"/>
        <v>#NAME?</v>
      </c>
    </row>
    <row r="50" ht="15.75" customHeight="1">
      <c r="A50" s="56">
        <v>37.0</v>
      </c>
      <c r="B50" s="56" t="str">
        <f t="shared" si="3"/>
        <v>#NAME?</v>
      </c>
      <c r="C50" s="56">
        <f t="shared" si="4"/>
        <v>5</v>
      </c>
      <c r="D50" s="66">
        <v>46154.0</v>
      </c>
      <c r="E50" s="66">
        <v>46154.0</v>
      </c>
      <c r="F50" s="45"/>
      <c r="G50" s="45" t="s">
        <v>1267</v>
      </c>
      <c r="H50" s="61" t="s">
        <v>1268</v>
      </c>
      <c r="I50" s="138"/>
      <c r="J50" s="139">
        <v>50000.0</v>
      </c>
      <c r="K50" s="139">
        <f t="shared" si="2"/>
        <v>2329347</v>
      </c>
      <c r="L50" s="62" t="s">
        <v>211</v>
      </c>
      <c r="M50" s="62" t="s">
        <v>94</v>
      </c>
      <c r="N50" s="63"/>
      <c r="O50" s="62" t="s">
        <v>60</v>
      </c>
      <c r="P50" s="30" t="s">
        <v>95</v>
      </c>
      <c r="Q50" s="63" t="s">
        <v>82</v>
      </c>
      <c r="R50" s="36"/>
      <c r="S50" s="91">
        <v>178.0</v>
      </c>
      <c r="T50" s="36" t="s">
        <v>1069</v>
      </c>
      <c r="U50" s="30" t="s">
        <v>75</v>
      </c>
      <c r="V50" s="30"/>
      <c r="W50" s="30" t="str">
        <f t="shared" si="5"/>
        <v>#NAME?</v>
      </c>
    </row>
    <row r="51" ht="15.75" customHeight="1">
      <c r="A51" s="56">
        <v>36.0</v>
      </c>
      <c r="B51" s="56" t="str">
        <f t="shared" si="3"/>
        <v>#NAME?</v>
      </c>
      <c r="C51" s="56">
        <f t="shared" si="4"/>
        <v>5</v>
      </c>
      <c r="D51" s="66">
        <v>46152.0</v>
      </c>
      <c r="E51" s="66">
        <v>46152.0</v>
      </c>
      <c r="F51" s="45"/>
      <c r="G51" s="45" t="s">
        <v>1275</v>
      </c>
      <c r="H51" s="61" t="s">
        <v>1276</v>
      </c>
      <c r="I51" s="138">
        <v>10000.0</v>
      </c>
      <c r="J51" s="139"/>
      <c r="K51" s="139">
        <f t="shared" si="2"/>
        <v>2279347</v>
      </c>
      <c r="L51" s="62" t="s">
        <v>211</v>
      </c>
      <c r="M51" s="62" t="s">
        <v>85</v>
      </c>
      <c r="N51" s="63"/>
      <c r="O51" s="62" t="s">
        <v>60</v>
      </c>
      <c r="P51" s="30" t="s">
        <v>57</v>
      </c>
      <c r="Q51" s="63" t="s">
        <v>58</v>
      </c>
      <c r="R51" s="36"/>
      <c r="S51" s="36"/>
      <c r="T51" s="36"/>
      <c r="U51" s="30" t="s">
        <v>1279</v>
      </c>
      <c r="V51" s="30"/>
      <c r="W51" s="30" t="str">
        <f t="shared" si="5"/>
        <v>#NAME?</v>
      </c>
    </row>
    <row r="52" ht="15.75" customHeight="1">
      <c r="A52" s="56">
        <v>35.0</v>
      </c>
      <c r="B52" s="56" t="str">
        <f t="shared" si="3"/>
        <v>#NAME?</v>
      </c>
      <c r="C52" s="56">
        <f t="shared" si="4"/>
        <v>5</v>
      </c>
      <c r="D52" s="66">
        <v>46152.0</v>
      </c>
      <c r="E52" s="66">
        <v>46152.0</v>
      </c>
      <c r="F52" s="45"/>
      <c r="G52" s="45" t="s">
        <v>1284</v>
      </c>
      <c r="H52" s="61" t="s">
        <v>1285</v>
      </c>
      <c r="I52" s="138">
        <v>16576.0</v>
      </c>
      <c r="J52" s="139"/>
      <c r="K52" s="139">
        <f t="shared" si="2"/>
        <v>2289347</v>
      </c>
      <c r="L52" s="62" t="s">
        <v>211</v>
      </c>
      <c r="M52" s="62" t="s">
        <v>67</v>
      </c>
      <c r="N52" s="63"/>
      <c r="O52" s="62" t="s">
        <v>60</v>
      </c>
      <c r="P52" s="30" t="s">
        <v>57</v>
      </c>
      <c r="Q52" s="63" t="s">
        <v>58</v>
      </c>
      <c r="R52" s="36"/>
      <c r="S52" s="36"/>
      <c r="T52" s="36"/>
      <c r="U52" s="30" t="s">
        <v>156</v>
      </c>
      <c r="V52" s="30"/>
      <c r="W52" s="30" t="str">
        <f t="shared" si="5"/>
        <v>#NAME?</v>
      </c>
    </row>
    <row r="53" ht="15.75" customHeight="1">
      <c r="A53" s="56">
        <v>34.0</v>
      </c>
      <c r="B53" s="56" t="str">
        <f t="shared" si="3"/>
        <v>#NAME?</v>
      </c>
      <c r="C53" s="56">
        <f t="shared" si="4"/>
        <v>5</v>
      </c>
      <c r="D53" s="66">
        <v>46150.0</v>
      </c>
      <c r="E53" s="66">
        <v>46150.0</v>
      </c>
      <c r="F53" s="45"/>
      <c r="G53" s="45" t="s">
        <v>1292</v>
      </c>
      <c r="H53" s="61" t="s">
        <v>1293</v>
      </c>
      <c r="I53" s="138">
        <v>5299.0</v>
      </c>
      <c r="J53" s="139"/>
      <c r="K53" s="139">
        <f t="shared" si="2"/>
        <v>2305923</v>
      </c>
      <c r="L53" s="62" t="s">
        <v>211</v>
      </c>
      <c r="M53" s="62" t="s">
        <v>67</v>
      </c>
      <c r="N53" s="63"/>
      <c r="O53" s="62" t="s">
        <v>60</v>
      </c>
      <c r="P53" s="30" t="s">
        <v>57</v>
      </c>
      <c r="Q53" s="63" t="s">
        <v>58</v>
      </c>
      <c r="R53" s="36"/>
      <c r="S53" s="36"/>
      <c r="T53" s="36"/>
      <c r="U53" s="30" t="s">
        <v>499</v>
      </c>
      <c r="V53" s="30"/>
      <c r="W53" s="30" t="str">
        <f t="shared" si="5"/>
        <v>#NAME?</v>
      </c>
    </row>
    <row r="54" ht="15.75" customHeight="1">
      <c r="A54" s="56">
        <v>33.0</v>
      </c>
      <c r="B54" s="56" t="str">
        <f t="shared" si="3"/>
        <v>#NAME?</v>
      </c>
      <c r="C54" s="56">
        <f t="shared" si="4"/>
        <v>5</v>
      </c>
      <c r="D54" s="66">
        <v>46150.0</v>
      </c>
      <c r="E54" s="66">
        <v>46150.0</v>
      </c>
      <c r="F54" s="45"/>
      <c r="G54" s="45" t="s">
        <v>1299</v>
      </c>
      <c r="H54" s="61" t="s">
        <v>1300</v>
      </c>
      <c r="I54" s="138"/>
      <c r="J54" s="139">
        <v>2000000.0</v>
      </c>
      <c r="K54" s="139">
        <f t="shared" si="2"/>
        <v>2311222</v>
      </c>
      <c r="L54" s="62" t="s">
        <v>211</v>
      </c>
      <c r="M54" s="62" t="s">
        <v>94</v>
      </c>
      <c r="N54" s="63"/>
      <c r="O54" s="62" t="s">
        <v>60</v>
      </c>
      <c r="P54" s="30" t="s">
        <v>95</v>
      </c>
      <c r="Q54" s="63" t="s">
        <v>82</v>
      </c>
      <c r="R54" s="36"/>
      <c r="S54" s="36">
        <v>282.0</v>
      </c>
      <c r="T54" s="36" t="s">
        <v>1301</v>
      </c>
      <c r="U54" s="30" t="s">
        <v>75</v>
      </c>
      <c r="V54" s="30"/>
      <c r="W54" s="30" t="str">
        <f t="shared" si="5"/>
        <v>#NAME?</v>
      </c>
    </row>
    <row r="55" ht="15.75" customHeight="1">
      <c r="A55" s="56">
        <v>32.0</v>
      </c>
      <c r="B55" s="56" t="str">
        <f t="shared" si="3"/>
        <v>#NAME?</v>
      </c>
      <c r="C55" s="56">
        <f t="shared" si="4"/>
        <v>5</v>
      </c>
      <c r="D55" s="66">
        <v>46149.0</v>
      </c>
      <c r="E55" s="66">
        <v>46149.0</v>
      </c>
      <c r="F55" s="45"/>
      <c r="G55" s="45" t="s">
        <v>1304</v>
      </c>
      <c r="H55" s="61" t="s">
        <v>1305</v>
      </c>
      <c r="I55" s="139">
        <v>2041103.0</v>
      </c>
      <c r="J55" s="139"/>
      <c r="K55" s="139">
        <f t="shared" si="2"/>
        <v>311222</v>
      </c>
      <c r="L55" s="62" t="s">
        <v>211</v>
      </c>
      <c r="M55" s="62" t="s">
        <v>1047</v>
      </c>
      <c r="N55" s="63"/>
      <c r="O55" s="62" t="s">
        <v>60</v>
      </c>
      <c r="P55" s="30" t="s">
        <v>1048</v>
      </c>
      <c r="Q55" s="63" t="s">
        <v>1049</v>
      </c>
      <c r="R55" s="36"/>
      <c r="S55" s="36">
        <v>2355.0</v>
      </c>
      <c r="T55" s="36" t="s">
        <v>1308</v>
      </c>
      <c r="U55" s="30" t="s">
        <v>1047</v>
      </c>
      <c r="V55" s="30"/>
      <c r="W55" s="30" t="str">
        <f t="shared" si="5"/>
        <v>#NAME?</v>
      </c>
    </row>
    <row r="56" ht="15.75" customHeight="1">
      <c r="A56" s="56">
        <v>31.0</v>
      </c>
      <c r="B56" s="56" t="str">
        <f t="shared" si="3"/>
        <v>#NAME?</v>
      </c>
      <c r="C56" s="56">
        <f t="shared" si="4"/>
        <v>5</v>
      </c>
      <c r="D56" s="66">
        <v>46149.0</v>
      </c>
      <c r="E56" s="66">
        <v>46149.0</v>
      </c>
      <c r="F56" s="45"/>
      <c r="G56" s="45" t="s">
        <v>1312</v>
      </c>
      <c r="H56" s="61" t="s">
        <v>1313</v>
      </c>
      <c r="I56" s="138">
        <v>5000.0</v>
      </c>
      <c r="J56" s="139"/>
      <c r="K56" s="139">
        <f t="shared" si="2"/>
        <v>2352325</v>
      </c>
      <c r="L56" s="62" t="s">
        <v>211</v>
      </c>
      <c r="M56" s="62" t="s">
        <v>67</v>
      </c>
      <c r="N56" s="63"/>
      <c r="O56" s="62" t="s">
        <v>60</v>
      </c>
      <c r="P56" s="30" t="s">
        <v>57</v>
      </c>
      <c r="Q56" s="63" t="s">
        <v>58</v>
      </c>
      <c r="R56" s="36"/>
      <c r="S56" s="36"/>
      <c r="T56" s="36"/>
      <c r="U56" s="30" t="s">
        <v>156</v>
      </c>
      <c r="V56" s="30"/>
      <c r="W56" s="30" t="str">
        <f t="shared" si="5"/>
        <v>#NAME?</v>
      </c>
    </row>
    <row r="57" ht="15.75" customHeight="1">
      <c r="A57" s="56">
        <v>30.0</v>
      </c>
      <c r="B57" s="56" t="str">
        <f t="shared" si="3"/>
        <v>#NAME?</v>
      </c>
      <c r="C57" s="56">
        <f t="shared" si="4"/>
        <v>5</v>
      </c>
      <c r="D57" s="66">
        <v>46148.0</v>
      </c>
      <c r="E57" s="66">
        <v>46148.0</v>
      </c>
      <c r="F57" s="45"/>
      <c r="G57" s="45" t="s">
        <v>1316</v>
      </c>
      <c r="H57" s="61" t="s">
        <v>1317</v>
      </c>
      <c r="I57" s="139">
        <v>1305343.0</v>
      </c>
      <c r="J57" s="139"/>
      <c r="K57" s="139">
        <f t="shared" si="2"/>
        <v>2357325</v>
      </c>
      <c r="L57" s="62" t="s">
        <v>211</v>
      </c>
      <c r="M57" s="62" t="s">
        <v>1047</v>
      </c>
      <c r="N57" s="63"/>
      <c r="O57" s="62" t="s">
        <v>60</v>
      </c>
      <c r="P57" s="30" t="s">
        <v>1048</v>
      </c>
      <c r="Q57" s="63" t="s">
        <v>1049</v>
      </c>
      <c r="R57" s="36"/>
      <c r="S57" s="36">
        <v>282.0</v>
      </c>
      <c r="T57" s="36" t="s">
        <v>1301</v>
      </c>
      <c r="U57" s="30" t="s">
        <v>1047</v>
      </c>
      <c r="V57" s="30"/>
      <c r="W57" s="30" t="str">
        <f t="shared" si="5"/>
        <v>#NAME?</v>
      </c>
    </row>
    <row r="58" ht="15.75" customHeight="1">
      <c r="A58" s="56">
        <v>29.0</v>
      </c>
      <c r="B58" s="56" t="str">
        <f t="shared" si="3"/>
        <v>#NAME?</v>
      </c>
      <c r="C58" s="56">
        <f t="shared" si="4"/>
        <v>5</v>
      </c>
      <c r="D58" s="66">
        <v>46147.0</v>
      </c>
      <c r="E58" s="66">
        <v>46147.0</v>
      </c>
      <c r="F58" s="45"/>
      <c r="G58" s="45" t="s">
        <v>1320</v>
      </c>
      <c r="H58" s="61" t="s">
        <v>1321</v>
      </c>
      <c r="I58" s="139">
        <v>1080000.0</v>
      </c>
      <c r="J58" s="139"/>
      <c r="K58" s="139">
        <f t="shared" si="2"/>
        <v>3662668</v>
      </c>
      <c r="L58" s="62" t="s">
        <v>211</v>
      </c>
      <c r="M58" s="62" t="s">
        <v>1047</v>
      </c>
      <c r="N58" s="63"/>
      <c r="O58" s="62" t="s">
        <v>60</v>
      </c>
      <c r="P58" s="30" t="s">
        <v>1048</v>
      </c>
      <c r="Q58" s="63" t="s">
        <v>1049</v>
      </c>
      <c r="R58" s="36"/>
      <c r="S58" s="36">
        <v>88.0</v>
      </c>
      <c r="T58" s="36" t="s">
        <v>1257</v>
      </c>
      <c r="U58" s="30" t="s">
        <v>1047</v>
      </c>
      <c r="V58" s="30"/>
      <c r="W58" s="30" t="str">
        <f t="shared" si="5"/>
        <v>#NAME?</v>
      </c>
    </row>
    <row r="59" ht="15.75" customHeight="1">
      <c r="A59" s="56">
        <v>28.0</v>
      </c>
      <c r="B59" s="56" t="str">
        <f t="shared" si="3"/>
        <v>#NAME?</v>
      </c>
      <c r="C59" s="56">
        <f t="shared" si="4"/>
        <v>5</v>
      </c>
      <c r="D59" s="66">
        <v>46147.0</v>
      </c>
      <c r="E59" s="66">
        <v>46147.0</v>
      </c>
      <c r="F59" s="45"/>
      <c r="G59" s="45" t="s">
        <v>1326</v>
      </c>
      <c r="H59" s="61" t="s">
        <v>1327</v>
      </c>
      <c r="I59" s="139">
        <v>267500.0</v>
      </c>
      <c r="J59" s="139"/>
      <c r="K59" s="139">
        <f t="shared" si="2"/>
        <v>4742668</v>
      </c>
      <c r="L59" s="62" t="s">
        <v>211</v>
      </c>
      <c r="M59" s="62" t="s">
        <v>1047</v>
      </c>
      <c r="N59" s="63"/>
      <c r="O59" s="62" t="s">
        <v>60</v>
      </c>
      <c r="P59" s="30" t="s">
        <v>1048</v>
      </c>
      <c r="Q59" s="63" t="s">
        <v>1049</v>
      </c>
      <c r="R59" s="36"/>
      <c r="S59" s="146">
        <v>1959.0</v>
      </c>
      <c r="T59" s="36" t="s">
        <v>1328</v>
      </c>
      <c r="U59" s="30" t="s">
        <v>1047</v>
      </c>
      <c r="V59" s="30"/>
      <c r="W59" s="30" t="str">
        <f t="shared" si="5"/>
        <v>#NAME?</v>
      </c>
    </row>
    <row r="60" ht="15.75" customHeight="1">
      <c r="A60" s="56">
        <v>27.0</v>
      </c>
      <c r="B60" s="56" t="str">
        <f t="shared" si="3"/>
        <v>#NAME?</v>
      </c>
      <c r="C60" s="56">
        <f t="shared" si="4"/>
        <v>4</v>
      </c>
      <c r="D60" s="66">
        <v>46142.0</v>
      </c>
      <c r="E60" s="66">
        <v>46142.0</v>
      </c>
      <c r="F60" s="45"/>
      <c r="G60" s="45" t="s">
        <v>1329</v>
      </c>
      <c r="H60" s="61" t="s">
        <v>1330</v>
      </c>
      <c r="I60" s="138">
        <v>3500.0</v>
      </c>
      <c r="J60" s="139"/>
      <c r="K60" s="147">
        <f t="shared" si="2"/>
        <v>5010168</v>
      </c>
      <c r="L60" s="62" t="s">
        <v>211</v>
      </c>
      <c r="M60" s="62" t="s">
        <v>67</v>
      </c>
      <c r="N60" s="63"/>
      <c r="O60" s="62" t="s">
        <v>60</v>
      </c>
      <c r="P60" s="30" t="s">
        <v>57</v>
      </c>
      <c r="Q60" s="63" t="s">
        <v>58</v>
      </c>
      <c r="R60" s="36"/>
      <c r="S60" s="36"/>
      <c r="T60" s="36"/>
      <c r="U60" s="30" t="s">
        <v>499</v>
      </c>
      <c r="V60" s="30"/>
      <c r="W60" s="30" t="str">
        <f t="shared" si="5"/>
        <v>#NAME?</v>
      </c>
    </row>
    <row r="61" ht="15.75" customHeight="1">
      <c r="A61" s="56">
        <v>26.0</v>
      </c>
      <c r="B61" s="56" t="str">
        <f t="shared" si="3"/>
        <v>#NAME?</v>
      </c>
      <c r="C61" s="56">
        <f t="shared" si="4"/>
        <v>4</v>
      </c>
      <c r="D61" s="66">
        <v>46142.0</v>
      </c>
      <c r="E61" s="66">
        <v>46142.0</v>
      </c>
      <c r="F61" s="45"/>
      <c r="G61" s="45" t="s">
        <v>1333</v>
      </c>
      <c r="H61" s="61">
        <v>157283.0</v>
      </c>
      <c r="I61" s="138"/>
      <c r="J61" s="139">
        <v>4000000.0</v>
      </c>
      <c r="K61" s="139">
        <f t="shared" si="2"/>
        <v>5013668</v>
      </c>
      <c r="L61" s="62" t="s">
        <v>211</v>
      </c>
      <c r="M61" s="62" t="s">
        <v>94</v>
      </c>
      <c r="N61" s="63"/>
      <c r="O61" s="62" t="s">
        <v>60</v>
      </c>
      <c r="P61" s="30" t="s">
        <v>95</v>
      </c>
      <c r="Q61" s="63" t="s">
        <v>82</v>
      </c>
      <c r="R61" s="36"/>
      <c r="S61" s="36">
        <v>88.0</v>
      </c>
      <c r="T61" s="36" t="s">
        <v>1257</v>
      </c>
      <c r="U61" s="30" t="s">
        <v>75</v>
      </c>
      <c r="V61" s="30"/>
      <c r="W61" s="30" t="str">
        <f t="shared" si="5"/>
        <v>#NAME?</v>
      </c>
    </row>
    <row r="62" ht="15.75" customHeight="1">
      <c r="A62" s="56">
        <v>25.0</v>
      </c>
      <c r="B62" s="56" t="str">
        <f t="shared" si="3"/>
        <v>#NAME?</v>
      </c>
      <c r="C62" s="56">
        <f t="shared" si="4"/>
        <v>4</v>
      </c>
      <c r="D62" s="66">
        <v>46142.0</v>
      </c>
      <c r="E62" s="66">
        <v>46142.0</v>
      </c>
      <c r="F62" s="45"/>
      <c r="G62" s="45" t="s">
        <v>1333</v>
      </c>
      <c r="H62" s="61">
        <v>157284.0</v>
      </c>
      <c r="I62" s="138"/>
      <c r="J62" s="139">
        <v>400000.0</v>
      </c>
      <c r="K62" s="139">
        <f t="shared" si="2"/>
        <v>1013668</v>
      </c>
      <c r="L62" s="62" t="s">
        <v>211</v>
      </c>
      <c r="M62" s="62" t="s">
        <v>94</v>
      </c>
      <c r="N62" s="63"/>
      <c r="O62" s="62" t="s">
        <v>60</v>
      </c>
      <c r="P62" s="30" t="s">
        <v>95</v>
      </c>
      <c r="Q62" s="63" t="s">
        <v>82</v>
      </c>
      <c r="R62" s="36"/>
      <c r="S62" s="36">
        <v>88.0</v>
      </c>
      <c r="T62" s="36" t="s">
        <v>1257</v>
      </c>
      <c r="U62" s="30" t="s">
        <v>75</v>
      </c>
      <c r="V62" s="30"/>
      <c r="W62" s="30" t="str">
        <f t="shared" si="5"/>
        <v>#NAME?</v>
      </c>
    </row>
    <row r="63" ht="15.75" customHeight="1">
      <c r="A63" s="56">
        <v>24.0</v>
      </c>
      <c r="B63" s="56" t="str">
        <f t="shared" si="3"/>
        <v>#NAME?</v>
      </c>
      <c r="C63" s="56">
        <f t="shared" si="4"/>
        <v>4</v>
      </c>
      <c r="D63" s="66">
        <v>46141.0</v>
      </c>
      <c r="E63" s="66">
        <v>46141.0</v>
      </c>
      <c r="F63" s="45"/>
      <c r="G63" s="45" t="s">
        <v>1338</v>
      </c>
      <c r="H63" s="61" t="s">
        <v>1339</v>
      </c>
      <c r="I63" s="138">
        <v>12400.0</v>
      </c>
      <c r="J63" s="139"/>
      <c r="K63" s="139">
        <f t="shared" si="2"/>
        <v>613668</v>
      </c>
      <c r="L63" s="62" t="s">
        <v>211</v>
      </c>
      <c r="M63" s="62" t="s">
        <v>67</v>
      </c>
      <c r="N63" s="63"/>
      <c r="O63" s="62" t="s">
        <v>60</v>
      </c>
      <c r="P63" s="30" t="s">
        <v>57</v>
      </c>
      <c r="Q63" s="63" t="s">
        <v>58</v>
      </c>
      <c r="R63" s="36"/>
      <c r="S63" s="36"/>
      <c r="T63" s="36"/>
      <c r="U63" s="30" t="s">
        <v>156</v>
      </c>
      <c r="V63" s="30"/>
      <c r="W63" s="30" t="str">
        <f t="shared" si="5"/>
        <v>#NAME?</v>
      </c>
    </row>
    <row r="64" ht="15.75" customHeight="1">
      <c r="A64" s="56">
        <v>23.0</v>
      </c>
      <c r="B64" s="56" t="str">
        <f t="shared" si="3"/>
        <v>#NAME?</v>
      </c>
      <c r="C64" s="56">
        <f t="shared" si="4"/>
        <v>4</v>
      </c>
      <c r="D64" s="66">
        <v>46140.0</v>
      </c>
      <c r="E64" s="66">
        <v>46140.0</v>
      </c>
      <c r="F64" s="45"/>
      <c r="G64" s="45" t="s">
        <v>1343</v>
      </c>
      <c r="H64" s="61" t="s">
        <v>1345</v>
      </c>
      <c r="I64" s="138">
        <v>55000.0</v>
      </c>
      <c r="J64" s="139"/>
      <c r="K64" s="139">
        <f t="shared" si="2"/>
        <v>626068</v>
      </c>
      <c r="L64" s="62" t="s">
        <v>211</v>
      </c>
      <c r="M64" s="62" t="s">
        <v>1087</v>
      </c>
      <c r="N64" s="63"/>
      <c r="O64" s="62" t="s">
        <v>60</v>
      </c>
      <c r="P64" s="30" t="s">
        <v>1048</v>
      </c>
      <c r="Q64" s="63" t="s">
        <v>1049</v>
      </c>
      <c r="R64" s="36"/>
      <c r="S64" s="36">
        <v>88.0</v>
      </c>
      <c r="T64" s="36" t="s">
        <v>1257</v>
      </c>
      <c r="U64" s="30" t="s">
        <v>1125</v>
      </c>
      <c r="V64" s="30"/>
      <c r="W64" s="30" t="str">
        <f t="shared" si="5"/>
        <v>#NAME?</v>
      </c>
    </row>
    <row r="65" ht="15.75" customHeight="1">
      <c r="A65" s="56">
        <v>22.0</v>
      </c>
      <c r="B65" s="56" t="str">
        <f t="shared" si="3"/>
        <v>#NAME?</v>
      </c>
      <c r="C65" s="56">
        <f t="shared" si="4"/>
        <v>4</v>
      </c>
      <c r="D65" s="66">
        <v>46139.0</v>
      </c>
      <c r="E65" s="66">
        <v>46139.0</v>
      </c>
      <c r="F65" s="45"/>
      <c r="G65" s="45" t="s">
        <v>1352</v>
      </c>
      <c r="H65" s="61" t="s">
        <v>1353</v>
      </c>
      <c r="I65" s="138"/>
      <c r="J65" s="139">
        <v>550000.0</v>
      </c>
      <c r="K65" s="139">
        <f t="shared" si="2"/>
        <v>681068</v>
      </c>
      <c r="L65" s="62" t="s">
        <v>211</v>
      </c>
      <c r="M65" s="62" t="s">
        <v>94</v>
      </c>
      <c r="N65" s="63"/>
      <c r="O65" s="62" t="s">
        <v>60</v>
      </c>
      <c r="P65" s="30" t="s">
        <v>95</v>
      </c>
      <c r="Q65" s="63" t="s">
        <v>82</v>
      </c>
      <c r="R65" s="36"/>
      <c r="S65" s="36">
        <v>282.0</v>
      </c>
      <c r="T65" s="36" t="s">
        <v>1301</v>
      </c>
      <c r="U65" s="30" t="s">
        <v>75</v>
      </c>
      <c r="V65" s="30"/>
      <c r="W65" s="30" t="str">
        <f t="shared" si="5"/>
        <v>#NAME?</v>
      </c>
    </row>
    <row r="66" ht="15.75" customHeight="1">
      <c r="A66" s="56">
        <v>21.0</v>
      </c>
      <c r="B66" s="56" t="str">
        <f t="shared" si="3"/>
        <v>#NAME?</v>
      </c>
      <c r="C66" s="56">
        <f t="shared" si="4"/>
        <v>4</v>
      </c>
      <c r="D66" s="66">
        <v>46137.0</v>
      </c>
      <c r="E66" s="66">
        <v>46137.0</v>
      </c>
      <c r="F66" s="45"/>
      <c r="G66" s="45" t="s">
        <v>1316</v>
      </c>
      <c r="H66" s="61" t="s">
        <v>1354</v>
      </c>
      <c r="I66" s="138">
        <v>350000.0</v>
      </c>
      <c r="J66" s="139"/>
      <c r="K66" s="139">
        <f t="shared" si="2"/>
        <v>131068</v>
      </c>
      <c r="L66" s="62" t="s">
        <v>211</v>
      </c>
      <c r="M66" s="62" t="s">
        <v>1047</v>
      </c>
      <c r="N66" s="63"/>
      <c r="O66" s="62" t="s">
        <v>60</v>
      </c>
      <c r="P66" s="30" t="s">
        <v>1048</v>
      </c>
      <c r="Q66" s="63" t="s">
        <v>1049</v>
      </c>
      <c r="R66" s="36"/>
      <c r="S66" s="36">
        <v>282.0</v>
      </c>
      <c r="T66" s="36" t="s">
        <v>1301</v>
      </c>
      <c r="U66" s="30" t="s">
        <v>1047</v>
      </c>
      <c r="V66" s="30"/>
      <c r="W66" s="30" t="str">
        <f t="shared" si="5"/>
        <v>#NAME?</v>
      </c>
    </row>
    <row r="67" ht="15.75" customHeight="1">
      <c r="A67" s="56">
        <v>20.0</v>
      </c>
      <c r="B67" s="56" t="str">
        <f t="shared" si="3"/>
        <v>#NAME?</v>
      </c>
      <c r="C67" s="56">
        <f t="shared" si="4"/>
        <v>4</v>
      </c>
      <c r="D67" s="66">
        <v>46135.0</v>
      </c>
      <c r="E67" s="66">
        <v>46135.0</v>
      </c>
      <c r="F67" s="45"/>
      <c r="G67" s="45" t="s">
        <v>1360</v>
      </c>
      <c r="H67" s="61" t="s">
        <v>1361</v>
      </c>
      <c r="I67" s="138">
        <v>300000.0</v>
      </c>
      <c r="J67" s="139"/>
      <c r="K67" s="139">
        <f t="shared" si="2"/>
        <v>481068</v>
      </c>
      <c r="L67" s="62" t="s">
        <v>45</v>
      </c>
      <c r="M67" s="62" t="s">
        <v>47</v>
      </c>
      <c r="N67" s="63"/>
      <c r="O67" s="62" t="s">
        <v>60</v>
      </c>
      <c r="P67" s="30" t="s">
        <v>213</v>
      </c>
      <c r="Q67" s="63" t="s">
        <v>50</v>
      </c>
      <c r="R67" s="36"/>
      <c r="S67" s="36"/>
      <c r="T67" s="36"/>
      <c r="U67" s="30" t="s">
        <v>75</v>
      </c>
      <c r="V67" s="30"/>
      <c r="W67" s="30" t="str">
        <f t="shared" si="5"/>
        <v>#NAME?</v>
      </c>
    </row>
    <row r="68" ht="15.75" customHeight="1">
      <c r="A68" s="56">
        <v>19.0</v>
      </c>
      <c r="B68" s="56" t="str">
        <f t="shared" si="3"/>
        <v>#NAME?</v>
      </c>
      <c r="C68" s="56">
        <f t="shared" si="4"/>
        <v>4</v>
      </c>
      <c r="D68" s="66">
        <v>46135.0</v>
      </c>
      <c r="E68" s="66">
        <v>46135.0</v>
      </c>
      <c r="F68" s="45"/>
      <c r="G68" s="45" t="s">
        <v>1364</v>
      </c>
      <c r="H68" s="61" t="s">
        <v>1365</v>
      </c>
      <c r="I68" s="138">
        <v>50000.0</v>
      </c>
      <c r="J68" s="139"/>
      <c r="K68" s="139">
        <f t="shared" si="2"/>
        <v>781068</v>
      </c>
      <c r="L68" s="62" t="s">
        <v>211</v>
      </c>
      <c r="M68" s="62" t="s">
        <v>47</v>
      </c>
      <c r="N68" s="63"/>
      <c r="O68" s="62" t="s">
        <v>60</v>
      </c>
      <c r="P68" s="30" t="s">
        <v>47</v>
      </c>
      <c r="Q68" s="63" t="s">
        <v>50</v>
      </c>
      <c r="R68" s="36"/>
      <c r="S68" s="36"/>
      <c r="T68" s="36"/>
      <c r="U68" s="30" t="s">
        <v>75</v>
      </c>
      <c r="V68" s="30"/>
      <c r="W68" s="30" t="str">
        <f t="shared" si="5"/>
        <v>#NAME?</v>
      </c>
    </row>
    <row r="69" ht="15.75" customHeight="1">
      <c r="A69" s="56">
        <v>18.0</v>
      </c>
      <c r="B69" s="56" t="str">
        <f t="shared" si="3"/>
        <v>#NAME?</v>
      </c>
      <c r="C69" s="56">
        <f t="shared" si="4"/>
        <v>4</v>
      </c>
      <c r="D69" s="66">
        <v>46132.0</v>
      </c>
      <c r="E69" s="66">
        <v>46132.0</v>
      </c>
      <c r="F69" s="45"/>
      <c r="G69" s="45" t="s">
        <v>1367</v>
      </c>
      <c r="H69" s="61" t="s">
        <v>1369</v>
      </c>
      <c r="I69" s="138">
        <v>14579.0</v>
      </c>
      <c r="J69" s="139"/>
      <c r="K69" s="139">
        <f t="shared" si="2"/>
        <v>831068</v>
      </c>
      <c r="L69" s="62" t="s">
        <v>211</v>
      </c>
      <c r="M69" s="62" t="s">
        <v>85</v>
      </c>
      <c r="N69" s="63"/>
      <c r="O69" s="62" t="s">
        <v>60</v>
      </c>
      <c r="P69" s="30" t="s">
        <v>43</v>
      </c>
      <c r="Q69" s="63" t="s">
        <v>44</v>
      </c>
      <c r="R69" s="36"/>
      <c r="S69" s="36"/>
      <c r="T69" s="36"/>
      <c r="U69" s="30" t="s">
        <v>430</v>
      </c>
      <c r="V69" s="30"/>
      <c r="W69" s="30" t="str">
        <f t="shared" si="5"/>
        <v>#NAME?</v>
      </c>
    </row>
    <row r="70" ht="15.75" customHeight="1">
      <c r="A70" s="56">
        <v>17.0</v>
      </c>
      <c r="B70" s="56" t="str">
        <f t="shared" si="3"/>
        <v>#NAME?</v>
      </c>
      <c r="C70" s="56">
        <f t="shared" si="4"/>
        <v>4</v>
      </c>
      <c r="D70" s="66">
        <v>46132.0</v>
      </c>
      <c r="E70" s="66">
        <v>46132.0</v>
      </c>
      <c r="F70" s="45"/>
      <c r="G70" s="45" t="s">
        <v>1372</v>
      </c>
      <c r="H70" s="61" t="s">
        <v>1373</v>
      </c>
      <c r="I70" s="138">
        <v>800000.0</v>
      </c>
      <c r="J70" s="139"/>
      <c r="K70" s="139">
        <f t="shared" si="2"/>
        <v>845647</v>
      </c>
      <c r="L70" s="62" t="s">
        <v>45</v>
      </c>
      <c r="M70" s="62" t="s">
        <v>47</v>
      </c>
      <c r="N70" s="63"/>
      <c r="O70" s="62" t="s">
        <v>60</v>
      </c>
      <c r="P70" s="30" t="s">
        <v>213</v>
      </c>
      <c r="Q70" s="63" t="s">
        <v>50</v>
      </c>
      <c r="R70" s="36"/>
      <c r="S70" s="36"/>
      <c r="T70" s="36"/>
      <c r="U70" s="30" t="s">
        <v>75</v>
      </c>
      <c r="V70" s="30"/>
      <c r="W70" s="30" t="str">
        <f t="shared" si="5"/>
        <v>#NAME?</v>
      </c>
    </row>
    <row r="71" ht="15.75" customHeight="1">
      <c r="A71" s="56">
        <v>16.0</v>
      </c>
      <c r="B71" s="56" t="str">
        <f t="shared" si="3"/>
        <v>#NAME?</v>
      </c>
      <c r="C71" s="56">
        <f t="shared" si="4"/>
        <v>4</v>
      </c>
      <c r="D71" s="66">
        <v>46132.0</v>
      </c>
      <c r="E71" s="66">
        <v>46132.0</v>
      </c>
      <c r="F71" s="45"/>
      <c r="G71" s="45" t="s">
        <v>1375</v>
      </c>
      <c r="H71" s="61" t="s">
        <v>1376</v>
      </c>
      <c r="I71" s="138">
        <v>484146.0</v>
      </c>
      <c r="J71" s="139"/>
      <c r="K71" s="139">
        <f t="shared" si="2"/>
        <v>1645647</v>
      </c>
      <c r="L71" s="62" t="s">
        <v>211</v>
      </c>
      <c r="M71" s="62" t="s">
        <v>67</v>
      </c>
      <c r="N71" s="63"/>
      <c r="O71" s="62" t="s">
        <v>60</v>
      </c>
      <c r="P71" s="30" t="s">
        <v>57</v>
      </c>
      <c r="Q71" s="63" t="s">
        <v>58</v>
      </c>
      <c r="R71" s="36"/>
      <c r="S71" s="36"/>
      <c r="T71" s="36" t="s">
        <v>1378</v>
      </c>
      <c r="U71" s="30" t="s">
        <v>1125</v>
      </c>
      <c r="V71" s="30"/>
      <c r="W71" s="30" t="str">
        <f t="shared" si="5"/>
        <v>#NAME?</v>
      </c>
    </row>
    <row r="72" ht="15.75" customHeight="1">
      <c r="A72" s="56">
        <v>15.0</v>
      </c>
      <c r="B72" s="56" t="str">
        <f t="shared" si="3"/>
        <v>#NAME?</v>
      </c>
      <c r="C72" s="56">
        <f t="shared" si="4"/>
        <v>4</v>
      </c>
      <c r="D72" s="66">
        <v>46130.0</v>
      </c>
      <c r="E72" s="66">
        <v>46130.0</v>
      </c>
      <c r="F72" s="45"/>
      <c r="G72" s="45" t="s">
        <v>1379</v>
      </c>
      <c r="H72" s="61" t="s">
        <v>1380</v>
      </c>
      <c r="I72" s="138">
        <v>100000.0</v>
      </c>
      <c r="J72" s="139"/>
      <c r="K72" s="139">
        <f t="shared" si="2"/>
        <v>2129793</v>
      </c>
      <c r="L72" s="62" t="s">
        <v>45</v>
      </c>
      <c r="M72" s="62" t="s">
        <v>47</v>
      </c>
      <c r="N72" s="63"/>
      <c r="O72" s="62" t="s">
        <v>60</v>
      </c>
      <c r="P72" s="30" t="s">
        <v>213</v>
      </c>
      <c r="Q72" s="63" t="s">
        <v>50</v>
      </c>
      <c r="R72" s="36"/>
      <c r="S72" s="36"/>
      <c r="T72" s="36"/>
      <c r="U72" s="30" t="s">
        <v>75</v>
      </c>
      <c r="V72" s="30"/>
      <c r="W72" s="30" t="str">
        <f t="shared" si="5"/>
        <v>#NAME?</v>
      </c>
    </row>
    <row r="73" ht="15.75" customHeight="1">
      <c r="A73" s="56">
        <v>14.0</v>
      </c>
      <c r="B73" s="56" t="str">
        <f t="shared" si="3"/>
        <v>#NAME?</v>
      </c>
      <c r="C73" s="56">
        <f t="shared" si="4"/>
        <v>4</v>
      </c>
      <c r="D73" s="66">
        <v>46130.0</v>
      </c>
      <c r="E73" s="66">
        <v>46130.0</v>
      </c>
      <c r="F73" s="45"/>
      <c r="G73" s="45" t="s">
        <v>1383</v>
      </c>
      <c r="H73" s="61" t="s">
        <v>1384</v>
      </c>
      <c r="I73" s="139">
        <v>2250000.0</v>
      </c>
      <c r="J73" s="139"/>
      <c r="K73" s="139">
        <f t="shared" si="2"/>
        <v>2229793</v>
      </c>
      <c r="L73" s="62" t="s">
        <v>211</v>
      </c>
      <c r="M73" s="62" t="s">
        <v>1047</v>
      </c>
      <c r="N73" s="63"/>
      <c r="O73" s="62" t="s">
        <v>60</v>
      </c>
      <c r="P73" s="30" t="s">
        <v>95</v>
      </c>
      <c r="Q73" s="63" t="s">
        <v>1049</v>
      </c>
      <c r="R73" s="36"/>
      <c r="S73" s="36">
        <v>3293.0</v>
      </c>
      <c r="T73" s="36" t="s">
        <v>1378</v>
      </c>
      <c r="U73" s="30" t="s">
        <v>1047</v>
      </c>
      <c r="V73" s="30"/>
      <c r="W73" s="30" t="str">
        <f t="shared" si="5"/>
        <v>#NAME?</v>
      </c>
    </row>
    <row r="74" ht="15.75" customHeight="1">
      <c r="A74" s="56">
        <v>13.0</v>
      </c>
      <c r="B74" s="56" t="str">
        <f t="shared" si="3"/>
        <v>#NAME?</v>
      </c>
      <c r="C74" s="56">
        <f t="shared" si="4"/>
        <v>4</v>
      </c>
      <c r="D74" s="66">
        <v>46128.0</v>
      </c>
      <c r="E74" s="66">
        <v>46128.0</v>
      </c>
      <c r="F74" s="45"/>
      <c r="G74" s="45" t="s">
        <v>1389</v>
      </c>
      <c r="H74" s="61" t="s">
        <v>1390</v>
      </c>
      <c r="I74" s="138">
        <v>200000.0</v>
      </c>
      <c r="J74" s="139"/>
      <c r="K74" s="139">
        <f t="shared" si="2"/>
        <v>4479793</v>
      </c>
      <c r="L74" s="62" t="s">
        <v>45</v>
      </c>
      <c r="M74" s="62" t="s">
        <v>47</v>
      </c>
      <c r="N74" s="63"/>
      <c r="O74" s="62" t="s">
        <v>60</v>
      </c>
      <c r="P74" s="30" t="s">
        <v>213</v>
      </c>
      <c r="Q74" s="63" t="s">
        <v>50</v>
      </c>
      <c r="R74" s="36"/>
      <c r="S74" s="36"/>
      <c r="T74" s="36"/>
      <c r="U74" s="30" t="s">
        <v>75</v>
      </c>
      <c r="V74" s="30"/>
      <c r="W74" s="30" t="str">
        <f t="shared" si="5"/>
        <v>#NAME?</v>
      </c>
    </row>
    <row r="75" ht="15.75" customHeight="1">
      <c r="A75" s="56">
        <v>12.0</v>
      </c>
      <c r="B75" s="56" t="str">
        <f t="shared" si="3"/>
        <v>#NAME?</v>
      </c>
      <c r="C75" s="56">
        <f t="shared" si="4"/>
        <v>4</v>
      </c>
      <c r="D75" s="66">
        <v>46127.0</v>
      </c>
      <c r="E75" s="66">
        <v>46127.0</v>
      </c>
      <c r="F75" s="45"/>
      <c r="G75" s="45" t="s">
        <v>1393</v>
      </c>
      <c r="H75" s="61" t="s">
        <v>1394</v>
      </c>
      <c r="I75" s="138">
        <v>700000.0</v>
      </c>
      <c r="J75" s="139"/>
      <c r="K75" s="139">
        <f t="shared" si="2"/>
        <v>4679793</v>
      </c>
      <c r="L75" s="62" t="s">
        <v>45</v>
      </c>
      <c r="M75" s="62" t="s">
        <v>47</v>
      </c>
      <c r="N75" s="63"/>
      <c r="O75" s="62" t="s">
        <v>60</v>
      </c>
      <c r="P75" s="30" t="s">
        <v>213</v>
      </c>
      <c r="Q75" s="63" t="s">
        <v>50</v>
      </c>
      <c r="R75" s="36"/>
      <c r="S75" s="36"/>
      <c r="T75" s="36"/>
      <c r="U75" s="30" t="s">
        <v>75</v>
      </c>
      <c r="V75" s="30"/>
      <c r="W75" s="30" t="str">
        <f t="shared" si="5"/>
        <v>#NAME?</v>
      </c>
    </row>
    <row r="76" ht="15.75" customHeight="1">
      <c r="A76" s="56">
        <v>11.0</v>
      </c>
      <c r="B76" s="56" t="str">
        <f t="shared" si="3"/>
        <v>#NAME?</v>
      </c>
      <c r="C76" s="56">
        <f t="shared" si="4"/>
        <v>4</v>
      </c>
      <c r="D76" s="66">
        <v>46126.0</v>
      </c>
      <c r="E76" s="66">
        <v>46126.0</v>
      </c>
      <c r="F76" s="45"/>
      <c r="G76" s="45" t="s">
        <v>1397</v>
      </c>
      <c r="H76" s="61" t="s">
        <v>1398</v>
      </c>
      <c r="I76" s="138">
        <v>21240.0</v>
      </c>
      <c r="J76" s="139"/>
      <c r="K76" s="139">
        <f t="shared" si="2"/>
        <v>5379793</v>
      </c>
      <c r="L76" s="62" t="s">
        <v>211</v>
      </c>
      <c r="M76" s="62" t="s">
        <v>67</v>
      </c>
      <c r="N76" s="63"/>
      <c r="O76" s="62" t="s">
        <v>60</v>
      </c>
      <c r="P76" s="30" t="s">
        <v>57</v>
      </c>
      <c r="Q76" s="63" t="s">
        <v>58</v>
      </c>
      <c r="R76" s="36"/>
      <c r="S76" s="36"/>
      <c r="T76" s="36" t="s">
        <v>1399</v>
      </c>
      <c r="U76" s="156" t="s">
        <v>1400</v>
      </c>
      <c r="V76" s="2"/>
      <c r="W76" s="30" t="str">
        <f t="shared" si="5"/>
        <v>#NAME?</v>
      </c>
    </row>
    <row r="77" ht="15.75" customHeight="1">
      <c r="A77" s="56">
        <v>10.0</v>
      </c>
      <c r="B77" s="56" t="str">
        <f t="shared" si="3"/>
        <v>#NAME?</v>
      </c>
      <c r="C77" s="56">
        <f t="shared" si="4"/>
        <v>4</v>
      </c>
      <c r="D77" s="66">
        <v>46126.0</v>
      </c>
      <c r="E77" s="66">
        <v>46126.0</v>
      </c>
      <c r="F77" s="45"/>
      <c r="G77" s="45" t="s">
        <v>1403</v>
      </c>
      <c r="H77" s="61" t="s">
        <v>1404</v>
      </c>
      <c r="I77" s="138">
        <v>100000.0</v>
      </c>
      <c r="J77" s="139"/>
      <c r="K77" s="139">
        <f t="shared" si="2"/>
        <v>5401033</v>
      </c>
      <c r="L77" s="62" t="s">
        <v>45</v>
      </c>
      <c r="M77" s="62" t="s">
        <v>47</v>
      </c>
      <c r="N77" s="63"/>
      <c r="O77" s="62" t="s">
        <v>60</v>
      </c>
      <c r="P77" s="30" t="s">
        <v>213</v>
      </c>
      <c r="Q77" s="63" t="s">
        <v>50</v>
      </c>
      <c r="R77" s="36"/>
      <c r="S77" s="36"/>
      <c r="T77" s="36"/>
      <c r="U77" s="30" t="s">
        <v>75</v>
      </c>
      <c r="V77" s="30"/>
      <c r="W77" s="30" t="str">
        <f t="shared" si="5"/>
        <v>#NAME?</v>
      </c>
    </row>
    <row r="78" ht="15.75" customHeight="1">
      <c r="A78" s="56">
        <v>9.0</v>
      </c>
      <c r="B78" s="56" t="str">
        <f t="shared" si="3"/>
        <v>#NAME?</v>
      </c>
      <c r="C78" s="56">
        <f t="shared" si="4"/>
        <v>4</v>
      </c>
      <c r="D78" s="66">
        <v>46123.0</v>
      </c>
      <c r="E78" s="66">
        <v>46123.0</v>
      </c>
      <c r="F78" s="45"/>
      <c r="G78" s="45" t="s">
        <v>1409</v>
      </c>
      <c r="H78" s="61" t="s">
        <v>1410</v>
      </c>
      <c r="I78" s="138">
        <v>150000.0</v>
      </c>
      <c r="J78" s="139"/>
      <c r="K78" s="139">
        <f t="shared" si="2"/>
        <v>5501033</v>
      </c>
      <c r="L78" s="62" t="s">
        <v>45</v>
      </c>
      <c r="M78" s="62" t="s">
        <v>47</v>
      </c>
      <c r="N78" s="63"/>
      <c r="O78" s="62" t="s">
        <v>60</v>
      </c>
      <c r="P78" s="30" t="s">
        <v>213</v>
      </c>
      <c r="Q78" s="63" t="s">
        <v>50</v>
      </c>
      <c r="R78" s="36"/>
      <c r="S78" s="36"/>
      <c r="T78" s="36"/>
      <c r="U78" s="30" t="s">
        <v>75</v>
      </c>
      <c r="V78" s="30"/>
      <c r="W78" s="30" t="str">
        <f t="shared" si="5"/>
        <v>#NAME?</v>
      </c>
    </row>
    <row r="79" ht="15.75" customHeight="1">
      <c r="A79" s="56">
        <v>8.0</v>
      </c>
      <c r="B79" s="56" t="str">
        <f t="shared" si="3"/>
        <v>#NAME?</v>
      </c>
      <c r="C79" s="56">
        <f t="shared" si="4"/>
        <v>4</v>
      </c>
      <c r="D79" s="66">
        <v>46122.0</v>
      </c>
      <c r="E79" s="66">
        <v>46122.0</v>
      </c>
      <c r="F79" s="45"/>
      <c r="G79" s="45" t="s">
        <v>1415</v>
      </c>
      <c r="H79" s="61" t="s">
        <v>1416</v>
      </c>
      <c r="I79" s="138">
        <v>90000.0</v>
      </c>
      <c r="J79" s="139"/>
      <c r="K79" s="139">
        <f t="shared" si="2"/>
        <v>5651033</v>
      </c>
      <c r="L79" s="62" t="s">
        <v>45</v>
      </c>
      <c r="M79" s="62" t="s">
        <v>118</v>
      </c>
      <c r="N79" s="63"/>
      <c r="O79" s="62" t="s">
        <v>60</v>
      </c>
      <c r="P79" s="30" t="s">
        <v>43</v>
      </c>
      <c r="Q79" s="63" t="s">
        <v>44</v>
      </c>
      <c r="R79" s="36"/>
      <c r="S79" s="36"/>
      <c r="T79" s="36"/>
      <c r="U79" s="30" t="s">
        <v>119</v>
      </c>
      <c r="V79" s="30"/>
      <c r="W79" s="30" t="str">
        <f t="shared" si="5"/>
        <v>#NAME?</v>
      </c>
    </row>
    <row r="80" ht="15.75" customHeight="1">
      <c r="A80" s="56">
        <v>7.0</v>
      </c>
      <c r="B80" s="56" t="str">
        <f t="shared" si="3"/>
        <v>#NAME?</v>
      </c>
      <c r="C80" s="56">
        <f t="shared" si="4"/>
        <v>4</v>
      </c>
      <c r="D80" s="66">
        <v>46119.0</v>
      </c>
      <c r="E80" s="66">
        <v>46119.0</v>
      </c>
      <c r="F80" s="45"/>
      <c r="G80" s="45" t="s">
        <v>1419</v>
      </c>
      <c r="H80" s="61" t="s">
        <v>1421</v>
      </c>
      <c r="I80" s="138"/>
      <c r="J80" s="139">
        <v>960000.0</v>
      </c>
      <c r="K80" s="139">
        <f t="shared" si="2"/>
        <v>5741033</v>
      </c>
      <c r="L80" s="62" t="s">
        <v>211</v>
      </c>
      <c r="M80" s="62" t="s">
        <v>94</v>
      </c>
      <c r="N80" s="63"/>
      <c r="O80" s="62" t="s">
        <v>60</v>
      </c>
      <c r="P80" s="30" t="s">
        <v>95</v>
      </c>
      <c r="Q80" s="63" t="s">
        <v>82</v>
      </c>
      <c r="R80" s="36"/>
      <c r="S80" s="36">
        <v>3293.0</v>
      </c>
      <c r="T80" s="36" t="s">
        <v>1378</v>
      </c>
      <c r="U80" s="30" t="s">
        <v>75</v>
      </c>
      <c r="V80" s="30"/>
      <c r="W80" s="30" t="str">
        <f t="shared" si="5"/>
        <v>#NAME?</v>
      </c>
    </row>
    <row r="81" ht="15.75" customHeight="1">
      <c r="A81" s="56">
        <v>6.0</v>
      </c>
      <c r="B81" s="56" t="str">
        <f t="shared" si="3"/>
        <v>#NAME?</v>
      </c>
      <c r="C81" s="56">
        <f t="shared" si="4"/>
        <v>4</v>
      </c>
      <c r="D81" s="66">
        <v>46118.0</v>
      </c>
      <c r="E81" s="66">
        <v>46118.0</v>
      </c>
      <c r="F81" s="45"/>
      <c r="G81" s="45" t="s">
        <v>1423</v>
      </c>
      <c r="H81" s="61" t="s">
        <v>1424</v>
      </c>
      <c r="I81" s="138">
        <v>110000.0</v>
      </c>
      <c r="J81" s="138"/>
      <c r="K81" s="138">
        <f t="shared" si="2"/>
        <v>4781033</v>
      </c>
      <c r="L81" s="62" t="s">
        <v>45</v>
      </c>
      <c r="M81" s="62" t="s">
        <v>47</v>
      </c>
      <c r="N81" s="63"/>
      <c r="O81" s="62" t="s">
        <v>60</v>
      </c>
      <c r="P81" s="30" t="s">
        <v>213</v>
      </c>
      <c r="Q81" s="63" t="s">
        <v>50</v>
      </c>
      <c r="R81" s="36"/>
      <c r="S81" s="36"/>
      <c r="T81" s="36"/>
      <c r="U81" s="30" t="s">
        <v>75</v>
      </c>
      <c r="V81" s="30"/>
      <c r="W81" s="30" t="str">
        <f t="shared" si="5"/>
        <v>#NAME?</v>
      </c>
    </row>
    <row r="82" ht="15.75" customHeight="1">
      <c r="A82" s="56">
        <v>5.0</v>
      </c>
      <c r="B82" s="56" t="str">
        <f t="shared" si="3"/>
        <v>#NAME?</v>
      </c>
      <c r="C82" s="56">
        <f t="shared" si="4"/>
        <v>4</v>
      </c>
      <c r="D82" s="66">
        <v>46118.0</v>
      </c>
      <c r="E82" s="66">
        <v>46118.0</v>
      </c>
      <c r="F82" s="45"/>
      <c r="G82" s="45" t="s">
        <v>1427</v>
      </c>
      <c r="H82" s="61" t="s">
        <v>1428</v>
      </c>
      <c r="I82" s="138"/>
      <c r="J82" s="139">
        <v>1100000.0</v>
      </c>
      <c r="K82" s="139">
        <f t="shared" si="2"/>
        <v>4891033</v>
      </c>
      <c r="L82" s="62" t="s">
        <v>211</v>
      </c>
      <c r="M82" s="62" t="s">
        <v>94</v>
      </c>
      <c r="N82" s="63"/>
      <c r="O82" s="62" t="s">
        <v>60</v>
      </c>
      <c r="P82" s="30" t="s">
        <v>95</v>
      </c>
      <c r="Q82" s="63" t="s">
        <v>82</v>
      </c>
      <c r="R82" s="36"/>
      <c r="S82" s="36">
        <v>3293.0</v>
      </c>
      <c r="T82" s="36" t="s">
        <v>1378</v>
      </c>
      <c r="U82" s="30" t="s">
        <v>75</v>
      </c>
      <c r="V82" s="30"/>
      <c r="W82" s="30" t="str">
        <f t="shared" si="5"/>
        <v>#NAME?</v>
      </c>
    </row>
    <row r="83" ht="15.75" customHeight="1">
      <c r="A83" s="56">
        <v>4.0</v>
      </c>
      <c r="B83" s="56" t="str">
        <f t="shared" si="3"/>
        <v>#NAME?</v>
      </c>
      <c r="C83" s="56">
        <f t="shared" si="4"/>
        <v>4</v>
      </c>
      <c r="D83" s="66">
        <v>46118.0</v>
      </c>
      <c r="E83" s="66">
        <v>46118.0</v>
      </c>
      <c r="F83" s="45"/>
      <c r="G83" s="45" t="s">
        <v>1431</v>
      </c>
      <c r="H83" s="61" t="s">
        <v>1432</v>
      </c>
      <c r="I83" s="138"/>
      <c r="J83" s="138">
        <v>580000.0</v>
      </c>
      <c r="K83" s="138">
        <f t="shared" si="2"/>
        <v>3791033</v>
      </c>
      <c r="L83" s="62" t="s">
        <v>211</v>
      </c>
      <c r="M83" s="62" t="s">
        <v>94</v>
      </c>
      <c r="N83" s="63"/>
      <c r="O83" s="62" t="s">
        <v>60</v>
      </c>
      <c r="P83" s="30" t="s">
        <v>95</v>
      </c>
      <c r="Q83" s="63" t="s">
        <v>82</v>
      </c>
      <c r="R83" s="36"/>
      <c r="S83" s="36">
        <v>88.0</v>
      </c>
      <c r="T83" s="36" t="s">
        <v>1257</v>
      </c>
      <c r="U83" s="30" t="s">
        <v>75</v>
      </c>
      <c r="V83" s="30"/>
      <c r="W83" s="30" t="str">
        <f t="shared" si="5"/>
        <v>#NAME?</v>
      </c>
    </row>
    <row r="84" ht="15.75" customHeight="1">
      <c r="A84" s="56">
        <v>3.0</v>
      </c>
      <c r="B84" s="56" t="str">
        <f t="shared" si="3"/>
        <v>#NAME?</v>
      </c>
      <c r="C84" s="56">
        <f t="shared" si="4"/>
        <v>4</v>
      </c>
      <c r="D84" s="66">
        <v>46116.0</v>
      </c>
      <c r="E84" s="66">
        <v>46116.0</v>
      </c>
      <c r="F84" s="45"/>
      <c r="G84" s="45" t="s">
        <v>1435</v>
      </c>
      <c r="H84" s="61" t="s">
        <v>1437</v>
      </c>
      <c r="I84" s="138">
        <v>120000.0</v>
      </c>
      <c r="J84" s="138"/>
      <c r="K84" s="138">
        <f t="shared" si="2"/>
        <v>3211033</v>
      </c>
      <c r="L84" s="62" t="s">
        <v>45</v>
      </c>
      <c r="M84" s="62" t="s">
        <v>47</v>
      </c>
      <c r="N84" s="63"/>
      <c r="O84" s="62" t="s">
        <v>60</v>
      </c>
      <c r="P84" s="30" t="s">
        <v>213</v>
      </c>
      <c r="Q84" s="63" t="s">
        <v>50</v>
      </c>
      <c r="R84" s="36"/>
      <c r="S84" s="36"/>
      <c r="T84" s="36"/>
      <c r="U84" s="30" t="s">
        <v>75</v>
      </c>
      <c r="V84" s="30"/>
      <c r="W84" s="30" t="str">
        <f t="shared" si="5"/>
        <v>#NAME?</v>
      </c>
    </row>
    <row r="85" ht="15.75" customHeight="1">
      <c r="A85" s="56">
        <v>2.0</v>
      </c>
      <c r="B85" s="56" t="str">
        <f t="shared" si="3"/>
        <v>#NAME?</v>
      </c>
      <c r="C85" s="56">
        <f t="shared" si="4"/>
        <v>4</v>
      </c>
      <c r="D85" s="66">
        <v>46115.0</v>
      </c>
      <c r="E85" s="66">
        <v>46115.0</v>
      </c>
      <c r="F85" s="45"/>
      <c r="G85" s="45" t="s">
        <v>1438</v>
      </c>
      <c r="H85" s="61" t="s">
        <v>1439</v>
      </c>
      <c r="I85" s="138"/>
      <c r="J85" s="139">
        <v>1500000.0</v>
      </c>
      <c r="K85" s="139">
        <f t="shared" si="2"/>
        <v>3331033</v>
      </c>
      <c r="L85" s="62" t="s">
        <v>211</v>
      </c>
      <c r="M85" s="62" t="s">
        <v>94</v>
      </c>
      <c r="N85" s="63"/>
      <c r="O85" s="62" t="s">
        <v>60</v>
      </c>
      <c r="P85" s="30" t="s">
        <v>95</v>
      </c>
      <c r="Q85" s="63" t="s">
        <v>82</v>
      </c>
      <c r="R85" s="36"/>
      <c r="S85" s="36">
        <v>3293.0</v>
      </c>
      <c r="T85" s="36" t="s">
        <v>1378</v>
      </c>
      <c r="U85" s="30" t="s">
        <v>75</v>
      </c>
      <c r="V85" s="30"/>
      <c r="W85" s="30" t="str">
        <f t="shared" si="5"/>
        <v>#NAME?</v>
      </c>
    </row>
    <row r="86" ht="15.75" customHeight="1">
      <c r="A86" s="56">
        <v>1.0</v>
      </c>
      <c r="B86" s="56"/>
      <c r="C86" s="56">
        <f t="shared" si="4"/>
        <v>4</v>
      </c>
      <c r="D86" s="66">
        <v>46113.0</v>
      </c>
      <c r="E86" s="66">
        <v>46113.0</v>
      </c>
      <c r="F86" s="45"/>
      <c r="G86" s="45" t="s">
        <v>1442</v>
      </c>
      <c r="H86" s="61"/>
      <c r="I86" s="139">
        <v>0.0</v>
      </c>
      <c r="J86" s="147">
        <v>1831033.0</v>
      </c>
      <c r="K86" s="139">
        <f>J86</f>
        <v>1831033</v>
      </c>
      <c r="L86" s="62"/>
      <c r="M86" s="62"/>
      <c r="N86" s="63"/>
      <c r="O86" s="62"/>
      <c r="P86" s="30"/>
      <c r="Q86" s="63"/>
      <c r="R86" s="36"/>
      <c r="S86" s="36"/>
      <c r="T86" s="91"/>
      <c r="U86" s="30"/>
      <c r="V86" s="36"/>
      <c r="W86" s="36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86"/>
  <customSheetViews>
    <customSheetView guid="{2BE9E0CC-5B1C-4E86-9694-AE3C5E5DB71B}" filter="1" showAutoFilter="1">
      <autoFilter ref="$T$24"/>
      <extLst>
        <ext uri="GoogleSheetsCustomDataVersion1">
          <go:sheetsCustomData xmlns:go="http://customooxmlschemas.google.com/" filterViewId="400023117"/>
        </ext>
      </extLst>
    </customSheetView>
    <customSheetView guid="{349BE81A-EADF-4EC0-BA06-361C2A3477E7}" filter="1" showAutoFilter="1">
      <autoFilter ref="$A$2:$W$86">
        <filterColumn colId="19">
          <filters>
            <filter val="B5-123,C2-076,C4-105,D2-091,D3-125       10K / Unit Brokerage Settlement Amount"/>
            <filter val="B3-033"/>
            <filter val="D2-025"/>
          </filters>
        </filterColumn>
      </autoFilter>
      <extLst>
        <ext uri="GoogleSheetsCustomDataVersion1">
          <go:sheetsCustomData xmlns:go="http://customooxmlschemas.google.com/" filterViewId="944614671"/>
        </ext>
      </extLst>
    </customSheetView>
  </customSheetViews>
  <conditionalFormatting sqref="K1:K86">
    <cfRule type="expression" dxfId="0" priority="1">
      <formula>O:O="Reco"</formula>
    </cfRule>
  </conditionalFormatting>
  <conditionalFormatting sqref="K1:K86">
    <cfRule type="expression" dxfId="1" priority="2">
      <formula>O:O="Entry"</formula>
    </cfRule>
  </conditionalFormatting>
  <dataValidations>
    <dataValidation type="list" allowBlank="1" showErrorMessage="1" sqref="L3:M86 P3:Q86">
      <formula1>#REF!</formula1>
    </dataValidation>
    <dataValidation type="list" allowBlank="1" sqref="O3:O86">
      <formula1>"Reco,Suspense,Entry,Reverse Entry,Pending"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5.0"/>
    <col customWidth="1" min="2" max="3" width="6.0"/>
    <col customWidth="1" min="4" max="4" width="9.63"/>
    <col customWidth="1" min="5" max="5" width="9.13"/>
    <col customWidth="1" min="6" max="6" width="9.0"/>
    <col customWidth="1" min="7" max="7" width="37.5"/>
    <col customWidth="1" min="8" max="8" width="10.63"/>
    <col customWidth="1" min="9" max="9" width="9.63"/>
    <col customWidth="1" min="10" max="10" width="10.88"/>
    <col customWidth="1" min="11" max="11" width="11.63"/>
    <col customWidth="1" min="12" max="12" width="13.13"/>
    <col customWidth="1" min="13" max="13" width="10.13"/>
    <col customWidth="1" min="14" max="15" width="7.63"/>
    <col customWidth="1" min="16" max="16" width="11.88"/>
    <col customWidth="1" min="17" max="17" width="7.63"/>
    <col customWidth="1" min="18" max="19" width="9.0"/>
    <col customWidth="1" min="21" max="21" width="13.13"/>
    <col customWidth="1" min="22" max="22" width="14.63"/>
    <col customWidth="1" min="23" max="23" width="38.13"/>
  </cols>
  <sheetData>
    <row r="1" ht="15.75" customHeight="1">
      <c r="A1" s="1" t="s">
        <v>0</v>
      </c>
      <c r="F1" s="3"/>
      <c r="G1" s="5" t="s">
        <v>3</v>
      </c>
      <c r="H1" s="4">
        <v>46256.0</v>
      </c>
      <c r="I1" s="137">
        <f t="shared" ref="I1:J1" si="1">SUBTOTAL(9,I3:I34)</f>
        <v>1406472</v>
      </c>
      <c r="J1" s="137">
        <f t="shared" si="1"/>
        <v>1420000</v>
      </c>
      <c r="K1" s="137">
        <f>J1-I1</f>
        <v>13528</v>
      </c>
      <c r="U1" s="2"/>
    </row>
    <row r="2" ht="15.75" customHeight="1">
      <c r="A2" s="11" t="str">
        <f>'YES Master 0264'!A2</f>
        <v>SL#</v>
      </c>
      <c r="B2" s="11" t="str">
        <f>'YES Master 0264'!B2</f>
        <v>QTR</v>
      </c>
      <c r="C2" s="11" t="str">
        <f>'YES Master 0264'!C2</f>
        <v>MONTH</v>
      </c>
      <c r="D2" s="11" t="str">
        <f>'YES Master 0264'!D2</f>
        <v>TXN DATE</v>
      </c>
      <c r="E2" s="11" t="str">
        <f>'YES Master 0264'!E2</f>
        <v>VALUE DATE</v>
      </c>
      <c r="F2" s="11" t="str">
        <f>'YES Master 0264'!F2</f>
        <v>TYPE</v>
      </c>
      <c r="G2" s="11" t="str">
        <f>'YES Master 0264'!G2</f>
        <v>DESCRIPTION</v>
      </c>
      <c r="H2" s="11" t="str">
        <f>'YES Master 0264'!H2</f>
        <v>REFERENCE</v>
      </c>
      <c r="I2" s="19" t="str">
        <f>'YES Master 0264'!I2</f>
        <v>DEBITS</v>
      </c>
      <c r="J2" s="19" t="str">
        <f>'YES Master 0264'!J2</f>
        <v>CREDITS</v>
      </c>
      <c r="K2" s="19" t="str">
        <f>'YES Master 0264'!K2</f>
        <v>BALANCE</v>
      </c>
      <c r="L2" s="24" t="str">
        <f>'YES Master 0264'!L2</f>
        <v>BUSINESS UNIT</v>
      </c>
      <c r="M2" s="24" t="str">
        <f>'YES Master 0264'!M2</f>
        <v>HEAD</v>
      </c>
      <c r="N2" s="11" t="str">
        <f>'YES Master 0264'!N2</f>
        <v>SUB HEAD</v>
      </c>
      <c r="O2" s="11" t="str">
        <f>'YES Master 0264'!O2</f>
        <v>RECO</v>
      </c>
      <c r="P2" s="11" t="str">
        <f>'YES Master 0264'!P2</f>
        <v>TYPE FOR RERA IDW</v>
      </c>
      <c r="Q2" s="11" t="str">
        <f>'YES Master 0264'!Q2</f>
        <v>TCP Head</v>
      </c>
      <c r="R2" s="11" t="str">
        <f>'YES Master 0264'!R2</f>
        <v>CONCERN</v>
      </c>
      <c r="S2" s="11" t="str">
        <f>'YES Master 0264'!S2</f>
        <v>CUST ID</v>
      </c>
      <c r="T2" s="11" t="str">
        <f>'YES Master 0264'!T2</f>
        <v>APT#</v>
      </c>
      <c r="U2" s="11" t="str">
        <f>'YES Master 0264'!U2</f>
        <v>ACC REMARKS</v>
      </c>
      <c r="V2" s="11" t="str">
        <f>'YES Master 0264'!V2</f>
        <v>CRM REMARKS</v>
      </c>
      <c r="W2" s="11" t="str">
        <f>'YES Master 0264'!W2</f>
        <v>NARRATION</v>
      </c>
    </row>
    <row r="3" ht="15.75" customHeight="1">
      <c r="A3" s="56"/>
      <c r="B3" s="56"/>
      <c r="C3" s="56"/>
      <c r="D3" s="66"/>
      <c r="E3" s="66"/>
      <c r="F3" s="45"/>
      <c r="G3" s="45"/>
      <c r="H3" s="61"/>
      <c r="I3" s="138"/>
      <c r="J3" s="138"/>
      <c r="K3" s="138"/>
      <c r="L3" s="62"/>
      <c r="M3" s="62"/>
      <c r="N3" s="63"/>
      <c r="O3" s="62"/>
      <c r="P3" s="30"/>
      <c r="Q3" s="63"/>
      <c r="R3" s="36"/>
      <c r="S3" s="36"/>
      <c r="T3" s="36"/>
      <c r="U3" s="30"/>
      <c r="V3" s="36"/>
      <c r="W3" s="36"/>
    </row>
    <row r="4" ht="15.75" customHeight="1">
      <c r="A4" s="56"/>
      <c r="B4" s="56"/>
      <c r="C4" s="56"/>
      <c r="D4" s="56"/>
      <c r="E4" s="66"/>
      <c r="F4" s="45"/>
      <c r="G4" s="45"/>
      <c r="H4" s="61"/>
      <c r="I4" s="138"/>
      <c r="J4" s="138"/>
      <c r="K4" s="138"/>
      <c r="L4" s="62"/>
      <c r="M4" s="62"/>
      <c r="N4" s="63"/>
      <c r="O4" s="62"/>
      <c r="P4" s="30"/>
      <c r="Q4" s="63"/>
      <c r="R4" s="36"/>
      <c r="S4" s="36"/>
      <c r="T4" s="36"/>
      <c r="U4" s="30"/>
      <c r="V4" s="36"/>
      <c r="W4" s="36"/>
    </row>
    <row r="5" ht="15.75" customHeight="1">
      <c r="A5" s="56">
        <v>30.0</v>
      </c>
      <c r="B5" s="56" t="str">
        <f t="shared" ref="B5:B33" si="2">IF(D5="","?",_xludf.IFS(
    MONTH(D5)&lt;=3,"Q4",
    MONTH(D5)&lt;=6,"Q1",
    MONTH(D5)&lt;=9,"Q2",
    TRUE,"Q3"
))</f>
        <v>#NAME?</v>
      </c>
      <c r="C5" s="56">
        <f t="shared" ref="C5:C34" si="3">MONTH(D5)</f>
        <v>8</v>
      </c>
      <c r="D5" s="66">
        <v>46254.0</v>
      </c>
      <c r="E5" s="66">
        <v>46254.0</v>
      </c>
      <c r="F5" s="45"/>
      <c r="G5" s="45" t="s">
        <v>1120</v>
      </c>
      <c r="H5" s="61" t="s">
        <v>1121</v>
      </c>
      <c r="I5" s="138">
        <v>7080.0</v>
      </c>
      <c r="J5" s="139"/>
      <c r="K5" s="143">
        <f t="shared" ref="K5:K33" si="4">K6+J5-I5</f>
        <v>13528</v>
      </c>
      <c r="L5" s="62" t="s">
        <v>211</v>
      </c>
      <c r="M5" s="62"/>
      <c r="N5" s="63"/>
      <c r="O5" s="62"/>
      <c r="P5" s="30" t="s">
        <v>57</v>
      </c>
      <c r="Q5" s="63" t="s">
        <v>58</v>
      </c>
      <c r="R5" s="36"/>
      <c r="S5" s="36"/>
      <c r="T5" s="36" t="s">
        <v>1069</v>
      </c>
      <c r="U5" s="30" t="s">
        <v>1125</v>
      </c>
      <c r="V5" s="30"/>
      <c r="W5" s="30" t="str">
        <f>IFERROR(__xludf.DUMMYFUNCTION("LET(ref, IF(ISBLANK(H5), ""N/A"", H5), apt, IF(ISBLANK(T5), """", "" | Apt#: "" &amp; T5), IF(ISBLANK(U5), ""Remarks Compulsory For Narration"", TRIM(IF(M5=""Internal"", IF(ISNUMBER(SEARCH(""DWARKADHIS"", G5)), IF(J5&gt;0, ""Internal Fund Transfer (From x"" &amp; RI"&amp;"GHT(TRIM(G5), 4) &amp; "" to YES AH IDW 2457)"", ""Internal Fund Transfer (From YES AH IDW 2457 to x"" &amp; RIGHT(TRIM(G5), 4) &amp; "")"") &amp; "" | Ref: "" &amp; ref &amp; "" | Type: "" &amp; P5 &amp; "" | BU: "" &amp; L5 &amp; "" | Head: "" &amp; M5, ""Internal Transfer | Ref: "" &amp; ref &amp; "" | "&amp;"Type: "" &amp; P5 &amp; "" | BU: "" &amp; L5 &amp; "" | Head: "" &amp; M5), IF(N(J5)&gt;0, IF(P5=""Customer Collection"", ""Receipt Credit (Collection) "" &amp; apt &amp; "" | Ref: "" &amp; ref &amp; "" | From: "" &amp; IF(ISNUMBER(SEARCH(""SOHNA ROAD"", G5)), ""Sohna Road"", ""Party"") &amp; "" | BU:"&amp;" "" &amp; L5, ""Receipt Credit from x"" &amp; RIGHT(MID(G5, FIND(""-"", SUBSTITUTE(G5, ""-"", ""-"", 3)) + 1, LEN(G5)), 4) &amp; "" (Purpose: "" &amp; IF(OR(ISBLANK(U5), U5=""N/A""), L5, U5) &amp; "") "" &amp; apt &amp; "" | Ref: "" &amp; ref &amp; "" | BU: "" &amp; L5 &amp; "" | Head: "" &amp; M5), """&amp;"Payment Disbursement (Purpose: "" &amp; IF(ISNUMBER(SEARCH(""salary"", M5)), ""Salary"", U5) &amp; "") | To: "" &amp; IFERROR(REGEXEXTRACT(G5, ""^(?:[^-]*-){3}([^-\n]+)""), IFERROR(REGEXEXTRACT(G5, ""^(?:[^-]*-){4}([^-\n]+)""), IFERROR(REGEXEXTRACT(G5, ""^(?:[^/]*/){"&amp;"6}([^/]+)""), G5))) &amp; "" | Ref: "" &amp; ref &amp; "" | BU: "" &amp; L5 &amp; "" | Head: "" &amp; M5 &amp; apt)))))"),"Payment Disbursement (Purpose: Meter Charges) | To: Sapna | Ref: YESI66232006882600 | BU: Aravali Heights | Head: | Apt#: D2-025")</f>
        <v>Payment Disbursement (Purpose: Meter Charges) | To: Sapna | Ref: YESI66232006882600 | BU: Aravali Heights | Head: | Apt#: D2-025</v>
      </c>
    </row>
    <row r="6" ht="15.75" customHeight="1">
      <c r="A6" s="56">
        <v>29.0</v>
      </c>
      <c r="B6" s="56" t="str">
        <f t="shared" si="2"/>
        <v>#NAME?</v>
      </c>
      <c r="C6" s="56">
        <f t="shared" si="3"/>
        <v>8</v>
      </c>
      <c r="D6" s="66">
        <v>46254.0</v>
      </c>
      <c r="E6" s="66">
        <v>46254.0</v>
      </c>
      <c r="F6" s="45"/>
      <c r="G6" s="45" t="s">
        <v>1133</v>
      </c>
      <c r="H6" s="61" t="s">
        <v>1134</v>
      </c>
      <c r="I6" s="138">
        <v>7080.0</v>
      </c>
      <c r="J6" s="139"/>
      <c r="K6" s="143">
        <f t="shared" si="4"/>
        <v>20608</v>
      </c>
      <c r="L6" s="62" t="s">
        <v>211</v>
      </c>
      <c r="M6" s="62" t="s">
        <v>67</v>
      </c>
      <c r="N6" s="63"/>
      <c r="O6" s="62"/>
      <c r="P6" s="30" t="s">
        <v>57</v>
      </c>
      <c r="Q6" s="63" t="s">
        <v>58</v>
      </c>
      <c r="R6" s="36"/>
      <c r="S6" s="36"/>
      <c r="T6" s="36" t="s">
        <v>1137</v>
      </c>
      <c r="U6" s="30" t="s">
        <v>1125</v>
      </c>
      <c r="V6" s="30"/>
      <c r="W6" s="30" t="str">
        <f>IFERROR(__xludf.DUMMYFUNCTION("LET(ref, IF(ISBLANK(H6), ""N/A"", H6), apt, IF(ISBLANK(T6), """", "" | Apt#: "" &amp; T6), IF(ISBLANK(U6), ""Remarks Compulsory For Narration"", TRIM(IF(M6=""Internal"", IF(ISNUMBER(SEARCH(""DWARKADHIS"", G6)), IF(J6&gt;0, ""Internal Fund Transfer (From x"" &amp; RI"&amp;"GHT(TRIM(G6), 4) &amp; "" to YES AH IDW 2457)"", ""Internal Fund Transfer (From YES AH IDW 2457 to x"" &amp; RIGHT(TRIM(G6), 4) &amp; "")"") &amp; "" | Ref: "" &amp; ref &amp; "" | Type: "" &amp; P6 &amp; "" | BU: "" &amp; L6 &amp; "" | Head: "" &amp; M6, ""Internal Transfer | Ref: "" &amp; ref &amp; "" | "&amp;"Type: "" &amp; P6 &amp; "" | BU: "" &amp; L6 &amp; "" | Head: "" &amp; M6), IF(N(J6)&gt;0, IF(P6=""Customer Collection"", ""Receipt Credit (Collection) "" &amp; apt &amp; "" | Ref: "" &amp; ref &amp; "" | From: "" &amp; IF(ISNUMBER(SEARCH(""SOHNA ROAD"", G6)), ""Sohna Road"", ""Party"") &amp; "" | BU:"&amp;" "" &amp; L6, ""Receipt Credit from x"" &amp; RIGHT(MID(G6, FIND(""-"", SUBSTITUTE(G6, ""-"", ""-"", 3)) + 1, LEN(G6)), 4) &amp; "" (Purpose: "" &amp; IF(OR(ISBLANK(U6), U6=""N/A""), L6, U6) &amp; "") "" &amp; apt &amp; "" | Ref: "" &amp; ref &amp; "" | BU: "" &amp; L6 &amp; "" | Head: "" &amp; M6), """&amp;"Payment Disbursement (Purpose: "" &amp; IF(ISNUMBER(SEARCH(""salary"", M6)), ""Salary"", U6) &amp; "") | To: "" &amp; IFERROR(REGEXEXTRACT(G6, ""^(?:[^-]*-){3}([^-\n]+)""), IFERROR(REGEXEXTRACT(G6, ""^(?:[^-]*-){4}([^-\n]+)""), IFERROR(REGEXEXTRACT(G6, ""^(?:[^/]*/){"&amp;"6}([^/]+)""), G6))) &amp; "" | Ref: "" &amp; ref &amp; "" | BU: "" &amp; L6 &amp; "" | Head: "" &amp; M6 &amp; apt)))))"),"Payment Disbursement (Purpose: Meter Charges) | To: Aravali Height Resident Walfare Association | Ref: YESME6232004435000 | BU: Aravali Heights | Head: Vendor | Apt#: A2-102")</f>
        <v>Payment Disbursement (Purpose: Meter Charges) | To: Aravali Height Resident Walfare Association | Ref: YESME6232004435000 | BU: Aravali Heights | Head: Vendor | Apt#: A2-102</v>
      </c>
    </row>
    <row r="7" ht="15.75" customHeight="1">
      <c r="A7" s="56">
        <v>28.0</v>
      </c>
      <c r="B7" s="56" t="str">
        <f t="shared" si="2"/>
        <v>#NAME?</v>
      </c>
      <c r="C7" s="56">
        <f t="shared" si="3"/>
        <v>8</v>
      </c>
      <c r="D7" s="66">
        <v>46254.0</v>
      </c>
      <c r="E7" s="66">
        <v>46254.0</v>
      </c>
      <c r="F7" s="45"/>
      <c r="G7" s="45" t="s">
        <v>1141</v>
      </c>
      <c r="H7" s="61" t="s">
        <v>1012</v>
      </c>
      <c r="I7" s="138"/>
      <c r="J7" s="139">
        <v>15000.0</v>
      </c>
      <c r="K7" s="143">
        <f t="shared" si="4"/>
        <v>27688</v>
      </c>
      <c r="L7" s="62" t="s">
        <v>211</v>
      </c>
      <c r="M7" s="62" t="s">
        <v>47</v>
      </c>
      <c r="N7" s="63"/>
      <c r="O7" s="62"/>
      <c r="P7" s="30" t="s">
        <v>47</v>
      </c>
      <c r="Q7" s="63" t="s">
        <v>50</v>
      </c>
      <c r="R7" s="36"/>
      <c r="S7" s="36"/>
      <c r="T7" s="36"/>
      <c r="U7" s="30" t="s">
        <v>75</v>
      </c>
      <c r="V7" s="30"/>
      <c r="W7" s="30" t="str">
        <f>IFERROR(__xludf.DUMMYFUNCTION("LET(ref, IF(ISBLANK(H7), ""N/A"", H7), apt, IF(ISBLANK(T7), """", "" | Apt#: "" &amp; T7), IF(ISBLANK(U7), ""Remarks Compulsory For Narration"", TRIM(IF(M7=""Internal"", IF(ISNUMBER(SEARCH(""DWARKADHIS"", G7)), IF(J7&gt;0, ""Internal Fund Transfer (From x"" &amp; RI"&amp;"GHT(TRIM(G7), 4) &amp; "" to YES AH IDW 2457)"", ""Internal Fund Transfer (From YES AH IDW 2457 to x"" &amp; RIGHT(TRIM(G7), 4) &amp; "")"") &amp; "" | Ref: "" &amp; ref &amp; "" | Type: "" &amp; P7 &amp; "" | BU: "" &amp; L7 &amp; "" | Head: "" &amp; M7, ""Internal Transfer | Ref: "" &amp; ref &amp; "" | "&amp;"Type: "" &amp; P7 &amp; "" | BU: "" &amp; L7 &amp; "" | Head: "" &amp; M7), IF(N(J7)&gt;0, IF(P7=""Customer Collection"", ""Receipt Credit (Collection) "" &amp; apt &amp; "" | Ref: "" &amp; ref &amp; "" | From: "" &amp; IF(ISNUMBER(SEARCH(""SOHNA ROAD"", G7)), ""Sohna Road"", ""Party"") &amp; "" | BU:"&amp;" "" &amp; L7, ""Receipt Credit from x"" &amp; RIGHT(MID(G7, FIND(""-"", SUBSTITUTE(G7, ""-"", ""-"", 3)) + 1, LEN(G7)), 4) &amp; "" (Purpose: "" &amp; IF(OR(ISBLANK(U7), U7=""N/A""), L7, U7) &amp; "") "" &amp; apt &amp; "" | Ref: "" &amp; ref &amp; "" | BU: "" &amp; L7 &amp; "" | Head: "" &amp; M7), """&amp;"Payment Disbursement (Purpose: "" &amp; IF(ISNUMBER(SEARCH(""salary"", M7)), ""Salary"", U7) &amp; "") | To: "" &amp; IFERROR(REGEXEXTRACT(G7, ""^(?:[^-]*-){3}([^-\n]+)""), IFERROR(REGEXEXTRACT(G7, ""^(?:[^-]*-){4}([^-\n]+)""), IFERROR(REGEXEXTRACT(G7, ""^(?:[^/]*/){"&amp;"6}([^/]+)""), G7))) &amp; "" | Ref: "" &amp; ref &amp; "" | BU: "" &amp; L7 &amp; "" | Head: "" &amp; M7 &amp; apt)))))"),"Internal Fund Transfer (From x2314 to YES AH IDW 2457) | Ref: YESME6232003605500 | Type: Internal | BU: Aravali Heights | Head: Internal")</f>
        <v>Internal Fund Transfer (From x2314 to YES AH IDW 2457) | Ref: YESME6232003605500 | Type: Internal | BU: Aravali Heights | Head: Internal</v>
      </c>
    </row>
    <row r="8" ht="15.75" customHeight="1">
      <c r="A8" s="56">
        <v>27.0</v>
      </c>
      <c r="B8" s="56" t="str">
        <f t="shared" si="2"/>
        <v>#NAME?</v>
      </c>
      <c r="C8" s="56">
        <f t="shared" si="3"/>
        <v>8</v>
      </c>
      <c r="D8" s="66">
        <v>46248.0</v>
      </c>
      <c r="E8" s="66" t="s">
        <v>63</v>
      </c>
      <c r="F8" s="45"/>
      <c r="G8" s="45" t="s">
        <v>1145</v>
      </c>
      <c r="H8" s="61" t="s">
        <v>1146</v>
      </c>
      <c r="I8" s="138">
        <v>10000.0</v>
      </c>
      <c r="J8" s="139"/>
      <c r="K8" s="143">
        <f t="shared" si="4"/>
        <v>12688</v>
      </c>
      <c r="L8" s="62" t="s">
        <v>211</v>
      </c>
      <c r="M8" s="62" t="s">
        <v>85</v>
      </c>
      <c r="N8" s="63"/>
      <c r="O8" s="62" t="s">
        <v>48</v>
      </c>
      <c r="P8" s="30" t="s">
        <v>57</v>
      </c>
      <c r="Q8" s="63" t="s">
        <v>58</v>
      </c>
      <c r="R8" s="36"/>
      <c r="S8" s="36"/>
      <c r="T8" s="36"/>
      <c r="U8" s="30" t="s">
        <v>509</v>
      </c>
      <c r="V8" s="30"/>
      <c r="W8" s="30" t="str">
        <f>IFERROR(__xludf.DUMMYFUNCTION("LET(ref, IF(ISBLANK(H8), ""N/A"", H8), apt, IF(ISBLANK(T8), """", "" | Apt#: "" &amp; T8), IF(ISBLANK(U8), ""Remarks Compulsory For Narration"", TRIM(IF(M8=""Internal"", IF(ISNUMBER(SEARCH(""DWARKADHIS"", G8)), IF(J8&gt;0, ""Internal Fund Transfer (From x"" &amp; RI"&amp;"GHT(TRIM(G8), 4) &amp; "" to YES AH IDW 2457)"", ""Internal Fund Transfer (From YES AH IDW 2457 to x"" &amp; RIGHT(TRIM(G8), 4) &amp; "")"") &amp; "" | Ref: "" &amp; ref &amp; "" | Type: "" &amp; P8 &amp; "" | BU: "" &amp; L8 &amp; "" | Head: "" &amp; M8, ""Internal Transfer | Ref: "" &amp; ref &amp; "" | "&amp;"Type: "" &amp; P8 &amp; "" | BU: "" &amp; L8 &amp; "" | Head: "" &amp; M8), IF(N(J8)&gt;0, IF(P8=""Customer Collection"", ""Receipt Credit (Collection) "" &amp; apt &amp; "" | Ref: "" &amp; ref &amp; "" | From: "" &amp; IF(ISNUMBER(SEARCH(""SOHNA ROAD"", G8)), ""Sohna Road"", ""Party"") &amp; "" | BU:"&amp;" "" &amp; L8, ""Receipt Credit from x"" &amp; RIGHT(MID(G8, FIND(""-"", SUBSTITUTE(G8, ""-"", ""-"", 3)) + 1, LEN(G8)), 4) &amp; "" (Purpose: "" &amp; IF(OR(ISBLANK(U8), U8=""N/A""), L8, U8) &amp; "") "" &amp; apt &amp; "" | Ref: "" &amp; ref &amp; "" | BU: "" &amp; L8 &amp; "" | Head: "" &amp; M8), """&amp;"Payment Disbursement (Purpose: "" &amp; IF(ISNUMBER(SEARCH(""salary"", M8)), ""Salary"", U8) &amp; "") | To: "" &amp; IFERROR(REGEXEXTRACT(G8, ""^(?:[^-]*-){3}([^-\n]+)""), IFERROR(REGEXEXTRACT(G8, ""^(?:[^-]*-){4}([^-\n]+)""), IFERROR(REGEXEXTRACT(G8, ""^(?:[^/]*/){"&amp;"6}([^/]+)""), G8))) &amp; "" | Ref: "" &amp; ref &amp; "" | BU: "" &amp; L8 &amp; "" | Head: "" &amp; M8 &amp; apt)))))"),"Payment Disbursement (Purpose: Imprest For Expenses) | To: Diksha Sharma | Ref: YESI66226008971200 | BU: Aravali Heights | Head: Imprest")</f>
        <v>Payment Disbursement (Purpose: Imprest For Expenses) | To: Diksha Sharma | Ref: YESI66226008971200 | BU: Aravali Heights | Head: Imprest</v>
      </c>
    </row>
    <row r="9" ht="15.75" customHeight="1">
      <c r="A9" s="56">
        <v>26.0</v>
      </c>
      <c r="B9" s="56" t="str">
        <f t="shared" si="2"/>
        <v>#NAME?</v>
      </c>
      <c r="C9" s="56">
        <f t="shared" si="3"/>
        <v>8</v>
      </c>
      <c r="D9" s="66">
        <v>46248.0</v>
      </c>
      <c r="E9" s="66" t="s">
        <v>63</v>
      </c>
      <c r="F9" s="45"/>
      <c r="G9" s="45" t="s">
        <v>1141</v>
      </c>
      <c r="H9" s="61" t="s">
        <v>1018</v>
      </c>
      <c r="I9" s="138"/>
      <c r="J9" s="139">
        <v>15000.0</v>
      </c>
      <c r="K9" s="143">
        <f t="shared" si="4"/>
        <v>22688</v>
      </c>
      <c r="L9" s="62" t="s">
        <v>211</v>
      </c>
      <c r="M9" s="62" t="s">
        <v>47</v>
      </c>
      <c r="N9" s="63"/>
      <c r="O9" s="62" t="s">
        <v>60</v>
      </c>
      <c r="P9" s="30" t="s">
        <v>47</v>
      </c>
      <c r="Q9" s="63" t="s">
        <v>50</v>
      </c>
      <c r="R9" s="36"/>
      <c r="S9" s="36"/>
      <c r="T9" s="36"/>
      <c r="U9" s="30" t="s">
        <v>75</v>
      </c>
      <c r="V9" s="30"/>
      <c r="W9" s="30" t="str">
        <f>IFERROR(__xludf.DUMMYFUNCTION("LET(ref, IF(ISBLANK(H9), ""N/A"", H9), apt, IF(ISBLANK(T9), """", "" | Apt#: "" &amp; T9), IF(ISBLANK(U9), ""Remarks Compulsory For Narration"", TRIM(IF(M9=""Internal"", IF(ISNUMBER(SEARCH(""DWARKADHIS"", G9)), IF(J9&gt;0, ""Internal Fund Transfer (From x"" &amp; RI"&amp;"GHT(TRIM(G9), 4) &amp; "" to YES AH IDW 2457)"", ""Internal Fund Transfer (From YES AH IDW 2457 to x"" &amp; RIGHT(TRIM(G9), 4) &amp; "")"") &amp; "" | Ref: "" &amp; ref &amp; "" | Type: "" &amp; P9 &amp; "" | BU: "" &amp; L9 &amp; "" | Head: "" &amp; M9, ""Internal Transfer | Ref: "" &amp; ref &amp; "" | "&amp;"Type: "" &amp; P9 &amp; "" | BU: "" &amp; L9 &amp; "" | Head: "" &amp; M9), IF(N(J9)&gt;0, IF(P9=""Customer Collection"", ""Receipt Credit (Collection) "" &amp; apt &amp; "" | Ref: "" &amp; ref &amp; "" | From: "" &amp; IF(ISNUMBER(SEARCH(""SOHNA ROAD"", G9)), ""Sohna Road"", ""Party"") &amp; "" | BU:"&amp;" "" &amp; L9, ""Receipt Credit from x"" &amp; RIGHT(MID(G9, FIND(""-"", SUBSTITUTE(G9, ""-"", ""-"", 3)) + 1, LEN(G9)), 4) &amp; "" (Purpose: "" &amp; IF(OR(ISBLANK(U9), U9=""N/A""), L9, U9) &amp; "") "" &amp; apt &amp; "" | Ref: "" &amp; ref &amp; "" | BU: "" &amp; L9 &amp; "" | Head: "" &amp; M9), """&amp;"Payment Disbursement (Purpose: "" &amp; IF(ISNUMBER(SEARCH(""salary"", M9)), ""Salary"", U9) &amp; "") | To: "" &amp; IFERROR(REGEXEXTRACT(G9, ""^(?:[^-]*-){3}([^-\n]+)""), IFERROR(REGEXEXTRACT(G9, ""^(?:[^-]*-){4}([^-\n]+)""), IFERROR(REGEXEXTRACT(G9, ""^(?:[^/]*/){"&amp;"6}([^/]+)""), G9))) &amp; "" | Ref: "" &amp; ref &amp; "" | BU: "" &amp; L9 &amp; "" | Head: "" &amp; M9 &amp; apt)))))"),"Internal Fund Transfer (From x2314 to YES AH IDW 2457) | Ref: YESME6226004933600 | Type: Internal | BU: Aravali Heights | Head: Internal")</f>
        <v>Internal Fund Transfer (From x2314 to YES AH IDW 2457) | Ref: YESME6226004933600 | Type: Internal | BU: Aravali Heights | Head: Internal</v>
      </c>
    </row>
    <row r="10" ht="15.75" customHeight="1">
      <c r="A10" s="56">
        <v>25.0</v>
      </c>
      <c r="B10" s="56" t="str">
        <f t="shared" si="2"/>
        <v>#NAME?</v>
      </c>
      <c r="C10" s="56">
        <f t="shared" si="3"/>
        <v>8</v>
      </c>
      <c r="D10" s="66">
        <v>46242.0</v>
      </c>
      <c r="E10" s="66">
        <v>46242.0</v>
      </c>
      <c r="F10" s="45"/>
      <c r="G10" s="45" t="s">
        <v>1156</v>
      </c>
      <c r="H10" s="61" t="s">
        <v>1157</v>
      </c>
      <c r="I10" s="138">
        <v>44155.0</v>
      </c>
      <c r="J10" s="139"/>
      <c r="K10" s="143">
        <f t="shared" si="4"/>
        <v>7688</v>
      </c>
      <c r="L10" s="62" t="s">
        <v>211</v>
      </c>
      <c r="M10" s="62" t="s">
        <v>67</v>
      </c>
      <c r="N10" s="63"/>
      <c r="O10" s="62" t="s">
        <v>60</v>
      </c>
      <c r="P10" s="30" t="s">
        <v>57</v>
      </c>
      <c r="Q10" s="63" t="s">
        <v>58</v>
      </c>
      <c r="R10" s="36"/>
      <c r="S10" s="36"/>
      <c r="T10" s="36"/>
      <c r="U10" s="30" t="s">
        <v>499</v>
      </c>
      <c r="V10" s="30"/>
      <c r="W10" s="30" t="str">
        <f>IFERROR(__xludf.DUMMYFUNCTION("LET(ref, IF(ISBLANK(H10), ""N/A"", H10), apt, IF(ISBLANK(T10), """", "" | Apt#: "" &amp; T10), IF(ISBLANK(U10), ""Remarks Compulsory For Narration"", TRIM(IF(M10=""Internal"", IF(ISNUMBER(SEARCH(""DWARKADHIS"", G10)), IF(J10&gt;0, ""Internal Fund Transfer (From "&amp;"x"" &amp; RIGHT(TRIM(G10), 4) &amp; "" to YES AH IDW 2457)"", ""Internal Fund Transfer (From YES AH IDW 2457 to x"" &amp; RIGHT(TRIM(G10), 4) &amp; "")"") &amp; "" | Ref: "" &amp; ref &amp; "" | Type: "" &amp; P10 &amp; "" | BU: "" &amp; L10 &amp; "" | Head: "" &amp; M10, ""Internal Transfer | Ref: "" "&amp;"&amp; ref &amp; "" | Type: "" &amp; P10 &amp; "" | BU: "" &amp; L10 &amp; "" | Head: "" &amp; M10), IF(N(J10)&gt;0, IF(P10=""Customer Collection"", ""Receipt Credit (Collection) "" &amp; apt &amp; "" | Ref: "" &amp; ref &amp; "" | From: "" &amp; IF(ISNUMBER(SEARCH(""SOHNA ROAD"", G10)), ""Sohna Road"", """&amp;"Party"") &amp; "" | BU: "" &amp; L10, ""Receipt Credit from x"" &amp; RIGHT(MID(G10, FIND(""-"", SUBSTITUTE(G10, ""-"", ""-"", 3)) + 1, LEN(G10)), 4) &amp; "" (Purpose: "" &amp; IF(OR(ISBLANK(U10), U10=""N/A""), L10, U10) &amp; "") "" &amp; apt &amp; "" | Ref: "" &amp; ref &amp; "" | BU: "" &amp; L"&amp;"10 &amp; "" | Head: "" &amp; M10), ""Payment Disbursement (Purpose: "" &amp; IF(ISNUMBER(SEARCH(""salary"", M10)), ""Salary"", U10) &amp; "") | To: "" &amp; IFERROR(REGEXEXTRACT(G10, ""^(?:[^-]*-){3}([^-\n]+)""), IFERROR(REGEXEXTRACT(G10, ""^(?:[^-]*-){4}([^-\n]+)""), IFERRO"&amp;"R(REGEXEXTRACT(G10, ""^(?:[^/]*/){6}([^/]+)""), G10))) &amp; "" | Ref: "" &amp; ref &amp; "" | BU: "" &amp; L10 &amp; "" | Head: "" &amp; M10 &amp; apt)))))"),"Payment Disbursement (Purpose: Purchase of Material for Construction) | To: Goel Electricals | Ref: YESME6220002701200 | BU: Aravali Heights | Head: Vendor")</f>
        <v>Payment Disbursement (Purpose: Purchase of Material for Construction) | To: Goel Electricals | Ref: YESME6220002701200 | BU: Aravali Heights | Head: Vendor</v>
      </c>
    </row>
    <row r="11" ht="15.75" customHeight="1">
      <c r="A11" s="56">
        <v>24.0</v>
      </c>
      <c r="B11" s="56" t="str">
        <f t="shared" si="2"/>
        <v>#NAME?</v>
      </c>
      <c r="C11" s="56">
        <f t="shared" si="3"/>
        <v>8</v>
      </c>
      <c r="D11" s="66">
        <v>46242.0</v>
      </c>
      <c r="E11" s="66">
        <v>46242.0</v>
      </c>
      <c r="F11" s="45"/>
      <c r="G11" s="45" t="s">
        <v>141</v>
      </c>
      <c r="H11" s="61" t="s">
        <v>1163</v>
      </c>
      <c r="I11" s="138"/>
      <c r="J11" s="139">
        <v>50000.0</v>
      </c>
      <c r="K11" s="143">
        <f t="shared" si="4"/>
        <v>51843</v>
      </c>
      <c r="L11" s="62" t="s">
        <v>211</v>
      </c>
      <c r="M11" s="62" t="s">
        <v>47</v>
      </c>
      <c r="N11" s="63"/>
      <c r="O11" s="62" t="s">
        <v>60</v>
      </c>
      <c r="P11" s="30" t="s">
        <v>47</v>
      </c>
      <c r="Q11" s="63" t="s">
        <v>50</v>
      </c>
      <c r="R11" s="36"/>
      <c r="S11" s="36"/>
      <c r="T11" s="36"/>
      <c r="U11" s="30" t="s">
        <v>75</v>
      </c>
      <c r="V11" s="30"/>
      <c r="W11" s="30" t="str">
        <f>IFERROR(__xludf.DUMMYFUNCTION("LET(ref, IF(ISBLANK(H11), ""N/A"", H11), apt, IF(ISBLANK(T11), """", "" | Apt#: "" &amp; T11), IF(ISBLANK(U11), ""Remarks Compulsory For Narration"", TRIM(IF(M11=""Internal"", IF(ISNUMBER(SEARCH(""DWARKADHIS"", G11)), IF(J11&gt;0, ""Internal Fund Transfer (From "&amp;"x"" &amp; RIGHT(TRIM(G11), 4) &amp; "" to YES AH IDW 2457)"", ""Internal Fund Transfer (From YES AH IDW 2457 to x"" &amp; RIGHT(TRIM(G11), 4) &amp; "")"") &amp; "" | Ref: "" &amp; ref &amp; "" | Type: "" &amp; P11 &amp; "" | BU: "" &amp; L11 &amp; "" | Head: "" &amp; M11, ""Internal Transfer | Ref: "" "&amp;"&amp; ref &amp; "" | Type: "" &amp; P11 &amp; "" | BU: "" &amp; L11 &amp; "" | Head: "" &amp; M11), IF(N(J11)&gt;0, IF(P11=""Customer Collection"", ""Receipt Credit (Collection) "" &amp; apt &amp; "" | Ref: "" &amp; ref &amp; "" | From: "" &amp; IF(ISNUMBER(SEARCH(""SOHNA ROAD"", G11)), ""Sohna Road"", """&amp;"Party"") &amp; "" | BU: "" &amp; L11, ""Receipt Credit from x"" &amp; RIGHT(MID(G11, FIND(""-"", SUBSTITUTE(G11, ""-"", ""-"", 3)) + 1, LEN(G11)), 4) &amp; "" (Purpose: "" &amp; IF(OR(ISBLANK(U11), U11=""N/A""), L11, U11) &amp; "") "" &amp; apt &amp; "" | Ref: "" &amp; ref &amp; "" | BU: "" &amp; L"&amp;"11 &amp; "" | Head: "" &amp; M11), ""Payment Disbursement (Purpose: "" &amp; IF(ISNUMBER(SEARCH(""salary"", M11)), ""Salary"", U11) &amp; "") | To: "" &amp; IFERROR(REGEXEXTRACT(G11, ""^(?:[^-]*-){3}([^-\n]+)""), IFERROR(REGEXEXTRACT(G11, ""^(?:[^-]*-){4}([^-\n]+)""), IFERRO"&amp;"R(REGEXEXTRACT(G11, ""^(?:[^/]*/){6}([^/]+)""), G11))) &amp; "" | Ref: "" &amp; ref &amp; "" | BU: "" &amp; L11 &amp; "" | Head: "" &amp; M11 &amp; apt)))))"),"Internal Fund Transfer (From x2477 to YES AH IDW 2457) | Ref: YESME6220001807900 | Type: Internal | BU: Aravali Heights | Head: Internal")</f>
        <v>Internal Fund Transfer (From x2477 to YES AH IDW 2457) | Ref: YESME6220001807900 | Type: Internal | BU: Aravali Heights | Head: Internal</v>
      </c>
    </row>
    <row r="12" ht="15.75" customHeight="1">
      <c r="A12" s="56">
        <v>23.0</v>
      </c>
      <c r="B12" s="56" t="str">
        <f t="shared" si="2"/>
        <v>#NAME?</v>
      </c>
      <c r="C12" s="56">
        <f t="shared" si="3"/>
        <v>8</v>
      </c>
      <c r="D12" s="66">
        <v>46242.0</v>
      </c>
      <c r="E12" s="66">
        <v>46242.0</v>
      </c>
      <c r="F12" s="45"/>
      <c r="G12" s="45" t="s">
        <v>307</v>
      </c>
      <c r="H12" s="61" t="s">
        <v>1042</v>
      </c>
      <c r="I12" s="138">
        <v>10000.0</v>
      </c>
      <c r="J12" s="139"/>
      <c r="K12" s="143">
        <f t="shared" si="4"/>
        <v>1843</v>
      </c>
      <c r="L12" s="62" t="s">
        <v>211</v>
      </c>
      <c r="M12" s="62" t="s">
        <v>47</v>
      </c>
      <c r="N12" s="63"/>
      <c r="O12" s="62" t="s">
        <v>60</v>
      </c>
      <c r="P12" s="30" t="s">
        <v>47</v>
      </c>
      <c r="Q12" s="63" t="s">
        <v>50</v>
      </c>
      <c r="R12" s="36"/>
      <c r="S12" s="36"/>
      <c r="T12" s="36"/>
      <c r="U12" s="30" t="s">
        <v>75</v>
      </c>
      <c r="V12" s="30"/>
      <c r="W12" s="30" t="str">
        <f>IFERROR(__xludf.DUMMYFUNCTION("LET(ref, IF(ISBLANK(H12), ""N/A"", H12), apt, IF(ISBLANK(T12), """", "" | Apt#: "" &amp; T12), IF(ISBLANK(U12), ""Remarks Compulsory For Narration"", TRIM(IF(M12=""Internal"", IF(ISNUMBER(SEARCH(""DWARKADHIS"", G12)), IF(J12&gt;0, ""Internal Fund Transfer (From "&amp;"x"" &amp; RIGHT(TRIM(G12), 4) &amp; "" to YES AH IDW 2457)"", ""Internal Fund Transfer (From YES AH IDW 2457 to x"" &amp; RIGHT(TRIM(G12), 4) &amp; "")"") &amp; "" | Ref: "" &amp; ref &amp; "" | Type: "" &amp; P12 &amp; "" | BU: "" &amp; L12 &amp; "" | Head: "" &amp; M12, ""Internal Transfer | Ref: "" "&amp;"&amp; ref &amp; "" | Type: "" &amp; P12 &amp; "" | BU: "" &amp; L12 &amp; "" | Head: "" &amp; M12), IF(N(J12)&gt;0, IF(P12=""Customer Collection"", ""Receipt Credit (Collection) "" &amp; apt &amp; "" | Ref: "" &amp; ref &amp; "" | From: "" &amp; IF(ISNUMBER(SEARCH(""SOHNA ROAD"", G12)), ""Sohna Road"", """&amp;"Party"") &amp; "" | BU: "" &amp; L12, ""Receipt Credit from x"" &amp; RIGHT(MID(G12, FIND(""-"", SUBSTITUTE(G12, ""-"", ""-"", 3)) + 1, LEN(G12)), 4) &amp; "" (Purpose: "" &amp; IF(OR(ISBLANK(U12), U12=""N/A""), L12, U12) &amp; "") "" &amp; apt &amp; "" | Ref: "" &amp; ref &amp; "" | BU: "" &amp; L"&amp;"12 &amp; "" | Head: "" &amp; M12), ""Payment Disbursement (Purpose: "" &amp; IF(ISNUMBER(SEARCH(""salary"", M12)), ""Salary"", U12) &amp; "") | To: "" &amp; IFERROR(REGEXEXTRACT(G12, ""^(?:[^-]*-){3}([^-\n]+)""), IFERROR(REGEXEXTRACT(G12, ""^(?:[^-]*-){4}([^-\n]+)""), IFERRO"&amp;"R(REGEXEXTRACT(G12, ""^(?:[^/]*/){6}([^/]+)""), G12))) &amp; "" | Ref: "" &amp; ref &amp; "" | BU: "" &amp; L12 &amp; "" | Head: "" &amp; M12 &amp; apt)))))"),"Internal Fund Transfer (From YES AH IDW 2457 to x2314) | Ref: YESME6218005815500 | Type: Internal | BU: Aravali Heights | Head: Internal")</f>
        <v>Internal Fund Transfer (From YES AH IDW 2457 to x2314) | Ref: YESME6218005815500 | Type: Internal | BU: Aravali Heights | Head: Internal</v>
      </c>
    </row>
    <row r="13" ht="15.75" customHeight="1">
      <c r="A13" s="56">
        <v>22.0</v>
      </c>
      <c r="B13" s="56" t="str">
        <f t="shared" si="2"/>
        <v>#NAME?</v>
      </c>
      <c r="C13" s="56">
        <f t="shared" si="3"/>
        <v>7</v>
      </c>
      <c r="D13" s="66">
        <v>46231.0</v>
      </c>
      <c r="E13" s="66">
        <v>46231.0</v>
      </c>
      <c r="F13" s="45"/>
      <c r="G13" s="45" t="s">
        <v>1176</v>
      </c>
      <c r="H13" s="61" t="s">
        <v>1064</v>
      </c>
      <c r="I13" s="138">
        <v>100000.0</v>
      </c>
      <c r="J13" s="139"/>
      <c r="K13" s="143">
        <f t="shared" si="4"/>
        <v>11843</v>
      </c>
      <c r="L13" s="62" t="s">
        <v>211</v>
      </c>
      <c r="M13" s="62" t="s">
        <v>47</v>
      </c>
      <c r="N13" s="63"/>
      <c r="O13" s="62" t="s">
        <v>60</v>
      </c>
      <c r="P13" s="30" t="s">
        <v>47</v>
      </c>
      <c r="Q13" s="63" t="s">
        <v>50</v>
      </c>
      <c r="R13" s="36"/>
      <c r="S13" s="36"/>
      <c r="T13" s="36"/>
      <c r="U13" s="30" t="s">
        <v>75</v>
      </c>
      <c r="V13" s="30"/>
      <c r="W13" s="30" t="str">
        <f>IFERROR(__xludf.DUMMYFUNCTION("LET(ref, IF(ISBLANK(H13), ""N/A"", H13), apt, IF(ISBLANK(T13), """", "" | Apt#: "" &amp; T13), IF(ISBLANK(U13), ""Remarks Compulsory For Narration"", TRIM(IF(M13=""Internal"", IF(ISNUMBER(SEARCH(""DWARKADHIS"", G13)), IF(J13&gt;0, ""Internal Fund Transfer (From "&amp;"x"" &amp; RIGHT(TRIM(G13), 4) &amp; "" to YES AH IDW 2457)"", ""Internal Fund Transfer (From YES AH IDW 2457 to x"" &amp; RIGHT(TRIM(G13), 4) &amp; "")"") &amp; "" | Ref: "" &amp; ref &amp; "" | Type: "" &amp; P13 &amp; "" | BU: "" &amp; L13 &amp; "" | Head: "" &amp; M13, ""Internal Transfer | Ref: "" "&amp;"&amp; ref &amp; "" | Type: "" &amp; P13 &amp; "" | BU: "" &amp; L13 &amp; "" | Head: "" &amp; M13), IF(N(J13)&gt;0, IF(P13=""Customer Collection"", ""Receipt Credit (Collection) "" &amp; apt &amp; "" | Ref: "" &amp; ref &amp; "" | From: "" &amp; IF(ISNUMBER(SEARCH(""SOHNA ROAD"", G13)), ""Sohna Road"", """&amp;"Party"") &amp; "" | BU: "" &amp; L13, ""Receipt Credit from x"" &amp; RIGHT(MID(G13, FIND(""-"", SUBSTITUTE(G13, ""-"", ""-"", 3)) + 1, LEN(G13)), 4) &amp; "" (Purpose: "" &amp; IF(OR(ISBLANK(U13), U13=""N/A""), L13, U13) &amp; "") "" &amp; apt &amp; "" | Ref: "" &amp; ref &amp; "" | BU: "" &amp; L"&amp;"13 &amp; "" | Head: "" &amp; M13), ""Payment Disbursement (Purpose: "" &amp; IF(ISNUMBER(SEARCH(""salary"", M13)), ""Salary"", U13) &amp; "") | To: "" &amp; IFERROR(REGEXEXTRACT(G13, ""^(?:[^-]*-){3}([^-\n]+)""), IFERROR(REGEXEXTRACT(G13, ""^(?:[^-]*-){4}([^-\n]+)""), IFERRO"&amp;"R(REGEXEXTRACT(G13, ""^(?:[^/]*/){6}([^/]+)""), G13))) &amp; "" | Ref: "" &amp; ref &amp; "" | BU: "" &amp; L13 &amp; "" | Head: "" &amp; M13 &amp; apt)))))"),"Internal Fund Transfer (From YES AH IDW 2457 to x2314) | Ref: YESME6209001673100 | Type: Internal | BU: Aravali Heights | Head: Internal")</f>
        <v>Internal Fund Transfer (From YES AH IDW 2457 to x2314) | Ref: YESME6209001673100 | Type: Internal | BU: Aravali Heights | Head: Internal</v>
      </c>
    </row>
    <row r="14" ht="15.75" customHeight="1">
      <c r="A14" s="56">
        <v>21.0</v>
      </c>
      <c r="B14" s="56" t="str">
        <f t="shared" si="2"/>
        <v>#NAME?</v>
      </c>
      <c r="C14" s="56">
        <f t="shared" si="3"/>
        <v>7</v>
      </c>
      <c r="D14" s="66">
        <v>46231.0</v>
      </c>
      <c r="E14" s="66">
        <v>46231.0</v>
      </c>
      <c r="F14" s="45"/>
      <c r="G14" s="45" t="s">
        <v>1181</v>
      </c>
      <c r="H14" s="61" t="s">
        <v>1182</v>
      </c>
      <c r="I14" s="138"/>
      <c r="J14" s="139">
        <v>100000.0</v>
      </c>
      <c r="K14" s="143">
        <f t="shared" si="4"/>
        <v>111843</v>
      </c>
      <c r="L14" s="62" t="s">
        <v>211</v>
      </c>
      <c r="M14" s="62" t="s">
        <v>81</v>
      </c>
      <c r="N14" s="63"/>
      <c r="O14" s="62" t="s">
        <v>60</v>
      </c>
      <c r="P14" s="30" t="s">
        <v>47</v>
      </c>
      <c r="Q14" s="63" t="s">
        <v>50</v>
      </c>
      <c r="R14" s="36"/>
      <c r="S14" s="36"/>
      <c r="T14" s="36"/>
      <c r="U14" s="30" t="s">
        <v>81</v>
      </c>
      <c r="V14" s="30"/>
      <c r="W14" s="30" t="str">
        <f>IFERROR(__xludf.DUMMYFUNCTION("LET(ref, IF(ISBLANK(H14), ""N/A"", H14), apt, IF(ISBLANK(T14), """", "" | Apt#: "" &amp; T14), IF(ISBLANK(U14), ""Remarks Compulsory For Narration"", TRIM(IF(M14=""Internal"", IF(ISNUMBER(SEARCH(""DWARKADHIS"", G14)), IF(J14&gt;0, ""Internal Fund Transfer (From "&amp;"x"" &amp; RIGHT(TRIM(G14), 4) &amp; "" to YES AH IDW 2457)"", ""Internal Fund Transfer (From YES AH IDW 2457 to x"" &amp; RIGHT(TRIM(G14), 4) &amp; "")"") &amp; "" | Ref: "" &amp; ref &amp; "" | Type: "" &amp; P14 &amp; "" | BU: "" &amp; L14 &amp; "" | Head: "" &amp; M14, ""Internal Transfer | Ref: "" "&amp;"&amp; ref &amp; "" | Type: "" &amp; P14 &amp; "" | BU: "" &amp; L14 &amp; "" | Head: "" &amp; M14), IF(N(J14)&gt;0, IF(P14=""Customer Collection"", ""Receipt Credit (Collection) "" &amp; apt &amp; "" | Ref: "" &amp; ref &amp; "" | From: "" &amp; IF(ISNUMBER(SEARCH(""SOHNA ROAD"", G14)), ""Sohna Road"", """&amp;"Party"") &amp; "" | BU: "" &amp; L14, ""Receipt Credit from x"" &amp; RIGHT(MID(G14, FIND(""-"", SUBSTITUTE(G14, ""-"", ""-"", 3)) + 1, LEN(G14)), 4) &amp; "" (Purpose: "" &amp; IF(OR(ISBLANK(U14), U14=""N/A""), L14, U14) &amp; "") "" &amp; apt &amp; "" | Ref: "" &amp; ref &amp; "" | BU: "" &amp; L"&amp;"14 &amp; "" | Head: "" &amp; M14), ""Payment Disbursement (Purpose: "" &amp; IF(ISNUMBER(SEARCH(""salary"", M14)), ""Salary"", U14) &amp; "") | To: "" &amp; IFERROR(REGEXEXTRACT(G14, ""^(?:[^-]*-){3}([^-\n]+)""), IFERROR(REGEXEXTRACT(G14, ""^(?:[^-]*-){4}([^-\n]+)""), IFERRO"&amp;"R(REGEXEXTRACT(G14, ""^(?:[^/]*/){6}([^/]+)""), G14))) &amp; "" | Ref: "" &amp; ref &amp; "" | BU: "" &amp; L14 &amp; "" | Head: "" &amp; M14 &amp; apt)))))"),"#VALUE!")</f>
        <v>#VALUE!</v>
      </c>
    </row>
    <row r="15" ht="15.75" customHeight="1">
      <c r="A15" s="56">
        <v>20.0</v>
      </c>
      <c r="B15" s="56" t="str">
        <f t="shared" si="2"/>
        <v>#NAME?</v>
      </c>
      <c r="C15" s="56">
        <f t="shared" si="3"/>
        <v>7</v>
      </c>
      <c r="D15" s="66">
        <v>46224.0</v>
      </c>
      <c r="E15" s="66">
        <v>46224.0</v>
      </c>
      <c r="F15" s="45"/>
      <c r="G15" s="45" t="s">
        <v>307</v>
      </c>
      <c r="H15" s="61" t="s">
        <v>1079</v>
      </c>
      <c r="I15" s="138">
        <v>100000.0</v>
      </c>
      <c r="J15" s="139"/>
      <c r="K15" s="143">
        <f t="shared" si="4"/>
        <v>11843</v>
      </c>
      <c r="L15" s="62" t="s">
        <v>211</v>
      </c>
      <c r="M15" s="62" t="s">
        <v>47</v>
      </c>
      <c r="N15" s="63"/>
      <c r="O15" s="62" t="s">
        <v>60</v>
      </c>
      <c r="P15" s="30" t="s">
        <v>47</v>
      </c>
      <c r="Q15" s="63" t="s">
        <v>50</v>
      </c>
      <c r="R15" s="36"/>
      <c r="S15" s="36"/>
      <c r="T15" s="36"/>
      <c r="U15" s="30" t="s">
        <v>75</v>
      </c>
      <c r="V15" s="30"/>
      <c r="W15" s="30" t="str">
        <f>IFERROR(__xludf.DUMMYFUNCTION("LET(ref, IF(ISBLANK(H15), ""N/A"", H15), apt, IF(ISBLANK(T15), """", "" | Apt#: "" &amp; T15), IF(ISBLANK(U15), ""Remarks Compulsory For Narration"", TRIM(IF(M15=""Internal"", IF(ISNUMBER(SEARCH(""DWARKADHIS"", G15)), IF(J15&gt;0, ""Internal Fund Transfer (From "&amp;"x"" &amp; RIGHT(TRIM(G15), 4) &amp; "" to YES AH IDW 2457)"", ""Internal Fund Transfer (From YES AH IDW 2457 to x"" &amp; RIGHT(TRIM(G15), 4) &amp; "")"") &amp; "" | Ref: "" &amp; ref &amp; "" | Type: "" &amp; P15 &amp; "" | BU: "" &amp; L15 &amp; "" | Head: "" &amp; M15, ""Internal Transfer | Ref: "" "&amp;"&amp; ref &amp; "" | Type: "" &amp; P15 &amp; "" | BU: "" &amp; L15 &amp; "" | Head: "" &amp; M15), IF(N(J15)&gt;0, IF(P15=""Customer Collection"", ""Receipt Credit (Collection) "" &amp; apt &amp; "" | Ref: "" &amp; ref &amp; "" | From: "" &amp; IF(ISNUMBER(SEARCH(""SOHNA ROAD"", G15)), ""Sohna Road"", """&amp;"Party"") &amp; "" | BU: "" &amp; L15, ""Receipt Credit from x"" &amp; RIGHT(MID(G15, FIND(""-"", SUBSTITUTE(G15, ""-"", ""-"", 3)) + 1, LEN(G15)), 4) &amp; "" (Purpose: "" &amp; IF(OR(ISBLANK(U15), U15=""N/A""), L15, U15) &amp; "") "" &amp; apt &amp; "" | Ref: "" &amp; ref &amp; "" | BU: "" &amp; L"&amp;"15 &amp; "" | Head: "" &amp; M15), ""Payment Disbursement (Purpose: "" &amp; IF(ISNUMBER(SEARCH(""salary"", M15)), ""Salary"", U15) &amp; "") | To: "" &amp; IFERROR(REGEXEXTRACT(G15, ""^(?:[^-]*-){3}([^-\n]+)""), IFERROR(REGEXEXTRACT(G15, ""^(?:[^-]*-){4}([^-\n]+)""), IFERRO"&amp;"R(REGEXEXTRACT(G15, ""^(?:[^/]*/){6}([^/]+)""), G15))) &amp; "" | Ref: "" &amp; ref &amp; "" | BU: "" &amp; L15 &amp; "" | Head: "" &amp; M15 &amp; apt)))))"),"Internal Fund Transfer (From YES AH IDW 2457 to x2314) | Ref: YESME6202001955300 | Type: Internal | BU: Aravali Heights | Head: Internal")</f>
        <v>Internal Fund Transfer (From YES AH IDW 2457 to x2314) | Ref: YESME6202001955300 | Type: Internal | BU: Aravali Heights | Head: Internal</v>
      </c>
    </row>
    <row r="16" ht="15.75" customHeight="1">
      <c r="A16" s="56">
        <v>19.0</v>
      </c>
      <c r="B16" s="56" t="str">
        <f t="shared" si="2"/>
        <v>#NAME?</v>
      </c>
      <c r="C16" s="56">
        <f t="shared" si="3"/>
        <v>7</v>
      </c>
      <c r="D16" s="66">
        <v>46209.0</v>
      </c>
      <c r="E16" s="66">
        <v>46209.0</v>
      </c>
      <c r="F16" s="45"/>
      <c r="G16" s="45" t="s">
        <v>1191</v>
      </c>
      <c r="H16" s="61" t="s">
        <v>1192</v>
      </c>
      <c r="I16" s="138">
        <v>1000.0</v>
      </c>
      <c r="J16" s="139"/>
      <c r="K16" s="143">
        <f t="shared" si="4"/>
        <v>111843</v>
      </c>
      <c r="L16" s="62" t="s">
        <v>211</v>
      </c>
      <c r="M16" s="62" t="s">
        <v>47</v>
      </c>
      <c r="N16" s="63"/>
      <c r="O16" s="62" t="s">
        <v>60</v>
      </c>
      <c r="P16" s="30" t="s">
        <v>47</v>
      </c>
      <c r="Q16" s="63" t="s">
        <v>50</v>
      </c>
      <c r="R16" s="36"/>
      <c r="S16" s="36"/>
      <c r="T16" s="36"/>
      <c r="U16" s="30" t="s">
        <v>75</v>
      </c>
      <c r="V16" s="30"/>
      <c r="W16" s="30" t="str">
        <f>IFERROR(__xludf.DUMMYFUNCTION("LET(ref, IF(ISBLANK(H16), ""N/A"", H16), apt, IF(ISBLANK(T16), """", "" | Apt#: "" &amp; T16), IF(ISBLANK(U16), ""Remarks Compulsory For Narration"", TRIM(IF(M16=""Internal"", IF(ISNUMBER(SEARCH(""DWARKADHIS"", G16)), IF(J16&gt;0, ""Internal Fund Transfer (From "&amp;"x"" &amp; RIGHT(TRIM(G16), 4) &amp; "" to YES AH IDW 2457)"", ""Internal Fund Transfer (From YES AH IDW 2457 to x"" &amp; RIGHT(TRIM(G16), 4) &amp; "")"") &amp; "" | Ref: "" &amp; ref &amp; "" | Type: "" &amp; P16 &amp; "" | BU: "" &amp; L16 &amp; "" | Head: "" &amp; M16, ""Internal Transfer | Ref: "" "&amp;"&amp; ref &amp; "" | Type: "" &amp; P16 &amp; "" | BU: "" &amp; L16 &amp; "" | Head: "" &amp; M16), IF(N(J16)&gt;0, IF(P16=""Customer Collection"", ""Receipt Credit (Collection) "" &amp; apt &amp; "" | Ref: "" &amp; ref &amp; "" | From: "" &amp; IF(ISNUMBER(SEARCH(""SOHNA ROAD"", G16)), ""Sohna Road"", """&amp;"Party"") &amp; "" | BU: "" &amp; L16, ""Receipt Credit from x"" &amp; RIGHT(MID(G16, FIND(""-"", SUBSTITUTE(G16, ""-"", ""-"", 3)) + 1, LEN(G16)), 4) &amp; "" (Purpose: "" &amp; IF(OR(ISBLANK(U16), U16=""N/A""), L16, U16) &amp; "") "" &amp; apt &amp; "" | Ref: "" &amp; ref &amp; "" | BU: "" &amp; L"&amp;"16 &amp; "" | Head: "" &amp; M16), ""Payment Disbursement (Purpose: "" &amp; IF(ISNUMBER(SEARCH(""salary"", M16)), ""Salary"", U16) &amp; "") | To: "" &amp; IFERROR(REGEXEXTRACT(G16, ""^(?:[^-]*-){3}([^-\n]+)""), IFERROR(REGEXEXTRACT(G16, ""^(?:[^-]*-){4}([^-\n]+)""), IFERRO"&amp;"R(REGEXEXTRACT(G16, ""^(?:[^/]*/){6}([^/]+)""), G16))) &amp; "" | Ref: "" &amp; ref &amp; "" | BU: "" &amp; L16 &amp; "" | Head: "" &amp; M16 &amp; apt)))))"),"Internal Fund Transfer (From YES AH IDW 2457 to x9675) | Ref: YESI66187010622500 | Type: Internal | BU: Aravali Heights | Head: Internal")</f>
        <v>Internal Fund Transfer (From YES AH IDW 2457 to x9675) | Ref: YESI66187010622500 | Type: Internal | BU: Aravali Heights | Head: Internal</v>
      </c>
    </row>
    <row r="17" ht="15.75" customHeight="1">
      <c r="A17" s="56">
        <v>18.0</v>
      </c>
      <c r="B17" s="56" t="str">
        <f t="shared" si="2"/>
        <v>#NAME?</v>
      </c>
      <c r="C17" s="56">
        <f t="shared" si="3"/>
        <v>7</v>
      </c>
      <c r="D17" s="66">
        <v>46204.0</v>
      </c>
      <c r="E17" s="66">
        <v>46204.0</v>
      </c>
      <c r="F17" s="45"/>
      <c r="G17" s="45" t="s">
        <v>1200</v>
      </c>
      <c r="H17" s="61" t="s">
        <v>1201</v>
      </c>
      <c r="I17" s="138">
        <v>1083.0</v>
      </c>
      <c r="J17" s="139"/>
      <c r="K17" s="139">
        <f t="shared" si="4"/>
        <v>112843</v>
      </c>
      <c r="L17" s="62" t="s">
        <v>211</v>
      </c>
      <c r="M17" s="62" t="s">
        <v>67</v>
      </c>
      <c r="N17" s="63"/>
      <c r="O17" s="62" t="s">
        <v>60</v>
      </c>
      <c r="P17" s="30" t="s">
        <v>57</v>
      </c>
      <c r="Q17" s="63" t="s">
        <v>58</v>
      </c>
      <c r="R17" s="36"/>
      <c r="S17" s="36"/>
      <c r="T17" s="36"/>
      <c r="U17" s="30" t="s">
        <v>499</v>
      </c>
      <c r="V17" s="30"/>
      <c r="W17" s="30" t="str">
        <f>IFERROR(__xludf.DUMMYFUNCTION("LET(ref, IF(ISBLANK(H17), ""N/A"", H17), apt, IF(ISBLANK(T17), """", "" | Apt#: "" &amp; T17), IF(ISBLANK(U17), ""Remarks Compulsory For Narration"", TRIM(IF(M17=""Internal"", IF(ISNUMBER(SEARCH(""DWARKADHIS"", G17)), IF(J17&gt;0, ""Internal Fund Transfer (From "&amp;"x"" &amp; RIGHT(TRIM(G17), 4) &amp; "" to YES AH IDW 2457)"", ""Internal Fund Transfer (From YES AH IDW 2457 to x"" &amp; RIGHT(TRIM(G17), 4) &amp; "")"") &amp; "" | Ref: "" &amp; ref &amp; "" | Type: "" &amp; P17 &amp; "" | BU: "" &amp; L17 &amp; "" | Head: "" &amp; M17, ""Internal Transfer | Ref: "" "&amp;"&amp; ref &amp; "" | Type: "" &amp; P17 &amp; "" | BU: "" &amp; L17 &amp; "" | Head: "" &amp; M17), IF(N(J17)&gt;0, IF(P17=""Customer Collection"", ""Receipt Credit (Collection) "" &amp; apt &amp; "" | Ref: "" &amp; ref &amp; "" | From: "" &amp; IF(ISNUMBER(SEARCH(""SOHNA ROAD"", G17)), ""Sohna Road"", """&amp;"Party"") &amp; "" | BU: "" &amp; L17, ""Receipt Credit from x"" &amp; RIGHT(MID(G17, FIND(""-"", SUBSTITUTE(G17, ""-"", ""-"", 3)) + 1, LEN(G17)), 4) &amp; "" (Purpose: "" &amp; IF(OR(ISBLANK(U17), U17=""N/A""), L17, U17) &amp; "") "" &amp; apt &amp; "" | Ref: "" &amp; ref &amp; "" | BU: "" &amp; L"&amp;"17 &amp; "" | Head: "" &amp; M17), ""Payment Disbursement (Purpose: "" &amp; IF(ISNUMBER(SEARCH(""salary"", M17)), ""Salary"", U17) &amp; "") | To: "" &amp; IFERROR(REGEXEXTRACT(G17, ""^(?:[^-]*-){3}([^-\n]+)""), IFERROR(REGEXEXTRACT(G17, ""^(?:[^-]*-){4}([^-\n]+)""), IFERRO"&amp;"R(REGEXEXTRACT(G17, ""^(?:[^/]*/){6}([^/]+)""), G17))) &amp; "" | Ref: "" &amp; ref &amp; "" | BU: "" &amp; L17 &amp; "" | Head: "" &amp; M17 &amp; apt)))))"),"Payment Disbursement (Purpose: Purchase of Material for Construction) | To: S S Paints | Ref: YESME6182007460600 | BU: Aravali Heights | Head: Vendor")</f>
        <v>Payment Disbursement (Purpose: Purchase of Material for Construction) | To: S S Paints | Ref: YESME6182007460600 | BU: Aravali Heights | Head: Vendor</v>
      </c>
    </row>
    <row r="18" ht="15.75" customHeight="1">
      <c r="A18" s="56">
        <v>17.0</v>
      </c>
      <c r="B18" s="56" t="str">
        <f t="shared" si="2"/>
        <v>#NAME?</v>
      </c>
      <c r="C18" s="56">
        <f t="shared" si="3"/>
        <v>6</v>
      </c>
      <c r="D18" s="66">
        <v>46196.0</v>
      </c>
      <c r="E18" s="66">
        <v>46196.0</v>
      </c>
      <c r="F18" s="45"/>
      <c r="G18" s="45" t="s">
        <v>1162</v>
      </c>
      <c r="H18" s="61" t="s">
        <v>513</v>
      </c>
      <c r="I18" s="138">
        <v>500000.0</v>
      </c>
      <c r="J18" s="139"/>
      <c r="K18" s="143">
        <f t="shared" si="4"/>
        <v>113926</v>
      </c>
      <c r="L18" s="62" t="s">
        <v>45</v>
      </c>
      <c r="M18" s="62" t="s">
        <v>47</v>
      </c>
      <c r="N18" s="63"/>
      <c r="O18" s="62" t="s">
        <v>60</v>
      </c>
      <c r="P18" s="30" t="s">
        <v>213</v>
      </c>
      <c r="Q18" s="63" t="s">
        <v>50</v>
      </c>
      <c r="R18" s="36"/>
      <c r="S18" s="36"/>
      <c r="T18" s="36"/>
      <c r="U18" s="30" t="s">
        <v>75</v>
      </c>
      <c r="V18" s="30"/>
      <c r="W18" s="30" t="str">
        <f>IFERROR(__xludf.DUMMYFUNCTION("LET(ref, IF(ISBLANK(H18), ""N/A"", H18), apt, IF(ISBLANK(T18), """", "" | Apt#: "" &amp; T18), IF(ISBLANK(U18), ""Remarks Compulsory For Narration"", TRIM(IF(M18=""Internal"", IF(ISNUMBER(SEARCH(""DWARKADHIS"", G18)), IF(J18&gt;0, ""Internal Fund Transfer (From "&amp;"x"" &amp; RIGHT(TRIM(G18), 4) &amp; "" to YES AH IDW 2457)"", ""Internal Fund Transfer (From YES AH IDW 2457 to x"" &amp; RIGHT(TRIM(G18), 4) &amp; "")"") &amp; "" | Ref: "" &amp; ref &amp; "" | Type: "" &amp; P18 &amp; "" | BU: "" &amp; L18 &amp; "" | Head: "" &amp; M18, ""Internal Transfer | Ref: "" "&amp;"&amp; ref &amp; "" | Type: "" &amp; P18 &amp; "" | BU: "" &amp; L18 &amp; "" | Head: "" &amp; M18), IF(N(J18)&gt;0, IF(P18=""Customer Collection"", ""Receipt Credit (Collection) "" &amp; apt &amp; "" | Ref: "" &amp; ref &amp; "" | From: "" &amp; IF(ISNUMBER(SEARCH(""SOHNA ROAD"", G18)), ""Sohna Road"", """&amp;"Party"") &amp; "" | BU: "" &amp; L18, ""Receipt Credit from x"" &amp; RIGHT(MID(G18, FIND(""-"", SUBSTITUTE(G18, ""-"", ""-"", 3)) + 1, LEN(G18)), 4) &amp; "" (Purpose: "" &amp; IF(OR(ISBLANK(U18), U18=""N/A""), L18, U18) &amp; "") "" &amp; apt &amp; "" | Ref: "" &amp; ref &amp; "" | BU: "" &amp; L"&amp;"18 &amp; "" | Head: "" &amp; M18), ""Payment Disbursement (Purpose: "" &amp; IF(ISNUMBER(SEARCH(""salary"", M18)), ""Salary"", U18) &amp; "") | To: "" &amp; IFERROR(REGEXEXTRACT(G18, ""^(?:[^-]*-){3}([^-\n]+)""), IFERROR(REGEXEXTRACT(G18, ""^(?:[^-]*-){4}([^-\n]+)""), IFERRO"&amp;"R(REGEXEXTRACT(G18, ""^(?:[^/]*/){6}([^/]+)""), G18))) &amp; "" | Ref: "" &amp; ref &amp; "" | BU: "" &amp; L18 &amp; "" | Head: "" &amp; M18 &amp; apt)))))"),"Internal Fund Transfer (From YES AH IDW 2457 to x2477) | Ref: YESME6174004107300 | Type: AH - CR | BU: Casa Romana | Head: Internal")</f>
        <v>Internal Fund Transfer (From YES AH IDW 2457 to x2477) | Ref: YESME6174004107300 | Type: AH - CR | BU: Casa Romana | Head: Internal</v>
      </c>
    </row>
    <row r="19" ht="15.75" customHeight="1">
      <c r="A19" s="56">
        <v>16.0</v>
      </c>
      <c r="B19" s="56" t="str">
        <f t="shared" si="2"/>
        <v>#NAME?</v>
      </c>
      <c r="C19" s="56">
        <f t="shared" si="3"/>
        <v>6</v>
      </c>
      <c r="D19" s="66">
        <v>46196.0</v>
      </c>
      <c r="E19" s="66">
        <v>46196.0</v>
      </c>
      <c r="F19" s="45"/>
      <c r="G19" s="45" t="s">
        <v>1210</v>
      </c>
      <c r="H19" s="61" t="s">
        <v>1211</v>
      </c>
      <c r="I19" s="138">
        <v>7000.0</v>
      </c>
      <c r="J19" s="139"/>
      <c r="K19" s="139">
        <f t="shared" si="4"/>
        <v>613926</v>
      </c>
      <c r="L19" s="62" t="s">
        <v>211</v>
      </c>
      <c r="M19" s="62" t="s">
        <v>67</v>
      </c>
      <c r="N19" s="63"/>
      <c r="O19" s="62" t="s">
        <v>60</v>
      </c>
      <c r="P19" s="30" t="s">
        <v>57</v>
      </c>
      <c r="Q19" s="63" t="s">
        <v>58</v>
      </c>
      <c r="R19" s="36"/>
      <c r="S19" s="36"/>
      <c r="T19" s="36"/>
      <c r="U19" s="30" t="s">
        <v>499</v>
      </c>
      <c r="V19" s="30"/>
      <c r="W19" s="30" t="str">
        <f>IFERROR(__xludf.DUMMYFUNCTION("LET(ref, IF(ISBLANK(H19), ""N/A"", H19), apt, IF(ISBLANK(T19), """", "" | Apt#: "" &amp; T19), IF(ISBLANK(U19), ""Remarks Compulsory For Narration"", TRIM(IF(M19=""Internal"", IF(ISNUMBER(SEARCH(""DWARKADHIS"", G19)), IF(J19&gt;0, ""Internal Fund Transfer (From "&amp;"x"" &amp; RIGHT(TRIM(G19), 4) &amp; "" to YES AH IDW 2457)"", ""Internal Fund Transfer (From YES AH IDW 2457 to x"" &amp; RIGHT(TRIM(G19), 4) &amp; "")"") &amp; "" | Ref: "" &amp; ref &amp; "" | Type: "" &amp; P19 &amp; "" | BU: "" &amp; L19 &amp; "" | Head: "" &amp; M19, ""Internal Transfer | Ref: "" "&amp;"&amp; ref &amp; "" | Type: "" &amp; P19 &amp; "" | BU: "" &amp; L19 &amp; "" | Head: "" &amp; M19), IF(N(J19)&gt;0, IF(P19=""Customer Collection"", ""Receipt Credit (Collection) "" &amp; apt &amp; "" | Ref: "" &amp; ref &amp; "" | From: "" &amp; IF(ISNUMBER(SEARCH(""SOHNA ROAD"", G19)), ""Sohna Road"", """&amp;"Party"") &amp; "" | BU: "" &amp; L19, ""Receipt Credit from x"" &amp; RIGHT(MID(G19, FIND(""-"", SUBSTITUTE(G19, ""-"", ""-"", 3)) + 1, LEN(G19)), 4) &amp; "" (Purpose: "" &amp; IF(OR(ISBLANK(U19), U19=""N/A""), L19, U19) &amp; "") "" &amp; apt &amp; "" | Ref: "" &amp; ref &amp; "" | BU: "" &amp; L"&amp;"19 &amp; "" | Head: "" &amp; M19), ""Payment Disbursement (Purpose: "" &amp; IF(ISNUMBER(SEARCH(""salary"", M19)), ""Salary"", U19) &amp; "") | To: "" &amp; IFERROR(REGEXEXTRACT(G19, ""^(?:[^-]*-){3}([^-\n]+)""), IFERROR(REGEXEXTRACT(G19, ""^(?:[^-]*-){4}([^-\n]+)""), IFERRO"&amp;"R(REGEXEXTRACT(G19, ""^(?:[^/]*/){6}([^/]+)""), G19))) &amp; "" | Ref: "" &amp; ref &amp; "" | BU: "" &amp; L19 &amp; "" | Head: "" &amp; M19 &amp; apt)))))"),"Payment Disbursement (Purpose: Purchase of Material for Construction) | To: S S Paints | Ref: YESME6174004107200 | BU: Aravali Heights | Head: Vendor")</f>
        <v>Payment Disbursement (Purpose: Purchase of Material for Construction) | To: S S Paints | Ref: YESME6174004107200 | BU: Aravali Heights | Head: Vendor</v>
      </c>
    </row>
    <row r="20" ht="15.75" customHeight="1">
      <c r="A20" s="56">
        <v>15.0</v>
      </c>
      <c r="B20" s="56" t="str">
        <f t="shared" si="2"/>
        <v>#NAME?</v>
      </c>
      <c r="C20" s="56">
        <f t="shared" si="3"/>
        <v>6</v>
      </c>
      <c r="D20" s="66">
        <v>46196.0</v>
      </c>
      <c r="E20" s="66">
        <v>46196.0</v>
      </c>
      <c r="F20" s="45"/>
      <c r="G20" s="45" t="s">
        <v>1141</v>
      </c>
      <c r="H20" s="61" t="s">
        <v>1216</v>
      </c>
      <c r="I20" s="138"/>
      <c r="J20" s="139">
        <v>500000.0</v>
      </c>
      <c r="K20" s="139">
        <f t="shared" si="4"/>
        <v>620926</v>
      </c>
      <c r="L20" s="62" t="s">
        <v>211</v>
      </c>
      <c r="M20" s="62" t="s">
        <v>47</v>
      </c>
      <c r="N20" s="63"/>
      <c r="O20" s="62" t="s">
        <v>60</v>
      </c>
      <c r="P20" s="30" t="s">
        <v>47</v>
      </c>
      <c r="Q20" s="63" t="s">
        <v>50</v>
      </c>
      <c r="R20" s="36"/>
      <c r="S20" s="36"/>
      <c r="T20" s="36"/>
      <c r="U20" s="30" t="s">
        <v>75</v>
      </c>
      <c r="V20" s="30"/>
      <c r="W20" s="30" t="str">
        <f>IFERROR(__xludf.DUMMYFUNCTION("LET(ref, IF(ISBLANK(H20), ""N/A"", H20), apt, IF(ISBLANK(T20), """", "" | Apt#: "" &amp; T20), IF(ISBLANK(U20), ""Remarks Compulsory For Narration"", TRIM(IF(M20=""Internal"", IF(ISNUMBER(SEARCH(""DWARKADHIS"", G20)), IF(J20&gt;0, ""Internal Fund Transfer (From "&amp;"x"" &amp; RIGHT(TRIM(G20), 4) &amp; "" to YES AH IDW 2457)"", ""Internal Fund Transfer (From YES AH IDW 2457 to x"" &amp; RIGHT(TRIM(G20), 4) &amp; "")"") &amp; "" | Ref: "" &amp; ref &amp; "" | Type: "" &amp; P20 &amp; "" | BU: "" &amp; L20 &amp; "" | Head: "" &amp; M20, ""Internal Transfer | Ref: "" "&amp;"&amp; ref &amp; "" | Type: "" &amp; P20 &amp; "" | BU: "" &amp; L20 &amp; "" | Head: "" &amp; M20), IF(N(J20)&gt;0, IF(P20=""Customer Collection"", ""Receipt Credit (Collection) "" &amp; apt &amp; "" | Ref: "" &amp; ref &amp; "" | From: "" &amp; IF(ISNUMBER(SEARCH(""SOHNA ROAD"", G20)), ""Sohna Road"", """&amp;"Party"") &amp; "" | BU: "" &amp; L20, ""Receipt Credit from x"" &amp; RIGHT(MID(G20, FIND(""-"", SUBSTITUTE(G20, ""-"", ""-"", 3)) + 1, LEN(G20)), 4) &amp; "" (Purpose: "" &amp; IF(OR(ISBLANK(U20), U20=""N/A""), L20, U20) &amp; "") "" &amp; apt &amp; "" | Ref: "" &amp; ref &amp; "" | BU: "" &amp; L"&amp;"20 &amp; "" | Head: "" &amp; M20), ""Payment Disbursement (Purpose: "" &amp; IF(ISNUMBER(SEARCH(""salary"", M20)), ""Salary"", U20) &amp; "") | To: "" &amp; IFERROR(REGEXEXTRACT(G20, ""^(?:[^-]*-){3}([^-\n]+)""), IFERROR(REGEXEXTRACT(G20, ""^(?:[^-]*-){4}([^-\n]+)""), IFERRO"&amp;"R(REGEXEXTRACT(G20, ""^(?:[^/]*/){6}([^/]+)""), G20))) &amp; "" | Ref: "" &amp; ref &amp; "" | BU: "" &amp; L20 &amp; "" | Head: "" &amp; M20 &amp; apt)))))"),"Internal Fund Transfer (From x2314 to YES AH IDW 2457) | Ref: YESME6174004040900 | Type: Internal | BU: Aravali Heights | Head: Internal")</f>
        <v>Internal Fund Transfer (From x2314 to YES AH IDW 2457) | Ref: YESME6174004040900 | Type: Internal | BU: Aravali Heights | Head: Internal</v>
      </c>
    </row>
    <row r="21" ht="15.75" customHeight="1">
      <c r="A21" s="56">
        <v>14.0</v>
      </c>
      <c r="B21" s="56" t="str">
        <f t="shared" si="2"/>
        <v>#NAME?</v>
      </c>
      <c r="C21" s="56">
        <f t="shared" si="3"/>
        <v>6</v>
      </c>
      <c r="D21" s="66">
        <v>46195.0</v>
      </c>
      <c r="E21" s="66">
        <v>46195.0</v>
      </c>
      <c r="F21" s="45"/>
      <c r="G21" s="45" t="s">
        <v>1219</v>
      </c>
      <c r="H21" s="61" t="s">
        <v>1220</v>
      </c>
      <c r="I21" s="138">
        <v>28962.0</v>
      </c>
      <c r="J21" s="139" t="s">
        <v>37</v>
      </c>
      <c r="K21" s="139">
        <f t="shared" si="4"/>
        <v>120926</v>
      </c>
      <c r="L21" s="62" t="s">
        <v>211</v>
      </c>
      <c r="M21" s="62" t="s">
        <v>67</v>
      </c>
      <c r="N21" s="63"/>
      <c r="O21" s="62" t="s">
        <v>60</v>
      </c>
      <c r="P21" s="30" t="s">
        <v>57</v>
      </c>
      <c r="Q21" s="63" t="s">
        <v>58</v>
      </c>
      <c r="R21" s="36"/>
      <c r="S21" s="36"/>
      <c r="T21" s="36"/>
      <c r="U21" s="30" t="s">
        <v>499</v>
      </c>
      <c r="V21" s="30"/>
      <c r="W21" s="30" t="str">
        <f>IFERROR(__xludf.DUMMYFUNCTION("LET(ref, IF(ISBLANK(H21), ""N/A"", H21), apt, IF(ISBLANK(T21), """", "" | Apt#: "" &amp; T21), IF(ISBLANK(U21), ""Remarks Compulsory For Narration"", TRIM(IF(M21=""Internal"", IF(ISNUMBER(SEARCH(""DWARKADHIS"", G21)), IF(J21&gt;0, ""Internal Fund Transfer (From "&amp;"x"" &amp; RIGHT(TRIM(G21), 4) &amp; "" to YES AH IDW 2457)"", ""Internal Fund Transfer (From YES AH IDW 2457 to x"" &amp; RIGHT(TRIM(G21), 4) &amp; "")"") &amp; "" | Ref: "" &amp; ref &amp; "" | Type: "" &amp; P21 &amp; "" | BU: "" &amp; L21 &amp; "" | Head: "" &amp; M21, ""Internal Transfer | Ref: "" "&amp;"&amp; ref &amp; "" | Type: "" &amp; P21 &amp; "" | BU: "" &amp; L21 &amp; "" | Head: "" &amp; M21), IF(N(J21)&gt;0, IF(P21=""Customer Collection"", ""Receipt Credit (Collection) "" &amp; apt &amp; "" | Ref: "" &amp; ref &amp; "" | From: "" &amp; IF(ISNUMBER(SEARCH(""SOHNA ROAD"", G21)), ""Sohna Road"", """&amp;"Party"") &amp; "" | BU: "" &amp; L21, ""Receipt Credit from x"" &amp; RIGHT(MID(G21, FIND(""-"", SUBSTITUTE(G21, ""-"", ""-"", 3)) + 1, LEN(G21)), 4) &amp; "" (Purpose: "" &amp; IF(OR(ISBLANK(U21), U21=""N/A""), L21, U21) &amp; "") "" &amp; apt &amp; "" | Ref: "" &amp; ref &amp; "" | BU: "" &amp; L"&amp;"21 &amp; "" | Head: "" &amp; M21), ""Payment Disbursement (Purpose: "" &amp; IF(ISNUMBER(SEARCH(""salary"", M21)), ""Salary"", U21) &amp; "") | To: "" &amp; IFERROR(REGEXEXTRACT(G21, ""^(?:[^-]*-){3}([^-\n]+)""), IFERROR(REGEXEXTRACT(G21, ""^(?:[^-]*-){4}([^-\n]+)""), IFERRO"&amp;"R(REGEXEXTRACT(G21, ""^(?:[^/]*/){6}([^/]+)""), G21))) &amp; "" | Ref: "" &amp; ref &amp; "" | BU: "" &amp; L21 &amp; "" | Head: "" &amp; M21 &amp; apt)))))"),"Payment Disbursement (Purpose: Purchase of Material for Construction) | To: Goel Electricals | Ref: YESME6173005965000 | BU: Aravali Heights | Head: Vendor")</f>
        <v>Payment Disbursement (Purpose: Purchase of Material for Construction) | To: Goel Electricals | Ref: YESME6173005965000 | BU: Aravali Heights | Head: Vendor</v>
      </c>
    </row>
    <row r="22" ht="15.75" customHeight="1">
      <c r="A22" s="56">
        <v>13.0</v>
      </c>
      <c r="B22" s="56" t="str">
        <f t="shared" si="2"/>
        <v>#NAME?</v>
      </c>
      <c r="C22" s="56">
        <f t="shared" si="3"/>
        <v>6</v>
      </c>
      <c r="D22" s="66">
        <v>46195.0</v>
      </c>
      <c r="E22" s="66">
        <v>46195.0</v>
      </c>
      <c r="F22" s="45"/>
      <c r="G22" s="45" t="s">
        <v>1223</v>
      </c>
      <c r="H22" s="61" t="s">
        <v>1224</v>
      </c>
      <c r="I22" s="138">
        <v>55423.0</v>
      </c>
      <c r="J22" s="139" t="s">
        <v>37</v>
      </c>
      <c r="K22" s="143">
        <f t="shared" si="4"/>
        <v>149888</v>
      </c>
      <c r="L22" s="62" t="s">
        <v>211</v>
      </c>
      <c r="M22" s="62" t="s">
        <v>67</v>
      </c>
      <c r="N22" s="63"/>
      <c r="O22" s="62" t="s">
        <v>60</v>
      </c>
      <c r="P22" s="30" t="s">
        <v>57</v>
      </c>
      <c r="Q22" s="63" t="s">
        <v>58</v>
      </c>
      <c r="R22" s="36"/>
      <c r="S22" s="36"/>
      <c r="T22" s="36"/>
      <c r="U22" s="30" t="s">
        <v>499</v>
      </c>
      <c r="V22" s="30"/>
      <c r="W22" s="30" t="str">
        <f>IFERROR(__xludf.DUMMYFUNCTION("LET(ref, IF(ISBLANK(H22), ""N/A"", H22), apt, IF(ISBLANK(T22), """", "" | Apt#: "" &amp; T22), IF(ISBLANK(U22), ""Remarks Compulsory For Narration"", TRIM(IF(M22=""Internal"", IF(ISNUMBER(SEARCH(""DWARKADHIS"", G22)), IF(J22&gt;0, ""Internal Fund Transfer (From "&amp;"x"" &amp; RIGHT(TRIM(G22), 4) &amp; "" to YES AH IDW 2457)"", ""Internal Fund Transfer (From YES AH IDW 2457 to x"" &amp; RIGHT(TRIM(G22), 4) &amp; "")"") &amp; "" | Ref: "" &amp; ref &amp; "" | Type: "" &amp; P22 &amp; "" | BU: "" &amp; L22 &amp; "" | Head: "" &amp; M22, ""Internal Transfer | Ref: "" "&amp;"&amp; ref &amp; "" | Type: "" &amp; P22 &amp; "" | BU: "" &amp; L22 &amp; "" | Head: "" &amp; M22), IF(N(J22)&gt;0, IF(P22=""Customer Collection"", ""Receipt Credit (Collection) "" &amp; apt &amp; "" | Ref: "" &amp; ref &amp; "" | From: "" &amp; IF(ISNUMBER(SEARCH(""SOHNA ROAD"", G22)), ""Sohna Road"", """&amp;"Party"") &amp; "" | BU: "" &amp; L22, ""Receipt Credit from x"" &amp; RIGHT(MID(G22, FIND(""-"", SUBSTITUTE(G22, ""-"", ""-"", 3)) + 1, LEN(G22)), 4) &amp; "" (Purpose: "" &amp; IF(OR(ISBLANK(U22), U22=""N/A""), L22, U22) &amp; "") "" &amp; apt &amp; "" | Ref: "" &amp; ref &amp; "" | BU: "" &amp; L"&amp;"22 &amp; "" | Head: "" &amp; M22), ""Payment Disbursement (Purpose: "" &amp; IF(ISNUMBER(SEARCH(""salary"", M22)), ""Salary"", U22) &amp; "") | To: "" &amp; IFERROR(REGEXEXTRACT(G22, ""^(?:[^-]*-){3}([^-\n]+)""), IFERROR(REGEXEXTRACT(G22, ""^(?:[^-]*-){4}([^-\n]+)""), IFERRO"&amp;"R(REGEXEXTRACT(G22, ""^(?:[^/]*/){6}([^/]+)""), G22))) &amp; "" | Ref: "" &amp; ref &amp; "" | BU: "" &amp; L22 &amp; "" | Head: "" &amp; M22 &amp; apt)))))"),"Payment Disbursement (Purpose: Purchase of Material for Construction) | To: Prayag Polymers Limited | Ref: YESME6173006081200 | BU: Aravali Heights | Head: Vendor")</f>
        <v>Payment Disbursement (Purpose: Purchase of Material for Construction) | To: Prayag Polymers Limited | Ref: YESME6173006081200 | BU: Aravali Heights | Head: Vendor</v>
      </c>
    </row>
    <row r="23" ht="15.75" customHeight="1">
      <c r="A23" s="56">
        <v>12.0</v>
      </c>
      <c r="B23" s="56" t="str">
        <f t="shared" si="2"/>
        <v>#NAME?</v>
      </c>
      <c r="C23" s="56">
        <f t="shared" si="3"/>
        <v>6</v>
      </c>
      <c r="D23" s="66">
        <v>46195.0</v>
      </c>
      <c r="E23" s="66">
        <v>46195.0</v>
      </c>
      <c r="F23" s="45"/>
      <c r="G23" s="45" t="s">
        <v>1141</v>
      </c>
      <c r="H23" s="61" t="s">
        <v>1110</v>
      </c>
      <c r="I23" s="138" t="s">
        <v>37</v>
      </c>
      <c r="J23" s="139">
        <v>200000.0</v>
      </c>
      <c r="K23" s="139">
        <f t="shared" si="4"/>
        <v>205311</v>
      </c>
      <c r="L23" s="62" t="s">
        <v>211</v>
      </c>
      <c r="M23" s="62" t="s">
        <v>47</v>
      </c>
      <c r="N23" s="63"/>
      <c r="O23" s="62" t="s">
        <v>60</v>
      </c>
      <c r="P23" s="30" t="s">
        <v>47</v>
      </c>
      <c r="Q23" s="63" t="s">
        <v>50</v>
      </c>
      <c r="R23" s="36"/>
      <c r="S23" s="36"/>
      <c r="T23" s="36"/>
      <c r="U23" s="30" t="s">
        <v>75</v>
      </c>
      <c r="V23" s="30"/>
      <c r="W23" s="30" t="str">
        <f>IFERROR(__xludf.DUMMYFUNCTION("LET(ref, IF(ISBLANK(H23), ""N/A"", H23), apt, IF(ISBLANK(T23), """", "" | Apt#: "" &amp; T23), IF(ISBLANK(U23), ""Remarks Compulsory For Narration"", TRIM(IF(M23=""Internal"", IF(ISNUMBER(SEARCH(""DWARKADHIS"", G23)), IF(J23&gt;0, ""Internal Fund Transfer (From "&amp;"x"" &amp; RIGHT(TRIM(G23), 4) &amp; "" to YES AH IDW 2457)"", ""Internal Fund Transfer (From YES AH IDW 2457 to x"" &amp; RIGHT(TRIM(G23), 4) &amp; "")"") &amp; "" | Ref: "" &amp; ref &amp; "" | Type: "" &amp; P23 &amp; "" | BU: "" &amp; L23 &amp; "" | Head: "" &amp; M23, ""Internal Transfer | Ref: "" "&amp;"&amp; ref &amp; "" | Type: "" &amp; P23 &amp; "" | BU: "" &amp; L23 &amp; "" | Head: "" &amp; M23), IF(N(J23)&gt;0, IF(P23=""Customer Collection"", ""Receipt Credit (Collection) "" &amp; apt &amp; "" | Ref: "" &amp; ref &amp; "" | From: "" &amp; IF(ISNUMBER(SEARCH(""SOHNA ROAD"", G23)), ""Sohna Road"", """&amp;"Party"") &amp; "" | BU: "" &amp; L23, ""Receipt Credit from x"" &amp; RIGHT(MID(G23, FIND(""-"", SUBSTITUTE(G23, ""-"", ""-"", 3)) + 1, LEN(G23)), 4) &amp; "" (Purpose: "" &amp; IF(OR(ISBLANK(U23), U23=""N/A""), L23, U23) &amp; "") "" &amp; apt &amp; "" | Ref: "" &amp; ref &amp; "" | BU: "" &amp; L"&amp;"23 &amp; "" | Head: "" &amp; M23), ""Payment Disbursement (Purpose: "" &amp; IF(ISNUMBER(SEARCH(""salary"", M23)), ""Salary"", U23) &amp; "") | To: "" &amp; IFERROR(REGEXEXTRACT(G23, ""^(?:[^-]*-){3}([^-\n]+)""), IFERROR(REGEXEXTRACT(G23, ""^(?:[^-]*-){4}([^-\n]+)""), IFERRO"&amp;"R(REGEXEXTRACT(G23, ""^(?:[^/]*/){6}([^/]+)""), G23))) &amp; "" | Ref: "" &amp; ref &amp; "" | BU: "" &amp; L23 &amp; "" | Head: "" &amp; M23 &amp; apt)))))"),"Internal Fund Transfer (From x2314 to YES AH IDW 2457) | Ref: YESME6173005891200 | Type: Internal | BU: Aravali Heights | Head: Internal")</f>
        <v>Internal Fund Transfer (From x2314 to YES AH IDW 2457) | Ref: YESME6173005891200 | Type: Internal | BU: Aravali Heights | Head: Internal</v>
      </c>
    </row>
    <row r="24" ht="15.75" customHeight="1">
      <c r="A24" s="56">
        <v>11.0</v>
      </c>
      <c r="B24" s="56" t="str">
        <f t="shared" si="2"/>
        <v>#NAME?</v>
      </c>
      <c r="C24" s="56">
        <f t="shared" si="3"/>
        <v>6</v>
      </c>
      <c r="D24" s="66">
        <v>46193.0</v>
      </c>
      <c r="E24" s="66">
        <v>46193.0</v>
      </c>
      <c r="F24" s="45"/>
      <c r="G24" s="45" t="s">
        <v>1162</v>
      </c>
      <c r="H24" s="61" t="s">
        <v>550</v>
      </c>
      <c r="I24" s="138">
        <v>60000.0</v>
      </c>
      <c r="J24" s="139" t="s">
        <v>37</v>
      </c>
      <c r="K24" s="139">
        <f t="shared" si="4"/>
        <v>5311</v>
      </c>
      <c r="L24" s="62" t="s">
        <v>45</v>
      </c>
      <c r="M24" s="62" t="s">
        <v>47</v>
      </c>
      <c r="N24" s="63"/>
      <c r="O24" s="62" t="s">
        <v>60</v>
      </c>
      <c r="P24" s="30" t="s">
        <v>213</v>
      </c>
      <c r="Q24" s="63" t="s">
        <v>50</v>
      </c>
      <c r="R24" s="36"/>
      <c r="S24" s="36"/>
      <c r="T24" s="36"/>
      <c r="U24" s="30" t="s">
        <v>75</v>
      </c>
      <c r="V24" s="30"/>
      <c r="W24" s="30" t="str">
        <f>IFERROR(__xludf.DUMMYFUNCTION("LET(ref, IF(ISBLANK(H24), ""N/A"", H24), apt, IF(ISBLANK(T24), """", "" | Apt#: "" &amp; T24), IF(ISBLANK(U24), ""Remarks Compulsory For Narration"", TRIM(IF(M24=""Internal"", IF(ISNUMBER(SEARCH(""DWARKADHIS"", G24)), IF(J24&gt;0, ""Internal Fund Transfer (From "&amp;"x"" &amp; RIGHT(TRIM(G24), 4) &amp; "" to YES AH IDW 2457)"", ""Internal Fund Transfer (From YES AH IDW 2457 to x"" &amp; RIGHT(TRIM(G24), 4) &amp; "")"") &amp; "" | Ref: "" &amp; ref &amp; "" | Type: "" &amp; P24 &amp; "" | BU: "" &amp; L24 &amp; "" | Head: "" &amp; M24, ""Internal Transfer | Ref: "" "&amp;"&amp; ref &amp; "" | Type: "" &amp; P24 &amp; "" | BU: "" &amp; L24 &amp; "" | Head: "" &amp; M24), IF(N(J24)&gt;0, IF(P24=""Customer Collection"", ""Receipt Credit (Collection) "" &amp; apt &amp; "" | Ref: "" &amp; ref &amp; "" | From: "" &amp; IF(ISNUMBER(SEARCH(""SOHNA ROAD"", G24)), ""Sohna Road"", """&amp;"Party"") &amp; "" | BU: "" &amp; L24, ""Receipt Credit from x"" &amp; RIGHT(MID(G24, FIND(""-"", SUBSTITUTE(G24, ""-"", ""-"", 3)) + 1, LEN(G24)), 4) &amp; "" (Purpose: "" &amp; IF(OR(ISBLANK(U24), U24=""N/A""), L24, U24) &amp; "") "" &amp; apt &amp; "" | Ref: "" &amp; ref &amp; "" | BU: "" &amp; L"&amp;"24 &amp; "" | Head: "" &amp; M24), ""Payment Disbursement (Purpose: "" &amp; IF(ISNUMBER(SEARCH(""salary"", M24)), ""Salary"", U24) &amp; "") | To: "" &amp; IFERROR(REGEXEXTRACT(G24, ""^(?:[^-]*-){3}([^-\n]+)""), IFERROR(REGEXEXTRACT(G24, ""^(?:[^-]*-){4}([^-\n]+)""), IFERRO"&amp;"R(REGEXEXTRACT(G24, ""^(?:[^/]*/){6}([^/]+)""), G24))) &amp; "" | Ref: "" &amp; ref &amp; "" | BU: "" &amp; L24 &amp; "" | Head: "" &amp; M24 &amp; apt)))))"),"Internal Fund Transfer (From x2477 to YES AH IDW 2457) | Ref: YESME6171003990900 | Type: AH - CR | BU: Casa Romana | Head: Internal")</f>
        <v>Internal Fund Transfer (From x2477 to YES AH IDW 2457) | Ref: YESME6171003990900 | Type: AH - CR | BU: Casa Romana | Head: Internal</v>
      </c>
    </row>
    <row r="25" ht="15.75" customHeight="1">
      <c r="A25" s="56">
        <v>10.0</v>
      </c>
      <c r="B25" s="56" t="str">
        <f t="shared" si="2"/>
        <v>#NAME?</v>
      </c>
      <c r="C25" s="56">
        <f t="shared" si="3"/>
        <v>6</v>
      </c>
      <c r="D25" s="66">
        <v>46193.0</v>
      </c>
      <c r="E25" s="66">
        <v>46193.0</v>
      </c>
      <c r="F25" s="45"/>
      <c r="G25" s="45" t="s">
        <v>1141</v>
      </c>
      <c r="H25" s="61" t="s">
        <v>1122</v>
      </c>
      <c r="I25" s="138" t="s">
        <v>37</v>
      </c>
      <c r="J25" s="139">
        <v>40000.0</v>
      </c>
      <c r="K25" s="139">
        <f t="shared" si="4"/>
        <v>65311</v>
      </c>
      <c r="L25" s="62" t="s">
        <v>211</v>
      </c>
      <c r="M25" s="62" t="s">
        <v>47</v>
      </c>
      <c r="N25" s="63"/>
      <c r="O25" s="62" t="s">
        <v>60</v>
      </c>
      <c r="P25" s="30" t="s">
        <v>47</v>
      </c>
      <c r="Q25" s="63" t="s">
        <v>50</v>
      </c>
      <c r="R25" s="36"/>
      <c r="S25" s="36"/>
      <c r="T25" s="36"/>
      <c r="U25" s="30" t="s">
        <v>75</v>
      </c>
      <c r="V25" s="30"/>
      <c r="W25" s="30" t="str">
        <f>IFERROR(__xludf.DUMMYFUNCTION("LET(ref, IF(ISBLANK(H25), ""N/A"", H25), apt, IF(ISBLANK(T25), """", "" | Apt#: "" &amp; T25), IF(ISBLANK(U25), ""Remarks Compulsory For Narration"", TRIM(IF(M25=""Internal"", IF(ISNUMBER(SEARCH(""DWARKADHIS"", G25)), IF(J25&gt;0, ""Internal Fund Transfer (From "&amp;"x"" &amp; RIGHT(TRIM(G25), 4) &amp; "" to YES AH IDW 2457)"", ""Internal Fund Transfer (From YES AH IDW 2457 to x"" &amp; RIGHT(TRIM(G25), 4) &amp; "")"") &amp; "" | Ref: "" &amp; ref &amp; "" | Type: "" &amp; P25 &amp; "" | BU: "" &amp; L25 &amp; "" | Head: "" &amp; M25, ""Internal Transfer | Ref: "" "&amp;"&amp; ref &amp; "" | Type: "" &amp; P25 &amp; "" | BU: "" &amp; L25 &amp; "" | Head: "" &amp; M25), IF(N(J25)&gt;0, IF(P25=""Customer Collection"", ""Receipt Credit (Collection) "" &amp; apt &amp; "" | Ref: "" &amp; ref &amp; "" | From: "" &amp; IF(ISNUMBER(SEARCH(""SOHNA ROAD"", G25)), ""Sohna Road"", """&amp;"Party"") &amp; "" | BU: "" &amp; L25, ""Receipt Credit from x"" &amp; RIGHT(MID(G25, FIND(""-"", SUBSTITUTE(G25, ""-"", ""-"", 3)) + 1, LEN(G25)), 4) &amp; "" (Purpose: "" &amp; IF(OR(ISBLANK(U25), U25=""N/A""), L25, U25) &amp; "") "" &amp; apt &amp; "" | Ref: "" &amp; ref &amp; "" | BU: "" &amp; L"&amp;"25 &amp; "" | Head: "" &amp; M25), ""Payment Disbursement (Purpose: "" &amp; IF(ISNUMBER(SEARCH(""salary"", M25)), ""Salary"", U25) &amp; "") | To: "" &amp; IFERROR(REGEXEXTRACT(G25, ""^(?:[^-]*-){3}([^-\n]+)""), IFERROR(REGEXEXTRACT(G25, ""^(?:[^-]*-){4}([^-\n]+)""), IFERRO"&amp;"R(REGEXEXTRACT(G25, ""^(?:[^/]*/){6}([^/]+)""), G25))) &amp; "" | Ref: "" &amp; ref &amp; "" | BU: "" &amp; L25 &amp; "" | Head: "" &amp; M25 &amp; apt)))))"),"Internal Fund Transfer (From x2314 to YES AH IDW 2457) | Ref: YESME6171003575700 | Type: Internal | BU: Aravali Heights | Head: Internal")</f>
        <v>Internal Fund Transfer (From x2314 to YES AH IDW 2457) | Ref: YESME6171003575700 | Type: Internal | BU: Aravali Heights | Head: Internal</v>
      </c>
    </row>
    <row r="26" ht="15.75" customHeight="1">
      <c r="A26" s="56">
        <v>9.0</v>
      </c>
      <c r="B26" s="56" t="str">
        <f t="shared" si="2"/>
        <v>#NAME?</v>
      </c>
      <c r="C26" s="56">
        <f t="shared" si="3"/>
        <v>6</v>
      </c>
      <c r="D26" s="66">
        <v>46191.0</v>
      </c>
      <c r="E26" s="66">
        <v>46191.0</v>
      </c>
      <c r="F26" s="45"/>
      <c r="G26" s="45" t="s">
        <v>1244</v>
      </c>
      <c r="H26" s="61" t="s">
        <v>1245</v>
      </c>
      <c r="I26" s="138">
        <v>16615.0</v>
      </c>
      <c r="J26" s="139"/>
      <c r="K26" s="139">
        <f t="shared" si="4"/>
        <v>25311</v>
      </c>
      <c r="L26" s="62" t="s">
        <v>211</v>
      </c>
      <c r="M26" s="62" t="s">
        <v>67</v>
      </c>
      <c r="N26" s="63"/>
      <c r="O26" s="62" t="s">
        <v>60</v>
      </c>
      <c r="P26" s="30" t="s">
        <v>57</v>
      </c>
      <c r="Q26" s="63" t="s">
        <v>58</v>
      </c>
      <c r="R26" s="36"/>
      <c r="S26" s="36"/>
      <c r="T26" s="36"/>
      <c r="U26" s="30" t="s">
        <v>499</v>
      </c>
      <c r="V26" s="30"/>
      <c r="W26" s="30" t="str">
        <f>IFERROR(__xludf.DUMMYFUNCTION("LET(ref, IF(ISBLANK(H26), ""N/A"", H26), apt, IF(ISBLANK(T26), """", "" | Apt#: "" &amp; T26), IF(ISBLANK(U26), ""Remarks Compulsory For Narration"", TRIM(IF(M26=""Internal"", IF(ISNUMBER(SEARCH(""DWARKADHIS"", G26)), IF(J26&gt;0, ""Internal Fund Transfer (From "&amp;"x"" &amp; RIGHT(TRIM(G26), 4) &amp; "" to YES AH IDW 2457)"", ""Internal Fund Transfer (From YES AH IDW 2457 to x"" &amp; RIGHT(TRIM(G26), 4) &amp; "")"") &amp; "" | Ref: "" &amp; ref &amp; "" | Type: "" &amp; P26 &amp; "" | BU: "" &amp; L26 &amp; "" | Head: "" &amp; M26, ""Internal Transfer | Ref: "" "&amp;"&amp; ref &amp; "" | Type: "" &amp; P26 &amp; "" | BU: "" &amp; L26 &amp; "" | Head: "" &amp; M26), IF(N(J26)&gt;0, IF(P26=""Customer Collection"", ""Receipt Credit (Collection) "" &amp; apt &amp; "" | Ref: "" &amp; ref &amp; "" | From: "" &amp; IF(ISNUMBER(SEARCH(""SOHNA ROAD"", G26)), ""Sohna Road"", """&amp;"Party"") &amp; "" | BU: "" &amp; L26, ""Receipt Credit from x"" &amp; RIGHT(MID(G26, FIND(""-"", SUBSTITUTE(G26, ""-"", ""-"", 3)) + 1, LEN(G26)), 4) &amp; "" (Purpose: "" &amp; IF(OR(ISBLANK(U26), U26=""N/A""), L26, U26) &amp; "") "" &amp; apt &amp; "" | Ref: "" &amp; ref &amp; "" | BU: "" &amp; L"&amp;"26 &amp; "" | Head: "" &amp; M26), ""Payment Disbursement (Purpose: "" &amp; IF(ISNUMBER(SEARCH(""salary"", M26)), ""Salary"", U26) &amp; "") | To: "" &amp; IFERROR(REGEXEXTRACT(G26, ""^(?:[^-]*-){3}([^-\n]+)""), IFERROR(REGEXEXTRACT(G26, ""^(?:[^-]*-){4}([^-\n]+)""), IFERRO"&amp;"R(REGEXEXTRACT(G26, ""^(?:[^/]*/){6}([^/]+)""), G26))) &amp; "" | Ref: "" &amp; ref &amp; "" | BU: "" &amp; L26 &amp; "" | Head: "" &amp; M26 &amp; apt)))))"),"Payment Disbursement (Purpose: Purchase of Material for Construction) | To: SN Ltd | Ref: YESME6169004378500 | BU: Aravali Heights | Head: Vendor")</f>
        <v>Payment Disbursement (Purpose: Purchase of Material for Construction) | To: SN Ltd | Ref: YESME6169004378500 | BU: Aravali Heights | Head: Vendor</v>
      </c>
    </row>
    <row r="27" ht="15.75" customHeight="1">
      <c r="A27" s="56">
        <v>8.0</v>
      </c>
      <c r="B27" s="56" t="str">
        <f t="shared" si="2"/>
        <v>#NAME?</v>
      </c>
      <c r="C27" s="56">
        <f t="shared" si="3"/>
        <v>6</v>
      </c>
      <c r="D27" s="66">
        <v>46191.0</v>
      </c>
      <c r="E27" s="66">
        <v>46191.0</v>
      </c>
      <c r="F27" s="45"/>
      <c r="G27" s="45" t="s">
        <v>1249</v>
      </c>
      <c r="H27" s="61" t="s">
        <v>1250</v>
      </c>
      <c r="I27" s="138">
        <v>7080.0</v>
      </c>
      <c r="J27" s="139"/>
      <c r="K27" s="139">
        <f t="shared" si="4"/>
        <v>41926</v>
      </c>
      <c r="L27" s="62" t="s">
        <v>211</v>
      </c>
      <c r="M27" s="62" t="s">
        <v>67</v>
      </c>
      <c r="N27" s="63"/>
      <c r="O27" s="62" t="s">
        <v>60</v>
      </c>
      <c r="P27" s="30" t="s">
        <v>57</v>
      </c>
      <c r="Q27" s="63" t="s">
        <v>58</v>
      </c>
      <c r="R27" s="36"/>
      <c r="S27" s="36"/>
      <c r="T27" s="36" t="s">
        <v>1253</v>
      </c>
      <c r="U27" s="30" t="s">
        <v>1125</v>
      </c>
      <c r="V27" s="30"/>
      <c r="W27" s="30" t="str">
        <f>IFERROR(__xludf.DUMMYFUNCTION("LET(ref, IF(ISBLANK(H27), ""N/A"", H27), apt, IF(ISBLANK(T27), """", "" | Apt#: "" &amp; T27), IF(ISBLANK(U27), ""Remarks Compulsory For Narration"", TRIM(IF(M27=""Internal"", IF(ISNUMBER(SEARCH(""DWARKADHIS"", G27)), IF(J27&gt;0, ""Internal Fund Transfer (From "&amp;"x"" &amp; RIGHT(TRIM(G27), 4) &amp; "" to YES AH IDW 2457)"", ""Internal Fund Transfer (From YES AH IDW 2457 to x"" &amp; RIGHT(TRIM(G27), 4) &amp; "")"") &amp; "" | Ref: "" &amp; ref &amp; "" | Type: "" &amp; P27 &amp; "" | BU: "" &amp; L27 &amp; "" | Head: "" &amp; M27, ""Internal Transfer | Ref: "" "&amp;"&amp; ref &amp; "" | Type: "" &amp; P27 &amp; "" | BU: "" &amp; L27 &amp; "" | Head: "" &amp; M27), IF(N(J27)&gt;0, IF(P27=""Customer Collection"", ""Receipt Credit (Collection) "" &amp; apt &amp; "" | Ref: "" &amp; ref &amp; "" | From: "" &amp; IF(ISNUMBER(SEARCH(""SOHNA ROAD"", G27)), ""Sohna Road"", """&amp;"Party"") &amp; "" | BU: "" &amp; L27, ""Receipt Credit from x"" &amp; RIGHT(MID(G27, FIND(""-"", SUBSTITUTE(G27, ""-"", ""-"", 3)) + 1, LEN(G27)), 4) &amp; "" (Purpose: "" &amp; IF(OR(ISBLANK(U27), U27=""N/A""), L27, U27) &amp; "") "" &amp; apt &amp; "" | Ref: "" &amp; ref &amp; "" | BU: "" &amp; L"&amp;"27 &amp; "" | Head: "" &amp; M27), ""Payment Disbursement (Purpose: "" &amp; IF(ISNUMBER(SEARCH(""salary"", M27)), ""Salary"", U27) &amp; "") | To: "" &amp; IFERROR(REGEXEXTRACT(G27, ""^(?:[^-]*-){3}([^-\n]+)""), IFERROR(REGEXEXTRACT(G27, ""^(?:[^-]*-){4}([^-\n]+)""), IFERRO"&amp;"R(REGEXEXTRACT(G27, ""^(?:[^/]*/){6}([^/]+)""), G27))) &amp; "" | Ref: "" &amp; ref &amp; "" | BU: "" &amp; L27 &amp; "" | Head: "" &amp; M27 &amp; apt)))))"),"Payment Disbursement (Purpose: Meter Charges) | To: Aravali Height Resident Walfare Association | Ref: YESME6169002944900 | BU: Aravali Heights | Head: Vendor | Apt#: B5-001")</f>
        <v>Payment Disbursement (Purpose: Meter Charges) | To: Aravali Height Resident Walfare Association | Ref: YESME6169002944900 | BU: Aravali Heights | Head: Vendor | Apt#: B5-001</v>
      </c>
    </row>
    <row r="28" ht="15.75" customHeight="1">
      <c r="A28" s="56">
        <v>7.0</v>
      </c>
      <c r="B28" s="56" t="str">
        <f t="shared" si="2"/>
        <v>#NAME?</v>
      </c>
      <c r="C28" s="56">
        <f t="shared" si="3"/>
        <v>6</v>
      </c>
      <c r="D28" s="66">
        <v>46191.0</v>
      </c>
      <c r="E28" s="66">
        <v>46191.0</v>
      </c>
      <c r="F28" s="45"/>
      <c r="G28" s="45" t="s">
        <v>1162</v>
      </c>
      <c r="H28" s="61" t="s">
        <v>1256</v>
      </c>
      <c r="I28" s="138">
        <v>100000.0</v>
      </c>
      <c r="J28" s="139"/>
      <c r="K28" s="139">
        <f t="shared" si="4"/>
        <v>49006</v>
      </c>
      <c r="L28" s="62" t="s">
        <v>45</v>
      </c>
      <c r="M28" s="62" t="s">
        <v>47</v>
      </c>
      <c r="N28" s="63"/>
      <c r="O28" s="62" t="s">
        <v>60</v>
      </c>
      <c r="P28" s="30" t="s">
        <v>213</v>
      </c>
      <c r="Q28" s="63" t="s">
        <v>50</v>
      </c>
      <c r="R28" s="36"/>
      <c r="S28" s="36"/>
      <c r="T28" s="36"/>
      <c r="U28" s="30" t="s">
        <v>75</v>
      </c>
      <c r="V28" s="30"/>
      <c r="W28" s="30" t="str">
        <f>IFERROR(__xludf.DUMMYFUNCTION("LET(ref, IF(ISBLANK(H28), ""N/A"", H28), apt, IF(ISBLANK(T28), """", "" | Apt#: "" &amp; T28), IF(ISBLANK(U28), ""Remarks Compulsory For Narration"", TRIM(IF(M28=""Internal"", IF(ISNUMBER(SEARCH(""DWARKADHIS"", G28)), IF(J28&gt;0, ""Internal Fund Transfer (From "&amp;"x"" &amp; RIGHT(TRIM(G28), 4) &amp; "" to YES AH IDW 2457)"", ""Internal Fund Transfer (From YES AH IDW 2457 to x"" &amp; RIGHT(TRIM(G28), 4) &amp; "")"") &amp; "" | Ref: "" &amp; ref &amp; "" | Type: "" &amp; P28 &amp; "" | BU: "" &amp; L28 &amp; "" | Head: "" &amp; M28, ""Internal Transfer | Ref: "" "&amp;"&amp; ref &amp; "" | Type: "" &amp; P28 &amp; "" | BU: "" &amp; L28 &amp; "" | Head: "" &amp; M28), IF(N(J28)&gt;0, IF(P28=""Customer Collection"", ""Receipt Credit (Collection) "" &amp; apt &amp; "" | Ref: "" &amp; ref &amp; "" | From: "" &amp; IF(ISNUMBER(SEARCH(""SOHNA ROAD"", G28)), ""Sohna Road"", """&amp;"Party"") &amp; "" | BU: "" &amp; L28, ""Receipt Credit from x"" &amp; RIGHT(MID(G28, FIND(""-"", SUBSTITUTE(G28, ""-"", ""-"", 3)) + 1, LEN(G28)), 4) &amp; "" (Purpose: "" &amp; IF(OR(ISBLANK(U28), U28=""N/A""), L28, U28) &amp; "") "" &amp; apt &amp; "" | Ref: "" &amp; ref &amp; "" | BU: "" &amp; L"&amp;"28 &amp; "" | Head: "" &amp; M28), ""Payment Disbursement (Purpose: "" &amp; IF(ISNUMBER(SEARCH(""salary"", M28)), ""Salary"", U28) &amp; "") | To: "" &amp; IFERROR(REGEXEXTRACT(G28, ""^(?:[^-]*-){3}([^-\n]+)""), IFERROR(REGEXEXTRACT(G28, ""^(?:[^-]*-){4}([^-\n]+)""), IFERRO"&amp;"R(REGEXEXTRACT(G28, ""^(?:[^/]*/){6}([^/]+)""), G28))) &amp; "" | Ref: "" &amp; ref &amp; "" | BU: "" &amp; L28 &amp; "" | Head: "" &amp; M28 &amp; apt)))))"),"Internal Fund Transfer (From YES AH IDW 2457 to x2477) | Ref: YESME6169003112100 | Type: AH - CR | BU: Casa Romana | Head: Internal")</f>
        <v>Internal Fund Transfer (From YES AH IDW 2457 to x2477) | Ref: YESME6169003112100 | Type: AH - CR | BU: Casa Romana | Head: Internal</v>
      </c>
    </row>
    <row r="29" ht="15.75" customHeight="1">
      <c r="A29" s="56">
        <v>6.0</v>
      </c>
      <c r="B29" s="56" t="str">
        <f t="shared" si="2"/>
        <v>#NAME?</v>
      </c>
      <c r="C29" s="56">
        <f t="shared" si="3"/>
        <v>6</v>
      </c>
      <c r="D29" s="66">
        <v>46190.0</v>
      </c>
      <c r="E29" s="66">
        <v>46190.0</v>
      </c>
      <c r="F29" s="45"/>
      <c r="G29" s="45" t="s">
        <v>1162</v>
      </c>
      <c r="H29" s="61" t="s">
        <v>1262</v>
      </c>
      <c r="I29" s="138">
        <v>300000.0</v>
      </c>
      <c r="J29" s="139"/>
      <c r="K29" s="139">
        <f t="shared" si="4"/>
        <v>149006</v>
      </c>
      <c r="L29" s="62" t="s">
        <v>45</v>
      </c>
      <c r="M29" s="62" t="s">
        <v>47</v>
      </c>
      <c r="N29" s="63"/>
      <c r="O29" s="62" t="s">
        <v>60</v>
      </c>
      <c r="P29" s="30" t="s">
        <v>213</v>
      </c>
      <c r="Q29" s="63" t="s">
        <v>50</v>
      </c>
      <c r="R29" s="36"/>
      <c r="S29" s="36"/>
      <c r="T29" s="36"/>
      <c r="U29" s="30" t="s">
        <v>75</v>
      </c>
      <c r="V29" s="30"/>
      <c r="W29" s="30" t="str">
        <f>IFERROR(__xludf.DUMMYFUNCTION("LET(ref, IF(ISBLANK(H29), ""N/A"", H29), apt, IF(ISBLANK(T29), """", "" | Apt#: "" &amp; T29), IF(ISBLANK(U29), ""Remarks Compulsory For Narration"", TRIM(IF(M29=""Internal"", IF(ISNUMBER(SEARCH(""DWARKADHIS"", G29)), IF(J29&gt;0, ""Internal Fund Transfer (From "&amp;"x"" &amp; RIGHT(TRIM(G29), 4) &amp; "" to YES AH IDW 2457)"", ""Internal Fund Transfer (From YES AH IDW 2457 to x"" &amp; RIGHT(TRIM(G29), 4) &amp; "")"") &amp; "" | Ref: "" &amp; ref &amp; "" | Type: "" &amp; P29 &amp; "" | BU: "" &amp; L29 &amp; "" | Head: "" &amp; M29, ""Internal Transfer | Ref: "" "&amp;"&amp; ref &amp; "" | Type: "" &amp; P29 &amp; "" | BU: "" &amp; L29 &amp; "" | Head: "" &amp; M29), IF(N(J29)&gt;0, IF(P29=""Customer Collection"", ""Receipt Credit (Collection) "" &amp; apt &amp; "" | Ref: "" &amp; ref &amp; "" | From: "" &amp; IF(ISNUMBER(SEARCH(""SOHNA ROAD"", G29)), ""Sohna Road"", """&amp;"Party"") &amp; "" | BU: "" &amp; L29, ""Receipt Credit from x"" &amp; RIGHT(MID(G29, FIND(""-"", SUBSTITUTE(G29, ""-"", ""-"", 3)) + 1, LEN(G29)), 4) &amp; "" (Purpose: "" &amp; IF(OR(ISBLANK(U29), U29=""N/A""), L29, U29) &amp; "") "" &amp; apt &amp; "" | Ref: "" &amp; ref &amp; "" | BU: "" &amp; L"&amp;"29 &amp; "" | Head: "" &amp; M29), ""Payment Disbursement (Purpose: "" &amp; IF(ISNUMBER(SEARCH(""salary"", M29)), ""Salary"", U29) &amp; "") | To: "" &amp; IFERROR(REGEXEXTRACT(G29, ""^(?:[^-]*-){3}([^-\n]+)""), IFERROR(REGEXEXTRACT(G29, ""^(?:[^-]*-){4}([^-\n]+)""), IFERRO"&amp;"R(REGEXEXTRACT(G29, ""^(?:[^/]*/){6}([^/]+)""), G29))) &amp; "" | Ref: "" &amp; ref &amp; "" | BU: "" &amp; L29 &amp; "" | Head: "" &amp; M29 &amp; apt)))))"),"Internal Fund Transfer (From YES AH IDW 2457 to x2477) | Ref: YESME6168002968500 | Type: AH - CR | BU: Casa Romana | Head: Internal")</f>
        <v>Internal Fund Transfer (From YES AH IDW 2457 to x2477) | Ref: YESME6168002968500 | Type: AH - CR | BU: Casa Romana | Head: Internal</v>
      </c>
    </row>
    <row r="30" ht="15.75" customHeight="1">
      <c r="A30" s="56">
        <v>5.0</v>
      </c>
      <c r="B30" s="56" t="str">
        <f t="shared" si="2"/>
        <v>#NAME?</v>
      </c>
      <c r="C30" s="56">
        <f t="shared" si="3"/>
        <v>6</v>
      </c>
      <c r="D30" s="66">
        <v>46184.0</v>
      </c>
      <c r="E30" s="66">
        <v>46184.0</v>
      </c>
      <c r="F30" s="45"/>
      <c r="G30" s="45" t="s">
        <v>1269</v>
      </c>
      <c r="H30" s="61" t="s">
        <v>1270</v>
      </c>
      <c r="I30" s="138">
        <v>10000.0</v>
      </c>
      <c r="J30" s="139"/>
      <c r="K30" s="139">
        <f t="shared" si="4"/>
        <v>449006</v>
      </c>
      <c r="L30" s="62" t="s">
        <v>211</v>
      </c>
      <c r="M30" s="62" t="s">
        <v>85</v>
      </c>
      <c r="N30" s="63"/>
      <c r="O30" s="62" t="s">
        <v>60</v>
      </c>
      <c r="P30" s="30" t="s">
        <v>57</v>
      </c>
      <c r="Q30" s="63" t="s">
        <v>58</v>
      </c>
      <c r="R30" s="36"/>
      <c r="S30" s="36"/>
      <c r="T30" s="36"/>
      <c r="U30" s="30" t="s">
        <v>430</v>
      </c>
      <c r="V30" s="30"/>
      <c r="W30" s="30" t="str">
        <f>IFERROR(__xludf.DUMMYFUNCTION("LET(ref, IF(ISBLANK(H30), ""N/A"", H30), apt, IF(ISBLANK(T30), """", "" | Apt#: "" &amp; T30), IF(ISBLANK(U30), ""Remarks Compulsory For Narration"", TRIM(IF(M30=""Internal"", IF(ISNUMBER(SEARCH(""DWARKADHIS"", G30)), IF(J30&gt;0, ""Internal Fund Transfer (From "&amp;"x"" &amp; RIGHT(TRIM(G30), 4) &amp; "" to YES AH IDW 2457)"", ""Internal Fund Transfer (From YES AH IDW 2457 to x"" &amp; RIGHT(TRIM(G30), 4) &amp; "")"") &amp; "" | Ref: "" &amp; ref &amp; "" | Type: "" &amp; P30 &amp; "" | BU: "" &amp; L30 &amp; "" | Head: "" &amp; M30, ""Internal Transfer | Ref: "" "&amp;"&amp; ref &amp; "" | Type: "" &amp; P30 &amp; "" | BU: "" &amp; L30 &amp; "" | Head: "" &amp; M30), IF(N(J30)&gt;0, IF(P30=""Customer Collection"", ""Receipt Credit (Collection) "" &amp; apt &amp; "" | Ref: "" &amp; ref &amp; "" | From: "" &amp; IF(ISNUMBER(SEARCH(""SOHNA ROAD"", G30)), ""Sohna Road"", """&amp;"Party"") &amp; "" | BU: "" &amp; L30, ""Receipt Credit from x"" &amp; RIGHT(MID(G30, FIND(""-"", SUBSTITUTE(G30, ""-"", ""-"", 3)) + 1, LEN(G30)), 4) &amp; "" (Purpose: "" &amp; IF(OR(ISBLANK(U30), U30=""N/A""), L30, U30) &amp; "") "" &amp; apt &amp; "" | Ref: "" &amp; ref &amp; "" | BU: "" &amp; L"&amp;"30 &amp; "" | Head: "" &amp; M30), ""Payment Disbursement (Purpose: "" &amp; IF(ISNUMBER(SEARCH(""salary"", M30)), ""Salary"", U30) &amp; "") | To: "" &amp; IFERROR(REGEXEXTRACT(G30, ""^(?:[^-]*-){3}([^-\n]+)""), IFERROR(REGEXEXTRACT(G30, ""^(?:[^-]*-){4}([^-\n]+)""), IFERRO"&amp;"R(REGEXEXTRACT(G30, ""^(?:[^/]*/){6}([^/]+)""), G30))) &amp; "" | Ref: "" &amp; ref &amp; "" | BU: "" &amp; L30 &amp; "" | Head: "" &amp; M30 &amp; apt)))))"),"Payment Disbursement (Purpose: Imprest For Site Expenses) | To: Ravi Vats | Ref: YESME6162006430500 | BU: Aravali Heights | Head: Imprest")</f>
        <v>Payment Disbursement (Purpose: Imprest For Site Expenses) | To: Ravi Vats | Ref: YESME6162006430500 | BU: Aravali Heights | Head: Imprest</v>
      </c>
    </row>
    <row r="31" ht="15.75" customHeight="1">
      <c r="A31" s="56">
        <v>4.0</v>
      </c>
      <c r="B31" s="56" t="str">
        <f t="shared" si="2"/>
        <v>#NAME?</v>
      </c>
      <c r="C31" s="56">
        <f t="shared" si="3"/>
        <v>6</v>
      </c>
      <c r="D31" s="66">
        <v>46184.0</v>
      </c>
      <c r="E31" s="66">
        <v>46182.0</v>
      </c>
      <c r="F31" s="45"/>
      <c r="G31" s="45" t="s">
        <v>1273</v>
      </c>
      <c r="H31" s="61" t="s">
        <v>1274</v>
      </c>
      <c r="I31" s="138">
        <v>33074.0</v>
      </c>
      <c r="J31" s="139"/>
      <c r="K31" s="139">
        <f t="shared" si="4"/>
        <v>459006</v>
      </c>
      <c r="L31" s="62" t="s">
        <v>211</v>
      </c>
      <c r="M31" s="62" t="s">
        <v>67</v>
      </c>
      <c r="N31" s="63"/>
      <c r="O31" s="62" t="s">
        <v>60</v>
      </c>
      <c r="P31" s="30" t="s">
        <v>57</v>
      </c>
      <c r="Q31" s="63" t="s">
        <v>58</v>
      </c>
      <c r="R31" s="36"/>
      <c r="S31" s="36"/>
      <c r="T31" s="36"/>
      <c r="U31" s="30" t="s">
        <v>499</v>
      </c>
      <c r="V31" s="30"/>
      <c r="W31" s="30" t="str">
        <f>IFERROR(__xludf.DUMMYFUNCTION("LET(ref, IF(ISBLANK(H31), ""N/A"", H31), apt, IF(ISBLANK(T31), """", "" | Apt#: "" &amp; T31), IF(ISBLANK(U31), ""Remarks Compulsory For Narration"", TRIM(IF(M31=""Internal"", IF(ISNUMBER(SEARCH(""DWARKADHIS"", G31)), IF(J31&gt;0, ""Internal Fund Transfer (From "&amp;"x"" &amp; RIGHT(TRIM(G31), 4) &amp; "" to YES AH IDW 2457)"", ""Internal Fund Transfer (From YES AH IDW 2457 to x"" &amp; RIGHT(TRIM(G31), 4) &amp; "")"") &amp; "" | Ref: "" &amp; ref &amp; "" | Type: "" &amp; P31 &amp; "" | BU: "" &amp; L31 &amp; "" | Head: "" &amp; M31, ""Internal Transfer | Ref: "" "&amp;"&amp; ref &amp; "" | Type: "" &amp; P31 &amp; "" | BU: "" &amp; L31 &amp; "" | Head: "" &amp; M31), IF(N(J31)&gt;0, IF(P31=""Customer Collection"", ""Receipt Credit (Collection) "" &amp; apt &amp; "" | Ref: "" &amp; ref &amp; "" | From: "" &amp; IF(ISNUMBER(SEARCH(""SOHNA ROAD"", G31)), ""Sohna Road"", """&amp;"Party"") &amp; "" | BU: "" &amp; L31, ""Receipt Credit from x"" &amp; RIGHT(MID(G31, FIND(""-"", SUBSTITUTE(G31, ""-"", ""-"", 3)) + 1, LEN(G31)), 4) &amp; "" (Purpose: "" &amp; IF(OR(ISBLANK(U31), U31=""N/A""), L31, U31) &amp; "") "" &amp; apt &amp; "" | Ref: "" &amp; ref &amp; "" | BU: "" &amp; L"&amp;"31 &amp; "" | Head: "" &amp; M31), ""Payment Disbursement (Purpose: "" &amp; IF(ISNUMBER(SEARCH(""salary"", M31)), ""Salary"", U31) &amp; "") | To: "" &amp; IFERROR(REGEXEXTRACT(G31, ""^(?:[^-]*-){3}([^-\n]+)""), IFERROR(REGEXEXTRACT(G31, ""^(?:[^-]*-){4}([^-\n]+)""), IFERRO"&amp;"R(REGEXEXTRACT(G31, ""^(?:[^/]*/){6}([^/]+)""), G31))) &amp; "" | Ref: "" &amp; ref &amp; "" | BU: "" &amp; L31 &amp; "" | Head: "" &amp; M31 &amp; apt)))))"),"Payment Disbursement (Purpose: Purchase of Material for Construction) | To: DK Plywood Pvt Ltd | Ref: YESME6160006665400 | BU: Aravali Heights | Head: Vendor")</f>
        <v>Payment Disbursement (Purpose: Purchase of Material for Construction) | To: DK Plywood Pvt Ltd | Ref: YESME6160006665400 | BU: Aravali Heights | Head: Vendor</v>
      </c>
    </row>
    <row r="32" ht="15.75" customHeight="1">
      <c r="A32" s="56">
        <v>3.0</v>
      </c>
      <c r="B32" s="56" t="str">
        <f t="shared" si="2"/>
        <v>#NAME?</v>
      </c>
      <c r="C32" s="56">
        <f t="shared" si="3"/>
        <v>6</v>
      </c>
      <c r="D32" s="66">
        <v>46180.0</v>
      </c>
      <c r="E32" s="66">
        <v>46180.0</v>
      </c>
      <c r="F32" s="45"/>
      <c r="G32" s="45" t="s">
        <v>1282</v>
      </c>
      <c r="H32" s="61" t="s">
        <v>1283</v>
      </c>
      <c r="I32" s="138">
        <v>7920.0</v>
      </c>
      <c r="J32" s="139"/>
      <c r="K32" s="139">
        <f t="shared" si="4"/>
        <v>492080</v>
      </c>
      <c r="L32" s="62" t="s">
        <v>211</v>
      </c>
      <c r="M32" s="62" t="s">
        <v>55</v>
      </c>
      <c r="N32" s="63"/>
      <c r="O32" s="62" t="s">
        <v>60</v>
      </c>
      <c r="P32" s="30" t="s">
        <v>57</v>
      </c>
      <c r="Q32" s="63" t="s">
        <v>58</v>
      </c>
      <c r="R32" s="36"/>
      <c r="S32" s="36"/>
      <c r="T32" s="36"/>
      <c r="U32" s="30" t="s">
        <v>156</v>
      </c>
      <c r="V32" s="30"/>
      <c r="W32" s="30" t="str">
        <f>IFERROR(__xludf.DUMMYFUNCTION("LET(ref, IF(ISBLANK(H32), ""N/A"", H32), apt, IF(ISBLANK(T32), """", "" | Apt#: "" &amp; T32), IF(ISBLANK(U32), ""Remarks Compulsory For Narration"", TRIM(IF(M32=""Internal"", IF(ISNUMBER(SEARCH(""DWARKADHIS"", G32)), IF(J32&gt;0, ""Internal Fund Transfer (From "&amp;"x"" &amp; RIGHT(TRIM(G32), 4) &amp; "" to YES AH IDW 2457)"", ""Internal Fund Transfer (From YES AH IDW 2457 to x"" &amp; RIGHT(TRIM(G32), 4) &amp; "")"") &amp; "" | Ref: "" &amp; ref &amp; "" | Type: "" &amp; P32 &amp; "" | BU: "" &amp; L32 &amp; "" | Head: "" &amp; M32, ""Internal Transfer | Ref: "" "&amp;"&amp; ref &amp; "" | Type: "" &amp; P32 &amp; "" | BU: "" &amp; L32 &amp; "" | Head: "" &amp; M32), IF(N(J32)&gt;0, IF(P32=""Customer Collection"", ""Receipt Credit (Collection) "" &amp; apt &amp; "" | Ref: "" &amp; ref &amp; "" | From: "" &amp; IF(ISNUMBER(SEARCH(""SOHNA ROAD"", G32)), ""Sohna Road"", """&amp;"Party"") &amp; "" | BU: "" &amp; L32, ""Receipt Credit from x"" &amp; RIGHT(MID(G32, FIND(""-"", SUBSTITUTE(G32, ""-"", ""-"", 3)) + 1, LEN(G32)), 4) &amp; "" (Purpose: "" &amp; IF(OR(ISBLANK(U32), U32=""N/A""), L32, U32) &amp; "") "" &amp; apt &amp; "" | Ref: "" &amp; ref &amp; "" | BU: "" &amp; L"&amp;"32 &amp; "" | Head: "" &amp; M32), ""Payment Disbursement (Purpose: "" &amp; IF(ISNUMBER(SEARCH(""salary"", M32)), ""Salary"", U32) &amp; "") | To: "" &amp; IFERROR(REGEXEXTRACT(G32, ""^(?:[^-]*-){3}([^-\n]+)""), IFERROR(REGEXEXTRACT(G32, ""^(?:[^-]*-){4}([^-\n]+)""), IFERRO"&amp;"R(REGEXEXTRACT(G32, ""^(?:[^/]*/){6}([^/]+)""), G32))) &amp; "" | Ref: "" &amp; ref &amp; "" | BU: "" &amp; L32 &amp; "" | Head: "" &amp; M32 &amp; apt)))))"),"Payment Disbursement (Purpose: Construction Expenses) | To: Rajesh Kumar | Ref: YESME6158000706500 | BU: Aravali Heights | Head: Contractor")</f>
        <v>Payment Disbursement (Purpose: Construction Expenses) | To: Rajesh Kumar | Ref: YESME6158000706500 | BU: Aravali Heights | Head: Contractor</v>
      </c>
    </row>
    <row r="33" ht="15.75" customHeight="1">
      <c r="A33" s="56">
        <v>2.0</v>
      </c>
      <c r="B33" s="56" t="str">
        <f t="shared" si="2"/>
        <v>#NAME?</v>
      </c>
      <c r="C33" s="56">
        <f t="shared" si="3"/>
        <v>5</v>
      </c>
      <c r="D33" s="66">
        <v>46167.0</v>
      </c>
      <c r="E33" s="66">
        <v>46167.0</v>
      </c>
      <c r="F33" s="45"/>
      <c r="G33" s="45" t="s">
        <v>1141</v>
      </c>
      <c r="H33" s="61" t="s">
        <v>1290</v>
      </c>
      <c r="I33" s="138"/>
      <c r="J33" s="139">
        <v>500000.0</v>
      </c>
      <c r="K33" s="139">
        <f t="shared" si="4"/>
        <v>500000</v>
      </c>
      <c r="L33" s="62" t="s">
        <v>211</v>
      </c>
      <c r="M33" s="62" t="s">
        <v>47</v>
      </c>
      <c r="N33" s="63"/>
      <c r="O33" s="62" t="s">
        <v>60</v>
      </c>
      <c r="P33" s="30" t="s">
        <v>47</v>
      </c>
      <c r="Q33" s="63" t="s">
        <v>50</v>
      </c>
      <c r="R33" s="36"/>
      <c r="S33" s="36"/>
      <c r="T33" s="36"/>
      <c r="U33" s="30" t="s">
        <v>75</v>
      </c>
      <c r="V33" s="30"/>
      <c r="W33" s="30" t="str">
        <f>IFERROR(__xludf.DUMMYFUNCTION("LET(ref, IF(ISBLANK(H33), ""N/A"", H33), apt, IF(ISBLANK(T33), """", "" | Apt#: "" &amp; T33), IF(ISBLANK(U33), ""Remarks Compulsory For Narration"", TRIM(IF(M33=""Internal"", IF(ISNUMBER(SEARCH(""DWARKADHIS"", G33)), IF(J33&gt;0, ""Internal Fund Transfer (From "&amp;"x"" &amp; RIGHT(TRIM(G33), 4) &amp; "" to YES AH IDW 2457)"", ""Internal Fund Transfer (From YES AH IDW 2457 to x"" &amp; RIGHT(TRIM(G33), 4) &amp; "")"") &amp; "" | Ref: "" &amp; ref &amp; "" | Type: "" &amp; P33 &amp; "" | BU: "" &amp; L33 &amp; "" | Head: "" &amp; M33, ""Internal Transfer | Ref: "" "&amp;"&amp; ref &amp; "" | Type: "" &amp; P33 &amp; "" | BU: "" &amp; L33 &amp; "" | Head: "" &amp; M33), IF(N(J33)&gt;0, IF(P33=""Customer Collection"", ""Receipt Credit (Collection) "" &amp; apt &amp; "" | Ref: "" &amp; ref &amp; "" | From: "" &amp; IF(ISNUMBER(SEARCH(""SOHNA ROAD"", G33)), ""Sohna Road"", """&amp;"Party"") &amp; "" | BU: "" &amp; L33, ""Receipt Credit from x"" &amp; RIGHT(MID(G33, FIND(""-"", SUBSTITUTE(G33, ""-"", ""-"", 3)) + 1, LEN(G33)), 4) &amp; "" (Purpose: "" &amp; IF(OR(ISBLANK(U33), U33=""N/A""), L33, U33) &amp; "") "" &amp; apt &amp; "" | Ref: "" &amp; ref &amp; "" | BU: "" &amp; L"&amp;"33 &amp; "" | Head: "" &amp; M33), ""Payment Disbursement (Purpose: "" &amp; IF(ISNUMBER(SEARCH(""salary"", M33)), ""Salary"", U33) &amp; "") | To: "" &amp; IFERROR(REGEXEXTRACT(G33, ""^(?:[^-]*-){3}([^-\n]+)""), IFERROR(REGEXEXTRACT(G33, ""^(?:[^-]*-){4}([^-\n]+)""), IFERRO"&amp;"R(REGEXEXTRACT(G33, ""^(?:[^/]*/){6}([^/]+)""), G33))) &amp; "" | Ref: "" &amp; ref &amp; "" | BU: "" &amp; L33 &amp; "" | Head: "" &amp; M33 &amp; apt)))))"),"Internal Fund Transfer (From x2314 to YES AH IDW 2457) | Ref: YESME6145006593800 | Type: Internal | BU: Aravali Heights | Head: Internal")</f>
        <v>Internal Fund Transfer (From x2314 to YES AH IDW 2457) | Ref: YESME6145006593800 | Type: Internal | BU: Aravali Heights | Head: Internal</v>
      </c>
    </row>
    <row r="34" ht="15.75" customHeight="1">
      <c r="A34" s="56">
        <v>1.0</v>
      </c>
      <c r="B34" s="56"/>
      <c r="C34" s="56">
        <f t="shared" si="3"/>
        <v>4</v>
      </c>
      <c r="D34" s="66">
        <v>46113.0</v>
      </c>
      <c r="E34" s="66">
        <v>46113.0</v>
      </c>
      <c r="F34" s="45"/>
      <c r="G34" s="45" t="s">
        <v>1296</v>
      </c>
      <c r="H34" s="61"/>
      <c r="I34" s="138"/>
      <c r="J34" s="139">
        <v>0.0</v>
      </c>
      <c r="K34" s="139">
        <v>0.0</v>
      </c>
      <c r="L34" s="62"/>
      <c r="M34" s="62"/>
      <c r="N34" s="63"/>
      <c r="O34" s="62"/>
      <c r="P34" s="30"/>
      <c r="Q34" s="63"/>
      <c r="R34" s="36"/>
      <c r="S34" s="36"/>
      <c r="T34" s="36"/>
      <c r="U34" s="30"/>
      <c r="V34" s="36"/>
      <c r="W34" s="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34"/>
  <customSheetViews>
    <customSheetView guid="{349BE81A-EADF-4EC0-BA06-361C2A3477E7}" filter="1" showAutoFilter="1">
      <autoFilter ref="$A$2:$W$34">
        <filterColumn colId="9">
          <filters>
            <filter val="2,00,000"/>
            <filter val="0"/>
            <filter val="1,00,000"/>
            <filter val="15,000"/>
            <filter val="40,000"/>
            <filter val="5,00,000"/>
          </filters>
        </filterColumn>
      </autoFilter>
      <extLst>
        <ext uri="GoogleSheetsCustomDataVersion1">
          <go:sheetsCustomData xmlns:go="http://customooxmlschemas.google.com/" filterViewId="935695570"/>
        </ext>
      </extLst>
    </customSheetView>
  </customSheetViews>
  <conditionalFormatting sqref="K1:K34">
    <cfRule type="expression" dxfId="0" priority="1">
      <formula>O:O="Reco"</formula>
    </cfRule>
  </conditionalFormatting>
  <conditionalFormatting sqref="K1:K34">
    <cfRule type="expression" dxfId="1" priority="2">
      <formula>O:O="Entry"</formula>
    </cfRule>
  </conditionalFormatting>
  <dataValidations>
    <dataValidation type="list" allowBlank="1" showErrorMessage="1" sqref="L3:M34 P3:Q34">
      <formula1>#REF!</formula1>
    </dataValidation>
    <dataValidation type="list" allowBlank="1" sqref="O3:O34">
      <formula1>"Reco,Suspense,Entry,Reverse Entry,Pending"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18.5"/>
    <col customWidth="1" min="2" max="2" width="12.63"/>
    <col customWidth="1" min="3" max="3" width="6.38"/>
    <col customWidth="1" min="4" max="4" width="4.0"/>
    <col customWidth="1" min="5" max="5" width="16.0"/>
    <col customWidth="1" min="6" max="6" width="12.63"/>
    <col customWidth="1" min="8" max="8" width="3.88"/>
    <col customWidth="1" min="9" max="9" width="18.13"/>
    <col customWidth="1" min="12" max="12" width="3.13"/>
    <col customWidth="1" min="13" max="13" width="18.13"/>
    <col customWidth="1" min="16" max="16" width="5.5"/>
    <col customWidth="1" min="17" max="17" width="15.63"/>
    <col customWidth="1" min="18" max="18" width="13.0"/>
    <col customWidth="1" min="19" max="19" width="14.38"/>
    <col customWidth="1" min="20" max="20" width="5.5"/>
    <col customWidth="1" min="21" max="21" width="18.13"/>
    <col customWidth="1" min="24" max="24" width="4.0"/>
    <col customWidth="1" min="28" max="28" width="3.63"/>
    <col customWidth="1" min="32" max="32" width="2.13"/>
    <col customWidth="1" min="33" max="33" width="18.13"/>
  </cols>
  <sheetData>
    <row r="1" ht="15.75" customHeight="1">
      <c r="E1" s="137"/>
      <c r="F1" s="148" t="s">
        <v>1340</v>
      </c>
      <c r="G1" s="137"/>
      <c r="H1" s="137"/>
      <c r="I1" s="137"/>
      <c r="J1" s="148" t="s">
        <v>1341</v>
      </c>
      <c r="K1" s="137"/>
      <c r="L1" s="137"/>
      <c r="M1" s="137"/>
      <c r="N1" s="148" t="s">
        <v>1342</v>
      </c>
      <c r="O1" s="137"/>
      <c r="P1" s="137"/>
      <c r="Q1" s="137"/>
      <c r="R1" s="148" t="s">
        <v>1344</v>
      </c>
      <c r="S1" s="137"/>
      <c r="T1" s="137"/>
      <c r="U1" s="137"/>
      <c r="V1" s="148" t="s">
        <v>1347</v>
      </c>
      <c r="W1" s="137"/>
      <c r="X1" s="137"/>
      <c r="Y1" s="137"/>
      <c r="Z1" s="148" t="s">
        <v>1349</v>
      </c>
      <c r="AA1" s="137"/>
      <c r="AB1" s="137"/>
      <c r="AC1" s="137"/>
      <c r="AD1" s="148" t="s">
        <v>1350</v>
      </c>
      <c r="AE1" s="137"/>
      <c r="AF1" s="137"/>
      <c r="AG1" s="137"/>
      <c r="AH1" s="148" t="s">
        <v>1351</v>
      </c>
      <c r="AI1" s="137"/>
    </row>
    <row r="2" ht="15.75" customHeight="1">
      <c r="A2" s="149" t="s">
        <v>57</v>
      </c>
      <c r="B2" s="150" t="str">
        <f t="shared" ref="B2:B4" si="1">_xludf.ifna(_xlfn.XLOOKUP(A2,E:E,F:F),0)+_xludf.ifna(_xlfn.XLOOKUP(A2,I:I,J:J),0)+_xludf.ifna(_xlfn.XLOOKUP(A2,M:M,N:N),0)+_xludf.ifna(_xlfn.XLOOKUP(A2,U:U,V:V),0)+_xludf.ifna(_xlfn.XLOOKUP(A2,Y:Y,Z:Z),0)+_xludf.ifna(_xlfn.XLOOKUP(A2,Q:Q,R:R),0)</f>
        <v>#NAME?</v>
      </c>
      <c r="E2" s="151"/>
      <c r="F2" s="151"/>
      <c r="H2" s="137"/>
      <c r="I2" s="151"/>
      <c r="J2" s="151"/>
      <c r="L2" s="137"/>
      <c r="M2" s="151"/>
      <c r="N2" s="151"/>
      <c r="P2" s="137"/>
      <c r="Q2" s="151"/>
      <c r="R2" s="151"/>
      <c r="T2" s="137"/>
      <c r="U2" s="151"/>
      <c r="V2" s="151"/>
      <c r="X2" s="137"/>
      <c r="Y2" s="151"/>
      <c r="Z2" s="151"/>
      <c r="AB2" s="137"/>
      <c r="AC2" s="151"/>
      <c r="AD2" s="151"/>
      <c r="AF2" s="137"/>
      <c r="AG2" s="151"/>
      <c r="AH2" s="151"/>
    </row>
    <row r="3" ht="15.75" customHeight="1">
      <c r="A3" s="1" t="s">
        <v>1357</v>
      </c>
      <c r="B3" s="150" t="str">
        <f t="shared" si="1"/>
        <v>#NAME?</v>
      </c>
      <c r="H3" s="137"/>
      <c r="L3" s="137"/>
      <c r="P3" s="137"/>
      <c r="T3" s="137"/>
      <c r="X3" s="137"/>
      <c r="AB3" s="137"/>
      <c r="AF3" s="137"/>
    </row>
    <row r="4" ht="15.75" customHeight="1">
      <c r="A4" s="36" t="s">
        <v>767</v>
      </c>
      <c r="B4" s="150" t="str">
        <f t="shared" si="1"/>
        <v>#NAME?</v>
      </c>
      <c r="H4" s="137"/>
      <c r="L4" s="137"/>
      <c r="P4" s="137"/>
      <c r="T4" s="137"/>
      <c r="X4" s="137"/>
      <c r="AB4" s="137"/>
      <c r="AF4" s="137"/>
    </row>
    <row r="5" ht="15.75" customHeight="1">
      <c r="A5" s="1"/>
      <c r="B5" s="150" t="str">
        <f t="shared" ref="B5:B13" si="2">_xludf.ifna(_xlfn.XLOOKUP(A5,E:E,F:F),0)+_xludf.ifna(_xlfn.XLOOKUP(A5,I:I,J:J),0)+_xludf.ifna(_xlfn.XLOOKUP(A5,M:M,N:N),0)+_xludf.ifna(_xlfn.XLOOKUP(A5,U:U,V:V),0)</f>
        <v>#NAME?</v>
      </c>
      <c r="H5" s="137"/>
      <c r="L5" s="137"/>
      <c r="P5" s="137"/>
      <c r="T5" s="137"/>
      <c r="X5" s="137"/>
      <c r="AB5" s="137"/>
      <c r="AF5" s="137"/>
    </row>
    <row r="6" ht="15.75" customHeight="1">
      <c r="A6" s="36"/>
      <c r="B6" s="150" t="str">
        <f t="shared" si="2"/>
        <v>#NAME?</v>
      </c>
      <c r="H6" s="137"/>
      <c r="L6" s="137"/>
      <c r="P6" s="137"/>
      <c r="T6" s="137"/>
      <c r="X6" s="137"/>
      <c r="AB6" s="137"/>
      <c r="AF6" s="137"/>
    </row>
    <row r="7" ht="15.75" customHeight="1">
      <c r="A7" s="36"/>
      <c r="B7" s="150" t="str">
        <f t="shared" si="2"/>
        <v>#NAME?</v>
      </c>
      <c r="H7" s="137"/>
      <c r="L7" s="137"/>
      <c r="P7" s="137"/>
      <c r="T7" s="137"/>
      <c r="X7" s="137"/>
      <c r="AB7" s="137"/>
      <c r="AF7" s="137"/>
    </row>
    <row r="8" ht="15.75" customHeight="1">
      <c r="A8" s="36"/>
      <c r="B8" s="150" t="str">
        <f t="shared" si="2"/>
        <v>#NAME?</v>
      </c>
      <c r="H8" s="137"/>
      <c r="L8" s="137"/>
      <c r="P8" s="137"/>
      <c r="T8" s="137"/>
      <c r="X8" s="137"/>
      <c r="AB8" s="137"/>
      <c r="AF8" s="137"/>
    </row>
    <row r="9" ht="15.75" customHeight="1">
      <c r="A9" s="36"/>
      <c r="B9" s="150" t="str">
        <f t="shared" si="2"/>
        <v>#NAME?</v>
      </c>
      <c r="H9" s="137"/>
      <c r="I9" s="169"/>
      <c r="J9" s="169"/>
      <c r="K9" s="170"/>
      <c r="L9" s="137"/>
      <c r="P9" s="137"/>
      <c r="T9" s="137"/>
      <c r="X9" s="137"/>
      <c r="AB9" s="137"/>
      <c r="AF9" s="137"/>
    </row>
    <row r="10" ht="15.75" customHeight="1">
      <c r="A10" s="36"/>
      <c r="B10" s="150" t="str">
        <f t="shared" si="2"/>
        <v>#NAME?</v>
      </c>
      <c r="H10" s="137"/>
      <c r="I10" s="137"/>
      <c r="J10" s="137"/>
      <c r="K10" s="137"/>
      <c r="L10" s="137"/>
      <c r="P10" s="137"/>
      <c r="T10" s="137"/>
      <c r="X10" s="137"/>
      <c r="AB10" s="137"/>
      <c r="AC10" s="169"/>
      <c r="AD10" s="169"/>
      <c r="AE10" s="170"/>
      <c r="AF10" s="137"/>
    </row>
    <row r="11" ht="15.75" customHeight="1">
      <c r="A11" s="36"/>
      <c r="B11" s="150" t="str">
        <f t="shared" si="2"/>
        <v>#NAME?</v>
      </c>
      <c r="E11" s="169"/>
      <c r="F11" s="169"/>
      <c r="G11" s="170"/>
      <c r="H11" s="137"/>
      <c r="I11" s="137"/>
      <c r="J11" s="137"/>
      <c r="K11" s="137"/>
      <c r="L11" s="137"/>
      <c r="M11" s="169"/>
      <c r="N11" s="169"/>
      <c r="O11" s="170"/>
      <c r="P11" s="137"/>
      <c r="T11" s="137"/>
      <c r="X11" s="137"/>
      <c r="AB11" s="137"/>
      <c r="AC11" s="137"/>
      <c r="AD11" s="137"/>
      <c r="AE11" s="137"/>
      <c r="AF11" s="137"/>
    </row>
    <row r="12" ht="15.75" customHeight="1">
      <c r="A12" s="36"/>
      <c r="B12" s="150" t="str">
        <f t="shared" si="2"/>
        <v>#NAME?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69"/>
      <c r="R12" s="169"/>
      <c r="S12" s="170"/>
      <c r="T12" s="137"/>
      <c r="X12" s="137"/>
      <c r="AB12" s="137"/>
      <c r="AC12" s="137"/>
      <c r="AD12" s="137"/>
      <c r="AE12" s="137"/>
      <c r="AF12" s="137"/>
    </row>
    <row r="13" ht="15.75" customHeight="1">
      <c r="A13" s="173"/>
      <c r="B13" s="150" t="str">
        <f t="shared" si="2"/>
        <v>#NAME?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X13" s="137"/>
      <c r="Y13" s="169"/>
      <c r="Z13" s="169"/>
      <c r="AA13" s="170"/>
      <c r="AB13" s="137"/>
      <c r="AC13" s="137"/>
      <c r="AD13" s="137"/>
      <c r="AE13" s="137"/>
      <c r="AF13" s="137"/>
      <c r="AG13" s="169"/>
      <c r="AH13" s="169"/>
      <c r="AI13" s="170"/>
    </row>
    <row r="14" ht="15.75" customHeight="1">
      <c r="A14" s="173" t="s">
        <v>1433</v>
      </c>
      <c r="B14" s="174" t="str">
        <f>SUM(B2:B13)</f>
        <v>#NAME?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</row>
    <row r="15" ht="15.75" customHeight="1">
      <c r="A15" s="175"/>
      <c r="B15" s="175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69"/>
      <c r="V15" s="169"/>
      <c r="W15" s="170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</row>
    <row r="16" ht="15.75" customHeight="1">
      <c r="A16" s="176" t="s">
        <v>1412</v>
      </c>
      <c r="B16" s="150" t="str">
        <f t="array" ref="B16">_xludf.ifna(_xlfn.XLOOKUP(A16,E:E,F:F),0)+_xludf.ifna(_xlfn.XLOOKUP(A16,I:I,J:J),0)+_xludf.ifna(_xlfn.XLOOKUP(A16,M:M,N:N),0)+_xludf.ifna(_xlfn.XLOOKUP(A16,U:U,V:V),0)+_xludf.ifna(_xlfn.XLOOKUP(A16,Y:Y,Z:Z),0)+_xludf.ifna(_xlfn.XLOOKUP(A16,Q:Q,R:R),0)</f>
        <v>#NAME?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</row>
    <row r="17" ht="15.75" customHeight="1">
      <c r="A17" s="177"/>
      <c r="B17" s="17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</row>
    <row r="18" ht="15.75" customHeight="1">
      <c r="A18" s="178" t="s">
        <v>1433</v>
      </c>
      <c r="B18" s="150" t="str">
        <f>B14</f>
        <v>#NAME?</v>
      </c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</row>
    <row r="19" ht="15.75" customHeight="1">
      <c r="A19" s="179" t="s">
        <v>43</v>
      </c>
      <c r="B19" s="150" t="str">
        <f t="shared" ref="B19:B25" si="3">_xludf.ifna(_xlfn.XLOOKUP(A19,E:E,F:F),0)+_xludf.ifna(_xlfn.XLOOKUP(A19,I:I,J:J),0)+_xludf.ifna(_xlfn.XLOOKUP(A19,M:M,N:N),0)+_xludf.ifna(_xlfn.XLOOKUP(A19,U:U,V:V),0)+_xludf.ifna(_xlfn.XLOOKUP(A19,Y:Y,Z:Z),0)+_xludf.ifna(_xlfn.XLOOKUP(A19,Q:Q,R:R),0)</f>
        <v>#NAME?</v>
      </c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</row>
    <row r="20" ht="15.75" customHeight="1">
      <c r="A20" s="180" t="s">
        <v>1447</v>
      </c>
      <c r="B20" s="150" t="str">
        <f t="shared" si="3"/>
        <v>#NAME?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</row>
    <row r="21" ht="15.75" customHeight="1">
      <c r="A21" s="181" t="s">
        <v>47</v>
      </c>
      <c r="B21" s="150" t="str">
        <f t="shared" si="3"/>
        <v>#NAME?</v>
      </c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</row>
    <row r="22" ht="15.75" customHeight="1">
      <c r="A22" s="181" t="s">
        <v>61</v>
      </c>
      <c r="B22" s="150" t="str">
        <f t="shared" si="3"/>
        <v>#NAME?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</row>
    <row r="23" ht="15.75" customHeight="1">
      <c r="A23" s="181" t="s">
        <v>51</v>
      </c>
      <c r="B23" s="150" t="str">
        <f t="shared" si="3"/>
        <v>#NAME?</v>
      </c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</row>
    <row r="24" ht="15.75" customHeight="1">
      <c r="A24" s="137" t="s">
        <v>49</v>
      </c>
      <c r="B24" s="150" t="str">
        <f t="shared" si="3"/>
        <v>#NAME?</v>
      </c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</row>
    <row r="25" ht="15.75" customHeight="1">
      <c r="A25" s="137" t="s">
        <v>74</v>
      </c>
      <c r="B25" s="150" t="str">
        <f t="shared" si="3"/>
        <v>#NAME?</v>
      </c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</row>
    <row r="26" ht="15.75" customHeight="1">
      <c r="A26" s="182"/>
      <c r="B26" s="183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</row>
    <row r="27" ht="15.75" customHeight="1">
      <c r="A27" s="182" t="s">
        <v>1450</v>
      </c>
      <c r="B27" s="183" t="str">
        <f>SUM(B18:B26)</f>
        <v>#NAME?</v>
      </c>
      <c r="C27" s="137" t="str">
        <f>B27-B16</f>
        <v>#NAME?</v>
      </c>
      <c r="E27" s="137" t="s">
        <v>1451</v>
      </c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</row>
    <row r="28" ht="15.75" customHeight="1">
      <c r="A28" s="36"/>
      <c r="B28" s="173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</row>
    <row r="29" ht="15.75" customHeight="1">
      <c r="A29" s="1"/>
      <c r="B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</row>
    <row r="30" ht="15.75" customHeight="1">
      <c r="A30" s="36" t="s">
        <v>1454</v>
      </c>
      <c r="B30" s="150" t="str">
        <f t="shared" ref="B30:B31" si="4">_xludf.ifna(_xlfn.XLOOKUP(A30,E:E,F:F),0)+_xludf.ifna(_xlfn.XLOOKUP(A30,I:I,J:J),0)+_xludf.ifna(_xlfn.XLOOKUP(A30,M:M,N:N),0)+_xludf.ifna(_xlfn.XLOOKUP(A30,U:U,V:V),0)</f>
        <v>#NAME?</v>
      </c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</row>
    <row r="31" ht="15.75" customHeight="1">
      <c r="A31" s="36" t="s">
        <v>1456</v>
      </c>
      <c r="B31" s="150" t="str">
        <f t="shared" si="4"/>
        <v>#NAME?</v>
      </c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</row>
    <row r="32" ht="15.75" customHeight="1">
      <c r="A32" s="36"/>
      <c r="B32" s="173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</row>
    <row r="33" ht="15.75" customHeight="1">
      <c r="A33" s="36"/>
      <c r="B33" s="173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</row>
    <row r="34" ht="15.75" customHeight="1">
      <c r="A34" s="36"/>
      <c r="B34" s="36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</row>
    <row r="35" ht="15.75" customHeight="1">
      <c r="A35" s="173"/>
      <c r="B35" s="173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</row>
    <row r="36" ht="15.75" customHeight="1">
      <c r="A36" s="1"/>
      <c r="B36" s="1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</row>
    <row r="37" ht="15.75" customHeight="1">
      <c r="A37" s="1"/>
      <c r="B37" s="1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</row>
    <row r="38" ht="15.75" customHeight="1">
      <c r="A38" s="186" t="s">
        <v>1506</v>
      </c>
      <c r="B38" s="36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</row>
    <row r="39" ht="15.75" customHeight="1">
      <c r="A39" s="36" t="s">
        <v>1516</v>
      </c>
      <c r="B39" s="150" t="str">
        <f t="shared" ref="B39:B46" si="5">_xludf.ifna(_xlfn.XLOOKUP(A39,E:E,F:F),0)+_xludf.ifna(_xlfn.XLOOKUP(A39,I:I,J:J),0)+_xludf.ifna(_xlfn.XLOOKUP(A39,M:M,N:N),0)+_xludf.ifna(_xlfn.XLOOKUP(A39,U:U,V:V),0)+_xludf.ifna(_xlfn.XLOOKUP(A39,Y:Y,Z:Z),0)+_xludf.ifna(_xlfn.XLOOKUP(A39,Q:Q,R:R),0)</f>
        <v>#NAME?</v>
      </c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</row>
    <row r="40" ht="15.75" customHeight="1">
      <c r="A40" s="36" t="s">
        <v>82</v>
      </c>
      <c r="B40" s="150" t="str">
        <f t="shared" si="5"/>
        <v>#NAME?</v>
      </c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</row>
    <row r="41" ht="15.75" customHeight="1">
      <c r="A41" s="36" t="s">
        <v>1048</v>
      </c>
      <c r="B41" s="150" t="str">
        <f t="shared" si="5"/>
        <v>#NAME?</v>
      </c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</row>
    <row r="42" ht="15.75" customHeight="1">
      <c r="A42" s="36" t="s">
        <v>95</v>
      </c>
      <c r="B42" s="150" t="str">
        <f t="shared" si="5"/>
        <v>#NAME?</v>
      </c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</row>
    <row r="43" ht="15.75" customHeight="1">
      <c r="A43" s="36" t="s">
        <v>74</v>
      </c>
      <c r="B43" s="150" t="str">
        <f t="shared" si="5"/>
        <v>#NAME?</v>
      </c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</row>
    <row r="44" ht="15.75" customHeight="1">
      <c r="A44" s="36" t="s">
        <v>47</v>
      </c>
      <c r="B44" s="150" t="str">
        <f t="shared" si="5"/>
        <v>#NAME?</v>
      </c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</row>
    <row r="45" ht="15.75" customHeight="1">
      <c r="A45" s="36" t="s">
        <v>516</v>
      </c>
      <c r="B45" s="150" t="str">
        <f t="shared" si="5"/>
        <v>#NAME?</v>
      </c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</row>
    <row r="46" ht="15.75" customHeight="1">
      <c r="A46" s="36" t="s">
        <v>1605</v>
      </c>
      <c r="B46" s="150" t="str">
        <f t="shared" si="5"/>
        <v>#NAME?</v>
      </c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</row>
    <row r="47" ht="15.75" customHeight="1">
      <c r="A47" s="1"/>
      <c r="B47" s="1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</row>
    <row r="48" ht="15.75" customHeight="1"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</row>
    <row r="49" ht="15.75" customHeight="1"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</row>
    <row r="50" ht="15.75" customHeight="1"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</row>
    <row r="51" ht="15.75" customHeight="1"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</row>
    <row r="52" ht="15.75" customHeight="1"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</row>
    <row r="53" ht="15.75" customHeight="1"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</row>
    <row r="54" ht="15.75" customHeight="1"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</row>
    <row r="55" ht="15.75" customHeight="1"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</row>
    <row r="56" ht="15.75" customHeight="1"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</row>
    <row r="57" ht="15.75" customHeight="1"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</row>
    <row r="58" ht="15.75" customHeight="1"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</row>
    <row r="59" ht="15.75" customHeight="1"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</row>
    <row r="60" ht="15.75" customHeight="1"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</row>
    <row r="61" ht="15.75" customHeight="1"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</row>
    <row r="62" ht="15.75" customHeight="1"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</row>
    <row r="63" ht="15.75" customHeight="1"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</row>
    <row r="64" ht="15.75" customHeight="1"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</row>
    <row r="65" ht="15.75" customHeight="1"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</row>
    <row r="66" ht="15.75" customHeight="1"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</row>
    <row r="67" ht="15.75" customHeight="1"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</row>
    <row r="68" ht="15.75" customHeight="1"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</row>
    <row r="69" ht="15.75" customHeight="1"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</row>
    <row r="70" ht="15.75" customHeight="1"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</row>
    <row r="71" ht="15.75" customHeight="1"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</row>
    <row r="72" ht="15.75" customHeight="1"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</row>
    <row r="73" ht="15.75" customHeight="1"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</row>
    <row r="74" ht="15.75" customHeight="1"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</row>
    <row r="75" ht="15.75" customHeight="1"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</row>
    <row r="76" ht="15.75" customHeight="1"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</row>
    <row r="77" ht="15.75" customHeight="1"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</row>
    <row r="78" ht="15.75" customHeight="1"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</row>
    <row r="79" ht="15.75" customHeight="1"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</row>
    <row r="80" ht="15.75" customHeight="1"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</row>
    <row r="81" ht="15.75" customHeight="1"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</row>
    <row r="82" ht="15.75" customHeight="1"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</row>
    <row r="83" ht="15.75" customHeight="1"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</row>
    <row r="84" ht="15.75" customHeight="1"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</row>
    <row r="85" ht="15.75" customHeight="1"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</row>
    <row r="86" ht="15.75" customHeight="1"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</row>
    <row r="87" ht="15.75" customHeight="1"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</row>
    <row r="88" ht="15.75" customHeight="1"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</row>
    <row r="89" ht="15.75" customHeight="1"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</row>
    <row r="90" ht="15.75" customHeight="1"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</row>
    <row r="91" ht="15.75" customHeight="1"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</row>
    <row r="92" ht="15.75" customHeight="1"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</row>
    <row r="93" ht="15.75" customHeight="1"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</row>
    <row r="94" ht="15.75" customHeight="1"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</row>
    <row r="95" ht="15.75" customHeight="1"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</row>
    <row r="96" ht="15.75" customHeight="1"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</row>
    <row r="97" ht="15.75" customHeight="1"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</row>
    <row r="98" ht="15.75" customHeight="1"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</row>
    <row r="99" ht="15.75" customHeight="1"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</row>
    <row r="100" ht="15.75" customHeight="1"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</row>
    <row r="101" ht="15.75" customHeight="1"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</row>
    <row r="102" ht="15.75" customHeight="1"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</row>
    <row r="103" ht="15.75" customHeight="1"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</row>
    <row r="104" ht="15.75" customHeight="1"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</row>
    <row r="105" ht="15.75" customHeight="1"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</row>
    <row r="106" ht="15.75" customHeight="1"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</row>
    <row r="107" ht="15.75" customHeight="1"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</row>
    <row r="108" ht="15.75" customHeight="1"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</row>
    <row r="109" ht="15.75" customHeight="1"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</row>
    <row r="110" ht="15.75" customHeight="1"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</row>
    <row r="111" ht="15.75" customHeight="1"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</row>
    <row r="112" ht="15.75" customHeight="1"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</row>
    <row r="113" ht="15.75" customHeight="1"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</row>
    <row r="114" ht="15.75" customHeight="1"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</row>
    <row r="115" ht="15.75" customHeight="1"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</row>
    <row r="116" ht="15.75" customHeight="1"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</row>
    <row r="117" ht="15.75" customHeight="1"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</row>
    <row r="118" ht="15.75" customHeight="1"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</row>
    <row r="119" ht="15.75" customHeight="1"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</row>
    <row r="120" ht="15.75" customHeight="1"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</row>
    <row r="121" ht="15.75" customHeight="1"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</row>
    <row r="122" ht="15.75" customHeight="1"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</row>
    <row r="123" ht="15.75" customHeight="1"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</row>
    <row r="124" ht="15.75" customHeight="1"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</row>
    <row r="125" ht="15.75" customHeight="1"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</row>
    <row r="126" ht="15.75" customHeight="1"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</row>
    <row r="127" ht="15.75" customHeight="1"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</row>
    <row r="128" ht="15.75" customHeight="1"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</row>
    <row r="129" ht="15.75" customHeight="1"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</row>
    <row r="130" ht="15.75" customHeight="1"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</row>
    <row r="131" ht="15.75" customHeight="1"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</row>
    <row r="132" ht="15.75" customHeight="1"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</row>
    <row r="133" ht="15.75" customHeight="1"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</row>
    <row r="134" ht="15.75" customHeight="1"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</row>
    <row r="135" ht="15.75" customHeight="1"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</row>
    <row r="136" ht="15.75" customHeight="1"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</row>
    <row r="137" ht="15.75" customHeight="1"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</row>
    <row r="138" ht="15.75" customHeight="1"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</row>
    <row r="139" ht="15.75" customHeight="1"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</row>
    <row r="140" ht="15.75" customHeight="1"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</row>
    <row r="141" ht="15.75" customHeight="1"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</row>
    <row r="142" ht="15.75" customHeight="1"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</row>
    <row r="143" ht="15.75" customHeight="1"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</row>
    <row r="144" ht="15.75" customHeight="1"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</row>
    <row r="145" ht="15.75" customHeight="1"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</row>
    <row r="146" ht="15.75" customHeight="1"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</row>
    <row r="147" ht="15.75" customHeight="1"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</row>
    <row r="148" ht="15.75" customHeight="1"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</row>
    <row r="149" ht="15.75" customHeight="1"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</row>
    <row r="150" ht="15.75" customHeight="1"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</row>
    <row r="151" ht="15.75" customHeight="1"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</row>
    <row r="152" ht="15.75" customHeight="1"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</row>
    <row r="153" ht="15.75" customHeight="1"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</row>
    <row r="154" ht="15.75" customHeight="1"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</row>
    <row r="155" ht="15.75" customHeight="1"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</row>
    <row r="156" ht="15.75" customHeight="1"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</row>
    <row r="157" ht="15.75" customHeight="1"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</row>
    <row r="158" ht="15.75" customHeight="1"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</row>
    <row r="159" ht="15.75" customHeight="1"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</row>
    <row r="160" ht="15.75" customHeight="1"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</row>
    <row r="161" ht="15.75" customHeight="1"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</row>
    <row r="162" ht="15.75" customHeight="1"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</row>
    <row r="163" ht="15.75" customHeight="1"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</row>
    <row r="164" ht="15.75" customHeight="1"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</row>
    <row r="165" ht="15.75" customHeight="1"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</row>
    <row r="166" ht="15.75" customHeight="1"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</row>
    <row r="167" ht="15.75" customHeight="1"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</row>
    <row r="168" ht="15.75" customHeight="1"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</row>
    <row r="169" ht="15.75" customHeight="1"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</row>
    <row r="170" ht="15.75" customHeight="1"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</row>
    <row r="171" ht="15.75" customHeight="1"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</row>
    <row r="172" ht="15.75" customHeight="1"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</row>
    <row r="173" ht="15.75" customHeight="1"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</row>
    <row r="174" ht="15.75" customHeight="1"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</row>
    <row r="175" ht="15.75" customHeight="1"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</row>
    <row r="176" ht="15.75" customHeight="1"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</row>
    <row r="177" ht="15.75" customHeight="1"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</row>
    <row r="178" ht="15.75" customHeight="1"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</row>
    <row r="179" ht="15.75" customHeight="1"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</row>
    <row r="180" ht="15.75" customHeight="1"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</row>
    <row r="181" ht="15.75" customHeight="1"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</row>
    <row r="182" ht="15.75" customHeight="1"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</row>
    <row r="183" ht="15.75" customHeight="1"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</row>
    <row r="184" ht="15.75" customHeight="1"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</row>
    <row r="185" ht="15.75" customHeight="1"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</row>
    <row r="186" ht="15.75" customHeight="1"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</row>
    <row r="187" ht="15.75" customHeight="1"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</row>
    <row r="188" ht="15.75" customHeight="1"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</row>
    <row r="189" ht="15.75" customHeight="1"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</row>
    <row r="190" ht="15.75" customHeight="1"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</row>
    <row r="191" ht="15.75" customHeight="1"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</row>
    <row r="192" ht="15.75" customHeight="1"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</row>
    <row r="193" ht="15.75" customHeight="1"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</row>
    <row r="194" ht="15.75" customHeight="1"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</row>
    <row r="195" ht="15.75" customHeight="1"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</row>
    <row r="196" ht="15.75" customHeight="1"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</row>
    <row r="197" ht="15.75" customHeight="1"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</row>
    <row r="198" ht="15.75" customHeight="1"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</row>
    <row r="199" ht="15.75" customHeight="1"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</row>
    <row r="200" ht="15.75" customHeight="1"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</row>
    <row r="201" ht="15.75" customHeight="1"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</row>
    <row r="202" ht="15.75" customHeight="1"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</row>
    <row r="203" ht="15.75" customHeight="1"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</row>
    <row r="204" ht="15.75" customHeight="1"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</row>
    <row r="205" ht="15.75" customHeight="1"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</row>
    <row r="206" ht="15.75" customHeight="1"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</row>
    <row r="207" ht="15.75" customHeight="1"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</row>
    <row r="208" ht="15.75" customHeight="1"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</row>
    <row r="209" ht="15.75" customHeight="1"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</row>
    <row r="210" ht="15.75" customHeight="1"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</row>
    <row r="211" ht="15.75" customHeight="1"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</row>
    <row r="212" ht="15.75" customHeight="1"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</row>
    <row r="213" ht="15.75" customHeight="1"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</row>
    <row r="214" ht="15.75" customHeight="1"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</row>
    <row r="215" ht="15.75" customHeight="1"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</row>
    <row r="216" ht="15.75" customHeight="1"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</row>
    <row r="217" ht="15.75" customHeight="1"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</row>
    <row r="218" ht="15.75" customHeight="1"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</row>
    <row r="219" ht="15.75" customHeight="1"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</row>
    <row r="220" ht="15.75" customHeight="1"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</row>
    <row r="221" ht="15.75" customHeight="1"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</row>
    <row r="222" ht="15.75" customHeight="1"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</row>
    <row r="223" ht="15.75" customHeight="1"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</row>
    <row r="224" ht="15.75" customHeight="1"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</row>
    <row r="225" ht="15.75" customHeight="1"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</row>
    <row r="226" ht="15.75" customHeight="1"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</row>
    <row r="227" ht="15.75" customHeight="1"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</row>
    <row r="228" ht="15.75" customHeight="1"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</row>
    <row r="229" ht="15.75" customHeight="1"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</row>
    <row r="230" ht="15.75" customHeight="1"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</row>
    <row r="231" ht="15.75" customHeight="1"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</row>
    <row r="232" ht="15.75" customHeight="1"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</row>
    <row r="233" ht="15.75" customHeight="1"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</row>
    <row r="234" ht="15.75" customHeight="1"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</row>
    <row r="235" ht="15.75" customHeight="1"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</row>
    <row r="236" ht="15.75" customHeight="1"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</row>
    <row r="237" ht="15.75" customHeight="1"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</row>
    <row r="238" ht="15.75" customHeight="1"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</row>
    <row r="239" ht="15.75" customHeight="1"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</row>
    <row r="240" ht="15.75" customHeight="1"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</row>
    <row r="241" ht="15.75" customHeight="1"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</row>
    <row r="242" ht="15.75" customHeight="1"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</row>
    <row r="243" ht="15.75" customHeight="1"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</row>
    <row r="244" ht="15.75" customHeight="1"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</row>
    <row r="245" ht="15.75" customHeight="1"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</row>
    <row r="246" ht="15.75" customHeight="1"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Yes Master 264" location="'YES Master 0264'!A1" ref="F1"/>
    <hyperlink display="Yes Rera 377" location="'YES Rera 0377'!A1" ref="J1"/>
    <hyperlink display="Yes IDW 490" location="'YES IDW 0490'!A1" ref="N1"/>
    <hyperlink display="Yes Free 2477" location="'YES CR Free 2477'!A1" ref="R1"/>
    <hyperlink display="Bom Free 905" location="'BOM 905'!A1" ref="V1"/>
    <hyperlink display="Bom Free 675" location="'BOM 675'!A1" ref="Z1"/>
    <hyperlink display="Yes AH IDW 2457" location="'YES AH IDW 2457'!A1" ref="AD1"/>
    <hyperlink display="Yes AH Master 2314" location="'YES AH 2314'!A1" ref="AH1"/>
  </hyperlinks>
  <printOptions/>
  <pageMargins bottom="0.75" footer="0.0" header="0.0" left="0.7" right="0.7" top="0.75"/>
  <pageSetup orientation="landscape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 outlineLevelCol="1"/>
  <cols>
    <col customWidth="1" min="1" max="1" width="44.75"/>
    <col customWidth="1" min="5" max="5" width="17.63"/>
    <col customWidth="1" min="6" max="6" width="13.75"/>
    <col customWidth="1" min="7" max="7" width="22.88"/>
  </cols>
  <sheetData>
    <row r="1">
      <c r="A1" s="184" t="s">
        <v>1457</v>
      </c>
      <c r="B1" s="184" t="s">
        <v>1458</v>
      </c>
      <c r="C1" s="184" t="s">
        <v>1459</v>
      </c>
      <c r="D1" s="184" t="s">
        <v>1460</v>
      </c>
      <c r="E1" s="184" t="s">
        <v>1461</v>
      </c>
      <c r="F1" s="184" t="s">
        <v>1462</v>
      </c>
      <c r="G1" s="184" t="s">
        <v>1463</v>
      </c>
      <c r="H1" s="184" t="s">
        <v>1464</v>
      </c>
    </row>
    <row r="2">
      <c r="A2" s="185" t="s">
        <v>1465</v>
      </c>
      <c r="B2" s="185" t="s">
        <v>67</v>
      </c>
      <c r="E2" s="185">
        <v>1.511330945E9</v>
      </c>
      <c r="F2" s="185" t="s">
        <v>1466</v>
      </c>
      <c r="G2" s="185" t="s">
        <v>1467</v>
      </c>
      <c r="H2" s="185" t="s">
        <v>568</v>
      </c>
    </row>
    <row r="3">
      <c r="A3" s="185" t="s">
        <v>1468</v>
      </c>
      <c r="B3" s="185" t="s">
        <v>55</v>
      </c>
      <c r="E3" s="185">
        <v>3.258793038E9</v>
      </c>
      <c r="F3" s="185" t="s">
        <v>1469</v>
      </c>
      <c r="G3" s="185" t="s">
        <v>1470</v>
      </c>
      <c r="H3" s="185" t="s">
        <v>568</v>
      </c>
    </row>
    <row r="4">
      <c r="A4" s="185" t="s">
        <v>1471</v>
      </c>
      <c r="B4" s="185" t="s">
        <v>55</v>
      </c>
      <c r="E4" s="185">
        <v>3.616413226E9</v>
      </c>
      <c r="F4" s="185" t="s">
        <v>1472</v>
      </c>
      <c r="G4" s="185" t="s">
        <v>1470</v>
      </c>
      <c r="H4" s="185" t="s">
        <v>568</v>
      </c>
    </row>
    <row r="5">
      <c r="A5" s="185" t="s">
        <v>1473</v>
      </c>
      <c r="B5" s="185" t="s">
        <v>67</v>
      </c>
      <c r="E5" s="185">
        <v>3.882579273E9</v>
      </c>
      <c r="F5" s="185" t="s">
        <v>1474</v>
      </c>
      <c r="G5" s="185" t="s">
        <v>1475</v>
      </c>
      <c r="H5" s="185" t="s">
        <v>1476</v>
      </c>
    </row>
    <row r="6">
      <c r="A6" s="185" t="s">
        <v>1477</v>
      </c>
      <c r="B6" s="185" t="s">
        <v>1478</v>
      </c>
      <c r="E6" s="185">
        <v>4.212806641E9</v>
      </c>
      <c r="F6" s="185" t="s">
        <v>1479</v>
      </c>
      <c r="G6" s="185" t="s">
        <v>1467</v>
      </c>
      <c r="H6" s="185" t="s">
        <v>1476</v>
      </c>
    </row>
    <row r="7">
      <c r="A7" s="185" t="s">
        <v>1480</v>
      </c>
      <c r="B7" s="185" t="s">
        <v>67</v>
      </c>
      <c r="E7" s="185">
        <v>4.811468615E9</v>
      </c>
      <c r="F7" s="185" t="s">
        <v>1481</v>
      </c>
      <c r="G7" s="185" t="s">
        <v>1467</v>
      </c>
      <c r="H7" s="185" t="s">
        <v>568</v>
      </c>
    </row>
    <row r="8">
      <c r="A8" s="185" t="s">
        <v>1482</v>
      </c>
      <c r="B8" s="185" t="s">
        <v>67</v>
      </c>
      <c r="E8" s="185">
        <v>5.342779422E9</v>
      </c>
      <c r="F8" s="185" t="s">
        <v>1474</v>
      </c>
      <c r="G8" s="185" t="s">
        <v>1483</v>
      </c>
      <c r="H8" s="185" t="s">
        <v>1476</v>
      </c>
    </row>
    <row r="9">
      <c r="A9" s="185" t="s">
        <v>1485</v>
      </c>
      <c r="B9" s="185" t="s">
        <v>110</v>
      </c>
      <c r="E9" s="185">
        <v>6.584839297E9</v>
      </c>
      <c r="F9" s="185" t="s">
        <v>1486</v>
      </c>
      <c r="G9" s="185" t="s">
        <v>1487</v>
      </c>
      <c r="H9" s="185" t="s">
        <v>568</v>
      </c>
    </row>
    <row r="10">
      <c r="A10" s="185" t="s">
        <v>1488</v>
      </c>
      <c r="B10" s="185" t="s">
        <v>118</v>
      </c>
      <c r="E10" s="185">
        <v>1.0072753875E10</v>
      </c>
      <c r="F10" s="185" t="s">
        <v>1489</v>
      </c>
      <c r="G10" s="185" t="s">
        <v>1490</v>
      </c>
      <c r="H10" s="185" t="s">
        <v>1476</v>
      </c>
    </row>
    <row r="11">
      <c r="A11" s="185" t="s">
        <v>1491</v>
      </c>
      <c r="B11" s="185" t="s">
        <v>67</v>
      </c>
      <c r="E11" s="185">
        <v>1.0104346266E10</v>
      </c>
      <c r="F11" s="185" t="s">
        <v>1492</v>
      </c>
      <c r="G11" s="185" t="s">
        <v>1493</v>
      </c>
      <c r="H11" s="185" t="s">
        <v>1476</v>
      </c>
    </row>
    <row r="12">
      <c r="A12" s="185" t="s">
        <v>1494</v>
      </c>
      <c r="B12" s="185" t="s">
        <v>94</v>
      </c>
      <c r="E12" s="185">
        <v>1.0212316114E10</v>
      </c>
      <c r="F12" s="185" t="s">
        <v>1495</v>
      </c>
      <c r="G12" s="185" t="s">
        <v>1490</v>
      </c>
      <c r="H12" s="185" t="s">
        <v>1476</v>
      </c>
    </row>
    <row r="13">
      <c r="A13" s="185" t="s">
        <v>1496</v>
      </c>
      <c r="B13" s="185" t="s">
        <v>67</v>
      </c>
      <c r="E13" s="185">
        <v>2.0024990681E10</v>
      </c>
      <c r="F13" s="185" t="s">
        <v>1497</v>
      </c>
      <c r="G13" s="185" t="s">
        <v>1499</v>
      </c>
      <c r="H13" s="185" t="s">
        <v>1476</v>
      </c>
    </row>
    <row r="14">
      <c r="A14" s="185" t="s">
        <v>1500</v>
      </c>
      <c r="B14" s="185" t="s">
        <v>55</v>
      </c>
      <c r="E14" s="185">
        <v>2.0183923879E10</v>
      </c>
      <c r="F14" s="185" t="s">
        <v>1501</v>
      </c>
      <c r="G14" s="185" t="s">
        <v>1502</v>
      </c>
      <c r="H14" s="185" t="s">
        <v>568</v>
      </c>
    </row>
    <row r="15">
      <c r="A15" s="185" t="s">
        <v>1503</v>
      </c>
      <c r="B15" s="185" t="s">
        <v>110</v>
      </c>
      <c r="E15" s="185">
        <v>2.0312016596E10</v>
      </c>
      <c r="F15" s="185" t="s">
        <v>1504</v>
      </c>
      <c r="G15" s="185" t="s">
        <v>1502</v>
      </c>
      <c r="H15" s="185" t="s">
        <v>568</v>
      </c>
    </row>
    <row r="16">
      <c r="A16" s="185" t="s">
        <v>1505</v>
      </c>
      <c r="B16" s="185" t="s">
        <v>110</v>
      </c>
      <c r="E16" s="185">
        <v>2.0370831804E10</v>
      </c>
      <c r="F16" s="185" t="s">
        <v>1507</v>
      </c>
      <c r="G16" s="185" t="s">
        <v>1502</v>
      </c>
      <c r="H16" s="185" t="s">
        <v>568</v>
      </c>
    </row>
    <row r="17">
      <c r="A17" s="185" t="s">
        <v>1508</v>
      </c>
      <c r="E17" s="185">
        <v>2.0391220986E10</v>
      </c>
      <c r="F17" s="185" t="s">
        <v>1509</v>
      </c>
      <c r="G17" s="185" t="s">
        <v>1510</v>
      </c>
      <c r="H17" s="185" t="s">
        <v>1476</v>
      </c>
    </row>
    <row r="18">
      <c r="A18" s="185" t="s">
        <v>1511</v>
      </c>
      <c r="E18" s="185">
        <v>2.0391919785E10</v>
      </c>
      <c r="F18" s="185" t="s">
        <v>1507</v>
      </c>
      <c r="G18" s="185" t="s">
        <v>1512</v>
      </c>
      <c r="H18" s="185" t="s">
        <v>1476</v>
      </c>
    </row>
    <row r="19">
      <c r="A19" s="185" t="s">
        <v>1513</v>
      </c>
      <c r="B19" s="185" t="s">
        <v>55</v>
      </c>
      <c r="E19" s="185">
        <v>2.0394371264E10</v>
      </c>
      <c r="F19" s="185" t="s">
        <v>1504</v>
      </c>
      <c r="G19" s="185" t="s">
        <v>1502</v>
      </c>
      <c r="H19" s="185" t="s">
        <v>568</v>
      </c>
    </row>
    <row r="20">
      <c r="A20" s="185" t="s">
        <v>1514</v>
      </c>
      <c r="B20" s="185" t="s">
        <v>1515</v>
      </c>
      <c r="E20" s="185">
        <v>2.0402560091E10</v>
      </c>
      <c r="F20" s="185" t="s">
        <v>1504</v>
      </c>
      <c r="G20" s="185" t="s">
        <v>1510</v>
      </c>
      <c r="H20" s="185" t="s">
        <v>1476</v>
      </c>
    </row>
    <row r="21">
      <c r="A21" s="185" t="s">
        <v>1517</v>
      </c>
      <c r="B21" s="185" t="s">
        <v>67</v>
      </c>
      <c r="E21" s="185">
        <v>2.2505001496E10</v>
      </c>
      <c r="F21" s="185" t="s">
        <v>1518</v>
      </c>
      <c r="G21" s="185" t="s">
        <v>1519</v>
      </c>
      <c r="H21" s="185" t="s">
        <v>1476</v>
      </c>
    </row>
    <row r="22">
      <c r="A22" s="185" t="s">
        <v>1520</v>
      </c>
      <c r="B22" s="185" t="s">
        <v>1478</v>
      </c>
      <c r="E22" s="185">
        <v>3.2876376366E10</v>
      </c>
      <c r="F22" s="185" t="s">
        <v>1521</v>
      </c>
      <c r="G22" s="185" t="s">
        <v>1499</v>
      </c>
      <c r="H22" s="185" t="s">
        <v>1476</v>
      </c>
    </row>
    <row r="23">
      <c r="A23" s="185" t="s">
        <v>1522</v>
      </c>
      <c r="B23" s="185" t="s">
        <v>118</v>
      </c>
      <c r="E23" s="185">
        <v>3.3001523785E10</v>
      </c>
      <c r="F23" s="185" t="s">
        <v>1523</v>
      </c>
      <c r="G23" s="185" t="s">
        <v>1524</v>
      </c>
      <c r="H23" s="185" t="s">
        <v>1476</v>
      </c>
    </row>
    <row r="24">
      <c r="A24" s="185" t="s">
        <v>1525</v>
      </c>
      <c r="B24" s="185" t="s">
        <v>118</v>
      </c>
      <c r="E24" s="185">
        <v>3.3105500696E10</v>
      </c>
      <c r="F24" s="185" t="s">
        <v>1526</v>
      </c>
      <c r="G24" s="185" t="s">
        <v>1519</v>
      </c>
      <c r="H24" s="185" t="s">
        <v>1476</v>
      </c>
    </row>
    <row r="25">
      <c r="A25" s="185" t="s">
        <v>1527</v>
      </c>
      <c r="B25" s="185" t="s">
        <v>1528</v>
      </c>
      <c r="E25" s="185">
        <v>3.3123254011E10</v>
      </c>
      <c r="F25" s="185" t="s">
        <v>1529</v>
      </c>
      <c r="G25" s="185" t="s">
        <v>1499</v>
      </c>
      <c r="H25" s="185" t="s">
        <v>1476</v>
      </c>
    </row>
    <row r="26">
      <c r="A26" s="185" t="s">
        <v>1530</v>
      </c>
      <c r="B26" s="185" t="s">
        <v>94</v>
      </c>
      <c r="E26" s="185">
        <v>3.3855369163E10</v>
      </c>
      <c r="F26" s="185" t="s">
        <v>1531</v>
      </c>
      <c r="G26" s="185" t="s">
        <v>1499</v>
      </c>
      <c r="H26" s="185" t="s">
        <v>1476</v>
      </c>
    </row>
    <row r="27">
      <c r="A27" s="185" t="s">
        <v>1532</v>
      </c>
      <c r="B27" s="185" t="s">
        <v>118</v>
      </c>
      <c r="E27" s="185">
        <v>3.6227913326E10</v>
      </c>
      <c r="F27" s="185" t="s">
        <v>1533</v>
      </c>
      <c r="G27" s="185" t="s">
        <v>1499</v>
      </c>
      <c r="H27" s="185" t="s">
        <v>1476</v>
      </c>
    </row>
    <row r="28">
      <c r="A28" s="185" t="s">
        <v>1534</v>
      </c>
      <c r="E28" s="185">
        <v>3.7983513759E10</v>
      </c>
      <c r="F28" s="185" t="s">
        <v>1535</v>
      </c>
      <c r="G28" s="185" t="s">
        <v>1499</v>
      </c>
      <c r="H28" s="185" t="s">
        <v>1476</v>
      </c>
    </row>
    <row r="29">
      <c r="A29" s="185" t="s">
        <v>1536</v>
      </c>
      <c r="B29" s="185" t="s">
        <v>55</v>
      </c>
      <c r="C29" s="185" t="s">
        <v>110</v>
      </c>
      <c r="E29" s="185">
        <v>3.8492895736E10</v>
      </c>
      <c r="F29" s="185" t="s">
        <v>1497</v>
      </c>
      <c r="G29" s="185" t="s">
        <v>1538</v>
      </c>
      <c r="H29" s="185" t="s">
        <v>568</v>
      </c>
    </row>
    <row r="30">
      <c r="A30" s="185" t="s">
        <v>1539</v>
      </c>
      <c r="B30" s="185" t="s">
        <v>1515</v>
      </c>
      <c r="E30" s="185">
        <v>3.9393190027E10</v>
      </c>
      <c r="F30" s="185" t="s">
        <v>1540</v>
      </c>
      <c r="G30" s="185" t="s">
        <v>1541</v>
      </c>
      <c r="H30" s="185" t="s">
        <v>1476</v>
      </c>
    </row>
    <row r="31">
      <c r="A31" s="185" t="s">
        <v>1542</v>
      </c>
      <c r="B31" s="185" t="s">
        <v>67</v>
      </c>
      <c r="E31" s="185">
        <v>4.0378296034E10</v>
      </c>
      <c r="F31" s="185" t="s">
        <v>1497</v>
      </c>
      <c r="G31" s="185" t="s">
        <v>1499</v>
      </c>
      <c r="H31" s="185" t="s">
        <v>1476</v>
      </c>
    </row>
    <row r="32">
      <c r="A32" s="185" t="s">
        <v>1543</v>
      </c>
      <c r="B32" s="185" t="s">
        <v>110</v>
      </c>
      <c r="E32" s="185">
        <v>4.1051413945E10</v>
      </c>
      <c r="F32" s="185" t="s">
        <v>1497</v>
      </c>
      <c r="G32" s="185" t="s">
        <v>1538</v>
      </c>
      <c r="H32" s="185" t="s">
        <v>568</v>
      </c>
    </row>
    <row r="33">
      <c r="A33" s="185" t="s">
        <v>1544</v>
      </c>
      <c r="B33" s="185" t="s">
        <v>67</v>
      </c>
      <c r="E33" s="185">
        <v>4.2098333262E10</v>
      </c>
      <c r="F33" s="185" t="s">
        <v>1545</v>
      </c>
      <c r="G33" s="185" t="s">
        <v>1499</v>
      </c>
      <c r="H33" s="185" t="s">
        <v>1476</v>
      </c>
    </row>
    <row r="34">
      <c r="A34" s="185" t="s">
        <v>1546</v>
      </c>
      <c r="B34" s="185" t="s">
        <v>1547</v>
      </c>
      <c r="E34" s="185">
        <v>4.3822953165E10</v>
      </c>
      <c r="F34" s="185" t="s">
        <v>1548</v>
      </c>
      <c r="G34" s="185" t="s">
        <v>1538</v>
      </c>
      <c r="H34" s="185" t="s">
        <v>1476</v>
      </c>
    </row>
    <row r="35">
      <c r="A35" s="185" t="s">
        <v>1549</v>
      </c>
      <c r="B35" s="185" t="s">
        <v>55</v>
      </c>
      <c r="E35" s="185">
        <v>4.3937060035E10</v>
      </c>
      <c r="F35" s="185" t="s">
        <v>1540</v>
      </c>
      <c r="G35" s="185" t="s">
        <v>1538</v>
      </c>
      <c r="H35" s="185" t="s">
        <v>568</v>
      </c>
    </row>
    <row r="36">
      <c r="A36" s="185" t="s">
        <v>1550</v>
      </c>
      <c r="B36" s="185" t="s">
        <v>118</v>
      </c>
      <c r="E36" s="185">
        <v>4.4025486211E10</v>
      </c>
      <c r="F36" s="185" t="s">
        <v>1551</v>
      </c>
      <c r="G36" s="185" t="s">
        <v>1499</v>
      </c>
      <c r="H36" s="185" t="s">
        <v>1476</v>
      </c>
    </row>
    <row r="37">
      <c r="A37" s="185" t="s">
        <v>1552</v>
      </c>
      <c r="B37" s="185" t="s">
        <v>1553</v>
      </c>
      <c r="E37" s="185">
        <v>4.4733498685E10</v>
      </c>
      <c r="F37" s="185" t="s">
        <v>1545</v>
      </c>
      <c r="G37" s="185" t="s">
        <v>1499</v>
      </c>
      <c r="H37" s="185" t="s">
        <v>1476</v>
      </c>
    </row>
    <row r="38">
      <c r="A38" s="185" t="s">
        <v>1554</v>
      </c>
      <c r="B38" s="185" t="s">
        <v>67</v>
      </c>
      <c r="E38" s="185">
        <v>5.000581878E10</v>
      </c>
      <c r="F38" s="185" t="s">
        <v>1555</v>
      </c>
      <c r="G38" s="185" t="s">
        <v>1487</v>
      </c>
      <c r="H38" s="185" t="s">
        <v>1476</v>
      </c>
    </row>
    <row r="39">
      <c r="A39" s="185" t="s">
        <v>1556</v>
      </c>
      <c r="B39" s="185" t="s">
        <v>67</v>
      </c>
      <c r="E39" s="185">
        <v>5.0022343815E10</v>
      </c>
      <c r="F39" s="185" t="s">
        <v>1557</v>
      </c>
      <c r="G39" s="185" t="s">
        <v>1558</v>
      </c>
      <c r="H39" s="185" t="s">
        <v>568</v>
      </c>
    </row>
    <row r="40">
      <c r="A40" s="185" t="s">
        <v>1559</v>
      </c>
      <c r="B40" s="185" t="s">
        <v>67</v>
      </c>
      <c r="E40" s="185">
        <v>5.0419474077E10</v>
      </c>
      <c r="F40" s="185" t="s">
        <v>1560</v>
      </c>
      <c r="G40" s="185" t="s">
        <v>1487</v>
      </c>
      <c r="H40" s="185" t="s">
        <v>568</v>
      </c>
    </row>
    <row r="41">
      <c r="A41" s="185" t="s">
        <v>1561</v>
      </c>
      <c r="B41" s="185" t="s">
        <v>67</v>
      </c>
      <c r="E41" s="185">
        <v>5.0423293914E10</v>
      </c>
      <c r="F41" s="185" t="s">
        <v>1562</v>
      </c>
      <c r="G41" s="185" t="s">
        <v>1487</v>
      </c>
      <c r="H41" s="185" t="s">
        <v>568</v>
      </c>
    </row>
    <row r="42">
      <c r="A42" s="185" t="s">
        <v>1563</v>
      </c>
      <c r="B42" s="185" t="s">
        <v>1528</v>
      </c>
      <c r="E42" s="185">
        <v>5.0522646062E10</v>
      </c>
      <c r="F42" s="185" t="s">
        <v>1564</v>
      </c>
      <c r="G42" s="185" t="s">
        <v>1487</v>
      </c>
      <c r="H42" s="185" t="s">
        <v>1476</v>
      </c>
    </row>
    <row r="43">
      <c r="A43" s="185" t="s">
        <v>1565</v>
      </c>
      <c r="B43" s="185" t="s">
        <v>55</v>
      </c>
      <c r="E43" s="185">
        <v>5.5150532376E10</v>
      </c>
      <c r="F43" s="185" t="s">
        <v>1566</v>
      </c>
      <c r="G43" s="185" t="s">
        <v>1538</v>
      </c>
      <c r="H43" s="185" t="s">
        <v>568</v>
      </c>
    </row>
    <row r="44">
      <c r="A44" s="185" t="s">
        <v>1567</v>
      </c>
      <c r="B44" s="185" t="s">
        <v>118</v>
      </c>
      <c r="E44" s="185">
        <v>5.5161945735E10</v>
      </c>
      <c r="F44" s="185" t="s">
        <v>1568</v>
      </c>
      <c r="G44" s="185" t="s">
        <v>1499</v>
      </c>
      <c r="H44" s="185" t="s">
        <v>1476</v>
      </c>
    </row>
    <row r="45">
      <c r="A45" s="185" t="s">
        <v>1569</v>
      </c>
      <c r="B45" s="185" t="s">
        <v>67</v>
      </c>
      <c r="E45" s="185">
        <v>6.023773131E10</v>
      </c>
      <c r="F45" s="185" t="s">
        <v>1570</v>
      </c>
      <c r="G45" s="185" t="s">
        <v>1571</v>
      </c>
      <c r="H45" s="185" t="s">
        <v>1476</v>
      </c>
    </row>
    <row r="46">
      <c r="A46" s="185" t="s">
        <v>1573</v>
      </c>
      <c r="B46" s="185" t="s">
        <v>94</v>
      </c>
      <c r="E46" s="185">
        <v>6.0502552976E10</v>
      </c>
      <c r="F46" s="185" t="s">
        <v>1575</v>
      </c>
      <c r="G46" s="185" t="s">
        <v>1576</v>
      </c>
      <c r="H46" s="185" t="s">
        <v>1476</v>
      </c>
    </row>
    <row r="47">
      <c r="A47" s="185" t="s">
        <v>1578</v>
      </c>
      <c r="B47" s="185" t="s">
        <v>67</v>
      </c>
      <c r="E47" s="185">
        <v>6.5177626432E10</v>
      </c>
      <c r="F47" s="185" t="s">
        <v>1579</v>
      </c>
      <c r="G47" s="185" t="s">
        <v>1580</v>
      </c>
      <c r="H47" s="185" t="s">
        <v>568</v>
      </c>
    </row>
    <row r="48">
      <c r="A48" s="185" t="s">
        <v>1582</v>
      </c>
      <c r="B48" s="185" t="s">
        <v>101</v>
      </c>
      <c r="E48" s="185">
        <v>6.5205872171E10</v>
      </c>
      <c r="F48" s="185" t="s">
        <v>1583</v>
      </c>
      <c r="G48" s="185" t="s">
        <v>1538</v>
      </c>
      <c r="H48" s="185" t="s">
        <v>568</v>
      </c>
    </row>
    <row r="49">
      <c r="A49" s="185" t="s">
        <v>1584</v>
      </c>
      <c r="B49" s="185" t="s">
        <v>67</v>
      </c>
      <c r="E49" s="185">
        <v>7.3891723001E10</v>
      </c>
      <c r="F49" s="185" t="s">
        <v>1586</v>
      </c>
      <c r="G49" s="185" t="s">
        <v>1587</v>
      </c>
      <c r="H49" s="185" t="s">
        <v>1476</v>
      </c>
    </row>
    <row r="50">
      <c r="A50" s="185" t="s">
        <v>1588</v>
      </c>
      <c r="B50" s="185" t="s">
        <v>67</v>
      </c>
      <c r="E50" s="185">
        <v>1.00032614023E11</v>
      </c>
      <c r="F50" s="185" t="s">
        <v>1589</v>
      </c>
      <c r="G50" s="185" t="s">
        <v>1590</v>
      </c>
      <c r="H50" s="185" t="s">
        <v>1476</v>
      </c>
    </row>
    <row r="51">
      <c r="A51" s="185" t="s">
        <v>1591</v>
      </c>
      <c r="B51" s="185" t="s">
        <v>67</v>
      </c>
      <c r="E51" s="185">
        <v>1.02505006129E11</v>
      </c>
      <c r="F51" s="185" t="s">
        <v>1592</v>
      </c>
      <c r="G51" s="185" t="s">
        <v>1593</v>
      </c>
      <c r="H51" s="185" t="s">
        <v>1476</v>
      </c>
    </row>
    <row r="52">
      <c r="A52" s="185" t="s">
        <v>1594</v>
      </c>
      <c r="B52" s="185" t="s">
        <v>110</v>
      </c>
      <c r="E52" s="185">
        <v>1.10060292009E11</v>
      </c>
      <c r="F52" s="185" t="s">
        <v>1595</v>
      </c>
      <c r="G52" s="185" t="s">
        <v>1596</v>
      </c>
      <c r="H52" s="185" t="s">
        <v>568</v>
      </c>
    </row>
    <row r="53">
      <c r="A53" s="185" t="s">
        <v>1597</v>
      </c>
      <c r="B53" s="185" t="s">
        <v>118</v>
      </c>
      <c r="E53" s="185">
        <v>1.10168630715E11</v>
      </c>
      <c r="F53" s="185" t="s">
        <v>1598</v>
      </c>
      <c r="G53" s="185" t="s">
        <v>1596</v>
      </c>
      <c r="H53" s="185" t="s">
        <v>1476</v>
      </c>
    </row>
    <row r="54">
      <c r="A54" s="185" t="s">
        <v>1599</v>
      </c>
      <c r="B54" s="185" t="s">
        <v>67</v>
      </c>
      <c r="E54" s="185">
        <v>1.13805501502E11</v>
      </c>
      <c r="F54" s="185" t="s">
        <v>1600</v>
      </c>
      <c r="G54" s="185" t="s">
        <v>1519</v>
      </c>
      <c r="H54" s="185" t="s">
        <v>1476</v>
      </c>
    </row>
    <row r="55">
      <c r="A55" s="185" t="s">
        <v>1601</v>
      </c>
      <c r="E55" s="185">
        <v>1.35301510221E11</v>
      </c>
      <c r="F55" s="185" t="s">
        <v>1602</v>
      </c>
      <c r="G55" s="185" t="s">
        <v>1524</v>
      </c>
      <c r="H55" s="185" t="s">
        <v>1476</v>
      </c>
    </row>
    <row r="56">
      <c r="A56" s="185" t="s">
        <v>1603</v>
      </c>
      <c r="B56" s="185" t="s">
        <v>67</v>
      </c>
      <c r="E56" s="185">
        <v>2.00003295384E11</v>
      </c>
      <c r="F56" s="185" t="s">
        <v>1604</v>
      </c>
      <c r="G56" s="185" t="s">
        <v>1606</v>
      </c>
      <c r="H56" s="185" t="s">
        <v>1476</v>
      </c>
    </row>
    <row r="57">
      <c r="A57" s="185" t="s">
        <v>1607</v>
      </c>
      <c r="B57" s="185" t="s">
        <v>67</v>
      </c>
      <c r="E57" s="185">
        <v>3.09003032262E11</v>
      </c>
      <c r="F57" s="185" t="s">
        <v>1608</v>
      </c>
      <c r="G57" s="185" t="s">
        <v>1609</v>
      </c>
      <c r="H57" s="185" t="s">
        <v>1476</v>
      </c>
    </row>
    <row r="58">
      <c r="A58" s="185" t="s">
        <v>1610</v>
      </c>
      <c r="B58" s="185" t="s">
        <v>94</v>
      </c>
      <c r="E58" s="185">
        <v>3.09005643671E11</v>
      </c>
      <c r="F58" s="185" t="s">
        <v>1611</v>
      </c>
      <c r="G58" s="185" t="s">
        <v>1612</v>
      </c>
      <c r="H58" s="185" t="s">
        <v>1476</v>
      </c>
    </row>
    <row r="59">
      <c r="A59" s="185" t="s">
        <v>1613</v>
      </c>
      <c r="B59" s="185" t="s">
        <v>67</v>
      </c>
      <c r="E59" s="185">
        <v>3.48905000808E11</v>
      </c>
      <c r="F59" s="185" t="s">
        <v>1614</v>
      </c>
      <c r="G59" s="185" t="s">
        <v>1524</v>
      </c>
      <c r="H59" s="185" t="s">
        <v>1476</v>
      </c>
    </row>
    <row r="60">
      <c r="A60" s="185" t="s">
        <v>1615</v>
      </c>
      <c r="B60" s="185" t="s">
        <v>118</v>
      </c>
      <c r="E60" s="185">
        <v>4.29401500371E11</v>
      </c>
      <c r="F60" s="185" t="s">
        <v>1616</v>
      </c>
      <c r="G60" s="185" t="s">
        <v>1519</v>
      </c>
      <c r="H60" s="185" t="s">
        <v>1476</v>
      </c>
    </row>
    <row r="61">
      <c r="A61" s="185" t="s">
        <v>1617</v>
      </c>
      <c r="B61" s="185" t="s">
        <v>110</v>
      </c>
      <c r="E61" s="185">
        <v>5.01043597501E11</v>
      </c>
      <c r="F61" s="185" t="s">
        <v>1618</v>
      </c>
      <c r="G61" s="185" t="s">
        <v>1619</v>
      </c>
      <c r="H61" s="185" t="s">
        <v>568</v>
      </c>
    </row>
    <row r="62">
      <c r="A62" s="185" t="s">
        <v>1620</v>
      </c>
      <c r="B62" s="185" t="s">
        <v>118</v>
      </c>
      <c r="E62" s="185">
        <v>6.59201580091E11</v>
      </c>
      <c r="F62" s="185" t="s">
        <v>1621</v>
      </c>
      <c r="G62" s="185" t="s">
        <v>1593</v>
      </c>
      <c r="H62" s="185" t="s">
        <v>1476</v>
      </c>
    </row>
    <row r="63">
      <c r="A63" s="185" t="s">
        <v>1622</v>
      </c>
      <c r="B63" s="185" t="s">
        <v>67</v>
      </c>
      <c r="E63" s="185">
        <v>6.70505500276E11</v>
      </c>
      <c r="F63" s="185" t="s">
        <v>1623</v>
      </c>
      <c r="G63" s="185" t="s">
        <v>1524</v>
      </c>
      <c r="H63" s="185" t="s">
        <v>1476</v>
      </c>
    </row>
    <row r="64">
      <c r="A64" s="185" t="s">
        <v>1624</v>
      </c>
      <c r="B64" s="185" t="s">
        <v>67</v>
      </c>
      <c r="E64" s="185">
        <v>7.72505000106E11</v>
      </c>
      <c r="F64" s="185" t="s">
        <v>1625</v>
      </c>
      <c r="G64" s="185" t="s">
        <v>1524</v>
      </c>
      <c r="H64" s="185" t="s">
        <v>1476</v>
      </c>
    </row>
    <row r="65">
      <c r="A65" s="185" t="s">
        <v>1627</v>
      </c>
      <c r="B65" s="185" t="s">
        <v>1628</v>
      </c>
      <c r="E65" s="185">
        <v>1.681000081759E12</v>
      </c>
      <c r="F65" s="185" t="s">
        <v>1629</v>
      </c>
      <c r="G65" s="185" t="s">
        <v>1630</v>
      </c>
      <c r="H65" s="185" t="s">
        <v>1476</v>
      </c>
    </row>
    <row r="66">
      <c r="A66" s="185" t="s">
        <v>1631</v>
      </c>
      <c r="B66" s="185" t="s">
        <v>1632</v>
      </c>
      <c r="E66" s="185">
        <v>1.761020000511E12</v>
      </c>
      <c r="F66" s="185" t="s">
        <v>1633</v>
      </c>
      <c r="G66" s="185" t="s">
        <v>1634</v>
      </c>
      <c r="H66" s="185" t="s">
        <v>1476</v>
      </c>
    </row>
    <row r="67">
      <c r="A67" s="185" t="s">
        <v>1635</v>
      </c>
      <c r="B67" s="185" t="s">
        <v>67</v>
      </c>
      <c r="E67" s="185">
        <v>2.05219000002E12</v>
      </c>
      <c r="F67" s="185" t="s">
        <v>1636</v>
      </c>
      <c r="G67" s="185" t="s">
        <v>1637</v>
      </c>
      <c r="H67" s="185" t="s">
        <v>1476</v>
      </c>
    </row>
    <row r="68">
      <c r="A68" s="185" t="s">
        <v>1638</v>
      </c>
      <c r="B68" s="185" t="s">
        <v>67</v>
      </c>
      <c r="E68" s="185">
        <v>2.492000010026E12</v>
      </c>
      <c r="F68" s="185" t="s">
        <v>1639</v>
      </c>
      <c r="G68" s="185" t="s">
        <v>1634</v>
      </c>
      <c r="H68" s="185" t="s">
        <v>1476</v>
      </c>
    </row>
    <row r="69">
      <c r="A69" s="185" t="s">
        <v>1640</v>
      </c>
      <c r="B69" s="185" t="s">
        <v>67</v>
      </c>
      <c r="E69" s="185">
        <v>2.822201000793E12</v>
      </c>
      <c r="F69" s="185" t="s">
        <v>1641</v>
      </c>
      <c r="G69" s="185" t="s">
        <v>1596</v>
      </c>
      <c r="H69" s="185" t="s">
        <v>1476</v>
      </c>
    </row>
    <row r="70">
      <c r="A70" s="185" t="s">
        <v>1642</v>
      </c>
      <c r="B70" s="185" t="s">
        <v>67</v>
      </c>
      <c r="E70" s="185">
        <v>3.46340000033E12</v>
      </c>
      <c r="F70" s="185" t="s">
        <v>1643</v>
      </c>
      <c r="G70" s="185" t="s">
        <v>1644</v>
      </c>
      <c r="H70" s="185" t="s">
        <v>1476</v>
      </c>
    </row>
    <row r="71">
      <c r="A71" s="185" t="s">
        <v>1645</v>
      </c>
      <c r="B71" s="185" t="s">
        <v>1577</v>
      </c>
      <c r="E71" s="185">
        <v>5.871530002578E12</v>
      </c>
      <c r="F71" s="185" t="s">
        <v>1646</v>
      </c>
      <c r="G71" s="185" t="s">
        <v>1647</v>
      </c>
      <c r="H71" s="185" t="s">
        <v>1476</v>
      </c>
    </row>
    <row r="72">
      <c r="A72" s="185" t="s">
        <v>1648</v>
      </c>
      <c r="B72" s="185" t="s">
        <v>94</v>
      </c>
      <c r="E72" s="185">
        <v>5.891140030808E12</v>
      </c>
      <c r="F72" s="185" t="s">
        <v>1649</v>
      </c>
      <c r="G72" s="185" t="s">
        <v>1634</v>
      </c>
      <c r="H72" s="185" t="s">
        <v>1476</v>
      </c>
    </row>
    <row r="73">
      <c r="A73" s="185" t="s">
        <v>1650</v>
      </c>
      <c r="B73" s="185" t="s">
        <v>55</v>
      </c>
      <c r="E73" s="185">
        <v>6.204101002027E12</v>
      </c>
      <c r="F73" s="185" t="s">
        <v>1651</v>
      </c>
      <c r="G73" s="185" t="s">
        <v>1596</v>
      </c>
      <c r="H73" s="185" t="s">
        <v>568</v>
      </c>
    </row>
    <row r="74">
      <c r="A74" s="185" t="s">
        <v>1652</v>
      </c>
      <c r="B74" s="185" t="s">
        <v>94</v>
      </c>
      <c r="E74" s="185">
        <v>9.291140061589E12</v>
      </c>
      <c r="F74" s="185" t="s">
        <v>1653</v>
      </c>
      <c r="G74" s="185" t="s">
        <v>1630</v>
      </c>
      <c r="H74" s="185" t="s">
        <v>1476</v>
      </c>
    </row>
    <row r="75">
      <c r="A75" s="185" t="s">
        <v>1654</v>
      </c>
      <c r="B75" s="185" t="s">
        <v>55</v>
      </c>
      <c r="E75" s="185">
        <v>1.1642413000779E13</v>
      </c>
      <c r="F75" s="185" t="s">
        <v>1655</v>
      </c>
      <c r="G75" s="185" t="s">
        <v>1656</v>
      </c>
      <c r="H75" s="185" t="s">
        <v>568</v>
      </c>
    </row>
    <row r="76">
      <c r="A76" s="185" t="s">
        <v>1657</v>
      </c>
      <c r="B76" s="185" t="s">
        <v>110</v>
      </c>
      <c r="E76" s="185">
        <v>1.237241300098E13</v>
      </c>
      <c r="F76" s="185" t="s">
        <v>1658</v>
      </c>
      <c r="G76" s="185" t="s">
        <v>1656</v>
      </c>
      <c r="H76" s="185" t="s">
        <v>568</v>
      </c>
    </row>
    <row r="77">
      <c r="A77" s="185" t="s">
        <v>1659</v>
      </c>
      <c r="B77" s="185" t="s">
        <v>67</v>
      </c>
      <c r="E77" s="185">
        <v>1.3550200053667E13</v>
      </c>
      <c r="F77" s="185" t="s">
        <v>1660</v>
      </c>
      <c r="G77" s="185" t="s">
        <v>1661</v>
      </c>
      <c r="H77" s="185" t="s">
        <v>1476</v>
      </c>
    </row>
    <row r="78">
      <c r="A78" s="185" t="s">
        <v>1662</v>
      </c>
      <c r="B78" s="185" t="s">
        <v>1478</v>
      </c>
      <c r="E78" s="185">
        <v>1.9001000002912E13</v>
      </c>
      <c r="F78" s="185" t="s">
        <v>1663</v>
      </c>
      <c r="G78" s="185" t="s">
        <v>1634</v>
      </c>
      <c r="H78" s="185" t="s">
        <v>1476</v>
      </c>
    </row>
    <row r="79">
      <c r="A79" s="185" t="s">
        <v>1664</v>
      </c>
      <c r="B79" s="185" t="s">
        <v>67</v>
      </c>
      <c r="E79" s="185">
        <v>2.1250100043834E13</v>
      </c>
      <c r="F79" s="185" t="s">
        <v>1665</v>
      </c>
      <c r="G79" s="185" t="s">
        <v>1666</v>
      </c>
      <c r="H79" s="185" t="s">
        <v>1476</v>
      </c>
    </row>
    <row r="80">
      <c r="A80" s="185" t="s">
        <v>1667</v>
      </c>
      <c r="B80" s="185" t="s">
        <v>110</v>
      </c>
      <c r="E80" s="185">
        <v>2.5440100008049E13</v>
      </c>
      <c r="F80" s="185" t="s">
        <v>1668</v>
      </c>
      <c r="G80" s="185" t="s">
        <v>1666</v>
      </c>
      <c r="H80" s="185" t="s">
        <v>568</v>
      </c>
    </row>
    <row r="81">
      <c r="A81" s="185" t="s">
        <v>1669</v>
      </c>
      <c r="B81" s="185" t="s">
        <v>55</v>
      </c>
      <c r="E81" s="185">
        <v>3.4590100001023E13</v>
      </c>
      <c r="F81" s="185" t="s">
        <v>1670</v>
      </c>
      <c r="G81" s="185" t="s">
        <v>1666</v>
      </c>
      <c r="H81" s="185" t="s">
        <v>568</v>
      </c>
    </row>
    <row r="82">
      <c r="A82" s="185" t="s">
        <v>1672</v>
      </c>
      <c r="B82" s="185" t="s">
        <v>67</v>
      </c>
      <c r="E82" s="185">
        <v>3.8102000009447E13</v>
      </c>
      <c r="F82" s="185" t="s">
        <v>1673</v>
      </c>
      <c r="G82" s="185" t="s">
        <v>1674</v>
      </c>
      <c r="H82" s="185" t="s">
        <v>1476</v>
      </c>
    </row>
    <row r="83">
      <c r="A83" s="185" t="s">
        <v>1675</v>
      </c>
      <c r="B83" s="185" t="s">
        <v>67</v>
      </c>
      <c r="E83" s="185">
        <v>5.0100107206111E13</v>
      </c>
      <c r="F83" s="185" t="s">
        <v>1676</v>
      </c>
      <c r="G83" s="185" t="s">
        <v>1634</v>
      </c>
      <c r="H83" s="185" t="s">
        <v>1476</v>
      </c>
    </row>
    <row r="84">
      <c r="A84" s="185" t="s">
        <v>1677</v>
      </c>
      <c r="B84" s="185" t="s">
        <v>67</v>
      </c>
      <c r="E84" s="185">
        <v>5.0100157615555E13</v>
      </c>
      <c r="F84" s="185" t="s">
        <v>1678</v>
      </c>
      <c r="G84" s="185" t="s">
        <v>1679</v>
      </c>
      <c r="H84" s="185" t="s">
        <v>1476</v>
      </c>
    </row>
    <row r="85">
      <c r="A85" s="185" t="s">
        <v>1680</v>
      </c>
      <c r="B85" s="185" t="s">
        <v>118</v>
      </c>
      <c r="E85" s="185">
        <v>5.0100160889221E13</v>
      </c>
      <c r="F85" s="185" t="s">
        <v>1681</v>
      </c>
      <c r="G85" s="185" t="s">
        <v>1679</v>
      </c>
      <c r="H85" s="185" t="s">
        <v>1476</v>
      </c>
    </row>
    <row r="86">
      <c r="A86" s="185" t="s">
        <v>1682</v>
      </c>
      <c r="B86" s="185" t="s">
        <v>67</v>
      </c>
      <c r="E86" s="185">
        <v>5.0100257664452E13</v>
      </c>
      <c r="F86" s="185" t="s">
        <v>1683</v>
      </c>
      <c r="G86" s="185" t="s">
        <v>1634</v>
      </c>
      <c r="H86" s="185" t="s">
        <v>1476</v>
      </c>
    </row>
    <row r="87">
      <c r="A87" s="185" t="s">
        <v>1684</v>
      </c>
      <c r="B87" s="185" t="s">
        <v>101</v>
      </c>
      <c r="E87" s="185">
        <v>5.0100277836958E13</v>
      </c>
      <c r="F87" s="185" t="s">
        <v>1685</v>
      </c>
      <c r="G87" s="185" t="s">
        <v>1634</v>
      </c>
      <c r="H87" s="185" t="s">
        <v>568</v>
      </c>
    </row>
    <row r="88">
      <c r="A88" s="185" t="s">
        <v>1686</v>
      </c>
      <c r="B88" s="185" t="s">
        <v>55</v>
      </c>
      <c r="E88" s="185">
        <v>5.0100298491862E13</v>
      </c>
      <c r="F88" s="185" t="s">
        <v>1687</v>
      </c>
      <c r="G88" s="185" t="s">
        <v>1634</v>
      </c>
      <c r="H88" s="185" t="s">
        <v>1476</v>
      </c>
    </row>
    <row r="89">
      <c r="A89" s="185" t="s">
        <v>1688</v>
      </c>
      <c r="B89" s="185" t="s">
        <v>67</v>
      </c>
      <c r="E89" s="185">
        <v>5.010033889046E13</v>
      </c>
      <c r="F89" s="185" t="s">
        <v>1689</v>
      </c>
      <c r="G89" s="185" t="s">
        <v>1634</v>
      </c>
      <c r="H89" s="185" t="s">
        <v>1476</v>
      </c>
    </row>
    <row r="90">
      <c r="A90" s="185" t="s">
        <v>1690</v>
      </c>
      <c r="B90" s="185" t="s">
        <v>67</v>
      </c>
      <c r="E90" s="185">
        <v>5.0100404495613E13</v>
      </c>
      <c r="F90" s="185" t="s">
        <v>1691</v>
      </c>
      <c r="G90" s="185" t="s">
        <v>1634</v>
      </c>
      <c r="H90" s="185" t="s">
        <v>1476</v>
      </c>
    </row>
    <row r="91">
      <c r="A91" s="185" t="s">
        <v>1692</v>
      </c>
      <c r="B91" s="185" t="s">
        <v>110</v>
      </c>
      <c r="E91" s="185">
        <v>5.0100444115511E13</v>
      </c>
      <c r="F91" s="185" t="s">
        <v>1663</v>
      </c>
      <c r="G91" s="185" t="s">
        <v>1634</v>
      </c>
      <c r="H91" s="185" t="s">
        <v>568</v>
      </c>
    </row>
    <row r="92">
      <c r="A92" s="185" t="s">
        <v>1693</v>
      </c>
      <c r="B92" s="185" t="s">
        <v>67</v>
      </c>
      <c r="E92" s="185">
        <v>5.0100741302012E13</v>
      </c>
      <c r="F92" s="185" t="s">
        <v>1694</v>
      </c>
      <c r="G92" s="185" t="s">
        <v>1634</v>
      </c>
      <c r="H92" s="185" t="s">
        <v>1476</v>
      </c>
    </row>
    <row r="93">
      <c r="A93" s="185" t="s">
        <v>1695</v>
      </c>
      <c r="B93" s="185" t="s">
        <v>67</v>
      </c>
      <c r="E93" s="185">
        <v>5.0200008237083E13</v>
      </c>
      <c r="F93" s="185" t="s">
        <v>1696</v>
      </c>
      <c r="G93" s="185" t="s">
        <v>1634</v>
      </c>
      <c r="H93" s="185" t="s">
        <v>1476</v>
      </c>
    </row>
    <row r="94">
      <c r="A94" s="185" t="s">
        <v>1697</v>
      </c>
      <c r="B94" s="185" t="s">
        <v>67</v>
      </c>
      <c r="E94" s="185">
        <v>5.0200010757534E13</v>
      </c>
      <c r="F94" s="185" t="s">
        <v>1698</v>
      </c>
      <c r="G94" s="185" t="s">
        <v>1630</v>
      </c>
      <c r="H94" s="185" t="s">
        <v>1476</v>
      </c>
    </row>
    <row r="95">
      <c r="A95" s="185" t="s">
        <v>1699</v>
      </c>
      <c r="B95" s="185" t="s">
        <v>67</v>
      </c>
      <c r="E95" s="185">
        <v>5.0200017137131E13</v>
      </c>
      <c r="F95" s="185" t="s">
        <v>1700</v>
      </c>
      <c r="G95" s="185" t="s">
        <v>1634</v>
      </c>
      <c r="H95" s="185" t="s">
        <v>568</v>
      </c>
    </row>
    <row r="96">
      <c r="A96" s="185" t="s">
        <v>1701</v>
      </c>
      <c r="B96" s="185" t="s">
        <v>55</v>
      </c>
      <c r="E96" s="185">
        <v>5.0200024866406E13</v>
      </c>
      <c r="F96" s="185" t="s">
        <v>1702</v>
      </c>
      <c r="G96" s="185" t="s">
        <v>1634</v>
      </c>
      <c r="H96" s="185" t="s">
        <v>568</v>
      </c>
    </row>
    <row r="97">
      <c r="A97" s="185" t="s">
        <v>1703</v>
      </c>
      <c r="B97" s="185" t="s">
        <v>67</v>
      </c>
      <c r="E97" s="185">
        <v>5.0200028312455E13</v>
      </c>
      <c r="F97" s="185" t="s">
        <v>1704</v>
      </c>
      <c r="G97" s="185" t="s">
        <v>1634</v>
      </c>
      <c r="H97" s="185" t="s">
        <v>1476</v>
      </c>
    </row>
    <row r="98">
      <c r="A98" s="185" t="s">
        <v>1705</v>
      </c>
      <c r="B98" s="185" t="s">
        <v>67</v>
      </c>
      <c r="E98" s="185">
        <v>5.0200028779715E13</v>
      </c>
      <c r="F98" s="185" t="s">
        <v>1706</v>
      </c>
      <c r="G98" s="185" t="s">
        <v>1634</v>
      </c>
      <c r="H98" s="185" t="s">
        <v>1476</v>
      </c>
    </row>
    <row r="99">
      <c r="A99" s="185" t="s">
        <v>1707</v>
      </c>
      <c r="B99" s="185" t="s">
        <v>67</v>
      </c>
      <c r="E99" s="185">
        <v>5.020003181802E13</v>
      </c>
      <c r="F99" s="185" t="s">
        <v>1709</v>
      </c>
      <c r="G99" s="185" t="s">
        <v>1634</v>
      </c>
      <c r="H99" s="185" t="s">
        <v>1476</v>
      </c>
    </row>
    <row r="100">
      <c r="A100" s="185" t="s">
        <v>1710</v>
      </c>
      <c r="B100" s="185" t="s">
        <v>1528</v>
      </c>
      <c r="E100" s="185">
        <v>5.02000489533E13</v>
      </c>
      <c r="F100" s="185" t="s">
        <v>1694</v>
      </c>
      <c r="G100" s="185" t="s">
        <v>1634</v>
      </c>
      <c r="H100" s="185" t="s">
        <v>1476</v>
      </c>
    </row>
    <row r="101">
      <c r="A101" s="185" t="s">
        <v>1711</v>
      </c>
      <c r="B101" s="185" t="s">
        <v>55</v>
      </c>
      <c r="E101" s="185">
        <v>5.0200055261143E13</v>
      </c>
      <c r="F101" s="185" t="s">
        <v>1700</v>
      </c>
      <c r="G101" s="185" t="s">
        <v>1634</v>
      </c>
      <c r="H101" s="185" t="s">
        <v>568</v>
      </c>
    </row>
    <row r="102">
      <c r="A102" s="185" t="s">
        <v>1712</v>
      </c>
      <c r="B102" s="185" t="s">
        <v>67</v>
      </c>
      <c r="E102" s="185">
        <v>5.0200060631461E13</v>
      </c>
      <c r="F102" s="185" t="s">
        <v>1713</v>
      </c>
      <c r="G102" s="185" t="s">
        <v>1679</v>
      </c>
      <c r="H102" s="185" t="s">
        <v>1476</v>
      </c>
    </row>
    <row r="103">
      <c r="A103" s="185" t="s">
        <v>1714</v>
      </c>
      <c r="B103" s="185" t="s">
        <v>67</v>
      </c>
      <c r="E103" s="185">
        <v>5.0200065230584E13</v>
      </c>
      <c r="F103" s="185" t="s">
        <v>1700</v>
      </c>
      <c r="G103" s="185" t="s">
        <v>1634</v>
      </c>
      <c r="H103" s="185" t="s">
        <v>568</v>
      </c>
    </row>
    <row r="104">
      <c r="A104" s="185" t="s">
        <v>1715</v>
      </c>
      <c r="B104" s="185" t="s">
        <v>67</v>
      </c>
      <c r="E104" s="185">
        <v>5.0200070567561E13</v>
      </c>
      <c r="F104" s="185" t="s">
        <v>1696</v>
      </c>
      <c r="G104" s="185" t="s">
        <v>1634</v>
      </c>
      <c r="H104" s="185" t="s">
        <v>1476</v>
      </c>
    </row>
    <row r="105">
      <c r="A105" s="185" t="s">
        <v>1716</v>
      </c>
      <c r="B105" s="185" t="s">
        <v>94</v>
      </c>
      <c r="E105" s="185">
        <v>5.0200085740594E13</v>
      </c>
      <c r="F105" s="185" t="s">
        <v>1717</v>
      </c>
      <c r="G105" s="185" t="s">
        <v>1634</v>
      </c>
      <c r="H105" s="185" t="s">
        <v>1476</v>
      </c>
    </row>
    <row r="106">
      <c r="A106" s="185" t="s">
        <v>1718</v>
      </c>
      <c r="B106" s="185" t="s">
        <v>118</v>
      </c>
      <c r="E106" s="185">
        <v>5.0200099384192E13</v>
      </c>
      <c r="F106" s="185" t="s">
        <v>1719</v>
      </c>
      <c r="G106" s="185" t="s">
        <v>1634</v>
      </c>
      <c r="H106" s="185" t="s">
        <v>568</v>
      </c>
    </row>
    <row r="107">
      <c r="A107" s="185" t="s">
        <v>1720</v>
      </c>
      <c r="B107" s="185" t="s">
        <v>55</v>
      </c>
      <c r="E107" s="185">
        <v>5.322000420752E13</v>
      </c>
      <c r="F107" s="185" t="s">
        <v>1721</v>
      </c>
      <c r="G107" s="185" t="s">
        <v>1722</v>
      </c>
      <c r="H107" s="185" t="s">
        <v>568</v>
      </c>
    </row>
    <row r="108">
      <c r="A108" s="185" t="s">
        <v>1723</v>
      </c>
      <c r="B108" s="185" t="s">
        <v>118</v>
      </c>
      <c r="E108" s="185">
        <v>5.3260100005128E13</v>
      </c>
      <c r="F108" s="185" t="s">
        <v>1724</v>
      </c>
      <c r="G108" s="185" t="s">
        <v>1666</v>
      </c>
      <c r="H108" s="185" t="s">
        <v>568</v>
      </c>
    </row>
    <row r="109">
      <c r="A109" s="185" t="s">
        <v>1725</v>
      </c>
      <c r="B109" s="185" t="s">
        <v>1547</v>
      </c>
      <c r="E109" s="185">
        <v>5.582201000078E13</v>
      </c>
      <c r="F109" s="185" t="s">
        <v>1726</v>
      </c>
      <c r="G109" s="185" t="s">
        <v>1727</v>
      </c>
      <c r="H109" s="185" t="s">
        <v>1476</v>
      </c>
    </row>
    <row r="110">
      <c r="A110" s="185" t="s">
        <v>1728</v>
      </c>
      <c r="B110" s="185" t="s">
        <v>67</v>
      </c>
      <c r="E110" s="185">
        <v>5.7500000004862E13</v>
      </c>
      <c r="F110" s="185" t="s">
        <v>1729</v>
      </c>
      <c r="G110" s="185" t="s">
        <v>1634</v>
      </c>
      <c r="H110" s="185" t="s">
        <v>1476</v>
      </c>
    </row>
    <row r="111">
      <c r="A111" s="185" t="s">
        <v>1730</v>
      </c>
      <c r="B111" s="185" t="s">
        <v>67</v>
      </c>
      <c r="E111" s="185">
        <v>7.3521010000034E13</v>
      </c>
      <c r="F111" s="185" t="s">
        <v>1731</v>
      </c>
      <c r="G111" s="185" t="s">
        <v>1732</v>
      </c>
      <c r="H111" s="185" t="s">
        <v>568</v>
      </c>
    </row>
    <row r="112">
      <c r="A112" s="185" t="s">
        <v>1733</v>
      </c>
      <c r="B112" s="185" t="s">
        <v>110</v>
      </c>
      <c r="E112" s="185">
        <v>7.7250101011872E13</v>
      </c>
      <c r="F112" s="185" t="s">
        <v>1734</v>
      </c>
      <c r="G112" s="185" t="s">
        <v>1656</v>
      </c>
      <c r="H112" s="185" t="s">
        <v>568</v>
      </c>
    </row>
    <row r="113">
      <c r="A113" s="185" t="s">
        <v>1735</v>
      </c>
      <c r="B113" s="185" t="s">
        <v>67</v>
      </c>
      <c r="E113" s="185">
        <v>8.249220002666E13</v>
      </c>
      <c r="F113" s="185" t="s">
        <v>1736</v>
      </c>
      <c r="G113" s="185" t="s">
        <v>1596</v>
      </c>
      <c r="H113" s="185" t="s">
        <v>1476</v>
      </c>
    </row>
    <row r="114">
      <c r="A114" s="185" t="s">
        <v>1737</v>
      </c>
      <c r="B114" s="185" t="s">
        <v>67</v>
      </c>
      <c r="E114" s="185">
        <v>8.3021100000616E13</v>
      </c>
      <c r="F114" s="185" t="s">
        <v>1738</v>
      </c>
      <c r="G114" s="185" t="s">
        <v>1739</v>
      </c>
      <c r="H114" s="185" t="s">
        <v>1476</v>
      </c>
    </row>
    <row r="115">
      <c r="A115" s="185" t="s">
        <v>1740</v>
      </c>
      <c r="B115" s="185" t="s">
        <v>110</v>
      </c>
      <c r="E115" s="185">
        <v>2.16601000003739E14</v>
      </c>
      <c r="F115" s="185" t="s">
        <v>1742</v>
      </c>
      <c r="G115" s="185" t="s">
        <v>1743</v>
      </c>
      <c r="H115" s="185" t="s">
        <v>568</v>
      </c>
    </row>
    <row r="116">
      <c r="A116" s="185" t="s">
        <v>1744</v>
      </c>
      <c r="B116" s="185" t="s">
        <v>55</v>
      </c>
      <c r="C116" s="185" t="s">
        <v>110</v>
      </c>
      <c r="E116" s="185">
        <v>2.16601000010025E14</v>
      </c>
      <c r="F116" s="185" t="s">
        <v>1742</v>
      </c>
      <c r="G116" s="185" t="s">
        <v>1743</v>
      </c>
      <c r="H116" s="185" t="s">
        <v>568</v>
      </c>
    </row>
    <row r="117">
      <c r="A117" s="185" t="s">
        <v>1745</v>
      </c>
      <c r="B117" s="185" t="s">
        <v>67</v>
      </c>
      <c r="E117" s="185">
        <v>3.99300100072035E14</v>
      </c>
      <c r="F117" s="185" t="s">
        <v>1746</v>
      </c>
      <c r="G117" s="185" t="s">
        <v>1656</v>
      </c>
      <c r="H117" s="185" t="s">
        <v>1476</v>
      </c>
    </row>
    <row r="118">
      <c r="A118" s="185" t="s">
        <v>1747</v>
      </c>
      <c r="B118" s="185" t="s">
        <v>55</v>
      </c>
      <c r="E118" s="185">
        <v>4.190020105739E14</v>
      </c>
      <c r="F118" s="185" t="s">
        <v>1748</v>
      </c>
      <c r="G118" s="185" t="s">
        <v>1727</v>
      </c>
      <c r="H118" s="185" t="s">
        <v>1476</v>
      </c>
    </row>
    <row r="119">
      <c r="A119" s="185" t="s">
        <v>1749</v>
      </c>
      <c r="B119" s="185" t="s">
        <v>67</v>
      </c>
      <c r="E119" s="185">
        <v>4.19083000000008E14</v>
      </c>
      <c r="F119" s="185" t="s">
        <v>1750</v>
      </c>
      <c r="G119" s="185" t="s">
        <v>1751</v>
      </c>
      <c r="H119" s="185" t="s">
        <v>1476</v>
      </c>
    </row>
    <row r="120">
      <c r="A120" s="185" t="s">
        <v>1752</v>
      </c>
      <c r="B120" s="185" t="s">
        <v>67</v>
      </c>
      <c r="E120" s="185">
        <v>4.67901010036454E14</v>
      </c>
      <c r="F120" s="185" t="s">
        <v>1753</v>
      </c>
      <c r="G120" s="185" t="s">
        <v>1727</v>
      </c>
      <c r="H120" s="185" t="s">
        <v>1476</v>
      </c>
    </row>
    <row r="121">
      <c r="A121" s="185" t="s">
        <v>1754</v>
      </c>
      <c r="B121" s="185" t="s">
        <v>67</v>
      </c>
      <c r="E121" s="185">
        <v>5.10101005435969E14</v>
      </c>
      <c r="F121" s="185" t="s">
        <v>1731</v>
      </c>
      <c r="G121" s="185" t="s">
        <v>1755</v>
      </c>
      <c r="H121" s="185" t="s">
        <v>1476</v>
      </c>
    </row>
    <row r="122">
      <c r="A122" s="185" t="s">
        <v>1756</v>
      </c>
      <c r="B122" s="185" t="s">
        <v>55</v>
      </c>
      <c r="E122" s="185">
        <v>5.19501010036357E14</v>
      </c>
      <c r="F122" s="185" t="s">
        <v>1757</v>
      </c>
      <c r="G122" s="185" t="s">
        <v>1727</v>
      </c>
      <c r="H122" s="185" t="s">
        <v>1476</v>
      </c>
    </row>
    <row r="123">
      <c r="A123" s="185" t="s">
        <v>1758</v>
      </c>
      <c r="B123" s="185" t="s">
        <v>110</v>
      </c>
      <c r="E123" s="185">
        <v>5.20101064843234E14</v>
      </c>
      <c r="F123" s="185" t="s">
        <v>1759</v>
      </c>
      <c r="G123" s="185" t="s">
        <v>1732</v>
      </c>
      <c r="H123" s="185" t="s">
        <v>568</v>
      </c>
    </row>
    <row r="124">
      <c r="A124" s="185" t="s">
        <v>1760</v>
      </c>
      <c r="B124" s="185" t="s">
        <v>67</v>
      </c>
      <c r="E124" s="185">
        <v>5.20101247915481E14</v>
      </c>
      <c r="F124" s="185" t="s">
        <v>1731</v>
      </c>
      <c r="G124" s="185" t="s">
        <v>1727</v>
      </c>
      <c r="H124" s="185" t="s">
        <v>1476</v>
      </c>
    </row>
    <row r="125">
      <c r="A125" s="185" t="s">
        <v>1761</v>
      </c>
      <c r="B125" s="185" t="s">
        <v>85</v>
      </c>
      <c r="C125" s="185" t="s">
        <v>110</v>
      </c>
      <c r="E125" s="185">
        <v>5.20291014987347E14</v>
      </c>
      <c r="F125" s="185" t="s">
        <v>1759</v>
      </c>
      <c r="G125" s="185" t="s">
        <v>1732</v>
      </c>
      <c r="H125" s="185" t="s">
        <v>568</v>
      </c>
    </row>
    <row r="126">
      <c r="A126" s="185" t="s">
        <v>1762</v>
      </c>
      <c r="B126" s="185" t="s">
        <v>67</v>
      </c>
      <c r="E126" s="185">
        <v>5.20291040108746E14</v>
      </c>
      <c r="F126" s="185" t="s">
        <v>1763</v>
      </c>
      <c r="G126" s="185" t="s">
        <v>1755</v>
      </c>
      <c r="H126" s="185" t="s">
        <v>1476</v>
      </c>
    </row>
    <row r="127">
      <c r="A127" s="185" t="s">
        <v>1764</v>
      </c>
      <c r="B127" s="185" t="s">
        <v>55</v>
      </c>
      <c r="E127" s="185">
        <v>5.20331004837821E14</v>
      </c>
      <c r="F127" s="185" t="s">
        <v>1731</v>
      </c>
      <c r="G127" s="185" t="s">
        <v>1732</v>
      </c>
      <c r="H127" s="185" t="s">
        <v>568</v>
      </c>
    </row>
    <row r="128">
      <c r="A128" s="185" t="s">
        <v>1765</v>
      </c>
      <c r="B128" s="185" t="s">
        <v>67</v>
      </c>
      <c r="E128" s="185">
        <v>6.04420110000097E14</v>
      </c>
      <c r="F128" s="185" t="s">
        <v>1766</v>
      </c>
      <c r="G128" s="185" t="s">
        <v>1768</v>
      </c>
      <c r="H128" s="185" t="s">
        <v>1476</v>
      </c>
    </row>
    <row r="129">
      <c r="A129" s="185" t="s">
        <v>1769</v>
      </c>
      <c r="B129" s="185" t="s">
        <v>67</v>
      </c>
      <c r="E129" s="185">
        <v>6.1800010024758E14</v>
      </c>
      <c r="F129" s="185" t="s">
        <v>1770</v>
      </c>
      <c r="G129" s="185" t="s">
        <v>1656</v>
      </c>
      <c r="H129" s="185" t="s">
        <v>1476</v>
      </c>
    </row>
    <row r="130">
      <c r="A130" s="185" t="s">
        <v>1771</v>
      </c>
      <c r="B130" s="185" t="s">
        <v>118</v>
      </c>
      <c r="E130" s="185">
        <v>6.57202120000278E14</v>
      </c>
      <c r="F130" s="185" t="s">
        <v>1772</v>
      </c>
      <c r="G130" s="185" t="s">
        <v>1755</v>
      </c>
      <c r="H130" s="185" t="s">
        <v>1476</v>
      </c>
    </row>
    <row r="131">
      <c r="A131" s="185" t="s">
        <v>1773</v>
      </c>
      <c r="B131" s="185" t="s">
        <v>110</v>
      </c>
      <c r="E131" s="185">
        <v>7.41510510001844E14</v>
      </c>
      <c r="F131" s="185" t="s">
        <v>1774</v>
      </c>
      <c r="G131" s="185" t="s">
        <v>1768</v>
      </c>
      <c r="H131" s="185" t="s">
        <v>568</v>
      </c>
    </row>
    <row r="132">
      <c r="A132" s="185" t="s">
        <v>1775</v>
      </c>
      <c r="B132" s="185" t="s">
        <v>67</v>
      </c>
      <c r="E132" s="185">
        <v>7.73104000076191E14</v>
      </c>
      <c r="F132" s="185" t="s">
        <v>1776</v>
      </c>
      <c r="G132" s="185" t="s">
        <v>1674</v>
      </c>
      <c r="H132" s="185" t="s">
        <v>1476</v>
      </c>
    </row>
    <row r="133">
      <c r="A133" s="185" t="s">
        <v>1777</v>
      </c>
      <c r="B133" s="185" t="s">
        <v>110</v>
      </c>
      <c r="E133" s="185">
        <v>9.07000100500332E14</v>
      </c>
      <c r="F133" s="185" t="s">
        <v>1778</v>
      </c>
      <c r="G133" s="185" t="s">
        <v>1656</v>
      </c>
      <c r="H133" s="185" t="s">
        <v>568</v>
      </c>
    </row>
    <row r="134">
      <c r="A134" s="185" t="s">
        <v>1779</v>
      </c>
      <c r="B134" s="185" t="s">
        <v>94</v>
      </c>
      <c r="E134" s="185">
        <v>9.11010030728356E14</v>
      </c>
      <c r="F134" s="185" t="s">
        <v>1780</v>
      </c>
      <c r="G134" s="185" t="s">
        <v>1781</v>
      </c>
      <c r="H134" s="185" t="s">
        <v>1476</v>
      </c>
    </row>
    <row r="135">
      <c r="A135" s="185" t="s">
        <v>1782</v>
      </c>
      <c r="B135" s="185" t="s">
        <v>94</v>
      </c>
      <c r="E135" s="185">
        <v>9.12010051357774E14</v>
      </c>
      <c r="F135" s="185" t="s">
        <v>1783</v>
      </c>
      <c r="G135" s="185" t="s">
        <v>1784</v>
      </c>
      <c r="H135" s="185" t="s">
        <v>1476</v>
      </c>
    </row>
    <row r="136">
      <c r="A136" s="185" t="s">
        <v>1785</v>
      </c>
      <c r="B136" s="185" t="s">
        <v>67</v>
      </c>
      <c r="E136" s="185">
        <v>9.15010012577136E14</v>
      </c>
      <c r="F136" s="185" t="s">
        <v>1786</v>
      </c>
      <c r="G136" s="185" t="s">
        <v>1781</v>
      </c>
      <c r="H136" s="185" t="s">
        <v>1476</v>
      </c>
    </row>
    <row r="137">
      <c r="A137" s="185" t="s">
        <v>1787</v>
      </c>
      <c r="B137" s="185" t="s">
        <v>1528</v>
      </c>
      <c r="E137" s="185">
        <v>9.15010015780249E14</v>
      </c>
      <c r="F137" s="185" t="s">
        <v>1788</v>
      </c>
      <c r="G137" s="185" t="s">
        <v>1784</v>
      </c>
      <c r="H137" s="185" t="s">
        <v>1476</v>
      </c>
    </row>
    <row r="138">
      <c r="A138" s="185" t="s">
        <v>1789</v>
      </c>
      <c r="B138" s="185" t="s">
        <v>55</v>
      </c>
      <c r="E138" s="185">
        <v>9.21010034101417E14</v>
      </c>
      <c r="F138" s="185" t="s">
        <v>1790</v>
      </c>
      <c r="G138" s="185" t="s">
        <v>1784</v>
      </c>
      <c r="H138" s="185" t="s">
        <v>1476</v>
      </c>
    </row>
    <row r="139">
      <c r="A139" s="185" t="s">
        <v>1791</v>
      </c>
      <c r="B139" s="185" t="s">
        <v>67</v>
      </c>
      <c r="E139" s="185">
        <v>9.21020019196767E14</v>
      </c>
      <c r="F139" s="185" t="s">
        <v>1792</v>
      </c>
      <c r="G139" s="185" t="s">
        <v>1793</v>
      </c>
      <c r="H139" s="185" t="s">
        <v>1476</v>
      </c>
    </row>
    <row r="140">
      <c r="A140" s="185" t="s">
        <v>1794</v>
      </c>
      <c r="B140" s="185" t="s">
        <v>110</v>
      </c>
      <c r="E140" s="185">
        <v>9.22010066041548E14</v>
      </c>
      <c r="F140" s="185" t="s">
        <v>1790</v>
      </c>
      <c r="G140" s="185" t="s">
        <v>1795</v>
      </c>
      <c r="H140" s="185" t="s">
        <v>568</v>
      </c>
    </row>
    <row r="141">
      <c r="A141" s="185" t="s">
        <v>1796</v>
      </c>
      <c r="B141" s="185" t="s">
        <v>67</v>
      </c>
      <c r="E141" s="185">
        <v>9.22020000456853E14</v>
      </c>
      <c r="F141" s="185" t="s">
        <v>1797</v>
      </c>
      <c r="G141" s="185" t="s">
        <v>1784</v>
      </c>
      <c r="H141" s="185" t="s">
        <v>1476</v>
      </c>
    </row>
    <row r="142">
      <c r="A142" s="185" t="s">
        <v>1799</v>
      </c>
      <c r="B142" s="185" t="s">
        <v>67</v>
      </c>
      <c r="E142" s="185">
        <v>9.22020023580759E14</v>
      </c>
      <c r="F142" s="185" t="s">
        <v>1800</v>
      </c>
      <c r="G142" s="185" t="s">
        <v>1795</v>
      </c>
      <c r="H142" s="185" t="s">
        <v>1476</v>
      </c>
    </row>
    <row r="143">
      <c r="A143" s="185" t="s">
        <v>1801</v>
      </c>
      <c r="B143" s="185" t="s">
        <v>67</v>
      </c>
      <c r="E143" s="185">
        <v>9.22020026975394E14</v>
      </c>
      <c r="F143" s="185" t="s">
        <v>1802</v>
      </c>
      <c r="G143" s="185" t="s">
        <v>1795</v>
      </c>
      <c r="H143" s="185" t="s">
        <v>568</v>
      </c>
    </row>
    <row r="144">
      <c r="A144" s="185" t="s">
        <v>1803</v>
      </c>
      <c r="B144" s="185" t="s">
        <v>110</v>
      </c>
      <c r="E144" s="185">
        <v>9.23010016509952E14</v>
      </c>
      <c r="F144" s="185" t="s">
        <v>1797</v>
      </c>
      <c r="G144" s="185" t="s">
        <v>1795</v>
      </c>
      <c r="H144" s="185" t="s">
        <v>568</v>
      </c>
    </row>
    <row r="145">
      <c r="A145" s="185" t="s">
        <v>1804</v>
      </c>
      <c r="B145" s="185" t="s">
        <v>67</v>
      </c>
      <c r="E145" s="185">
        <v>9.24020068123001E14</v>
      </c>
      <c r="F145" s="185" t="s">
        <v>1805</v>
      </c>
      <c r="G145" s="185" t="s">
        <v>1781</v>
      </c>
      <c r="H145" s="185" t="s">
        <v>1476</v>
      </c>
    </row>
    <row r="146">
      <c r="A146" s="185" t="s">
        <v>1806</v>
      </c>
      <c r="B146" s="185" t="s">
        <v>55</v>
      </c>
      <c r="E146" s="185">
        <v>4.10117200001116E15</v>
      </c>
      <c r="G146" s="185" t="s">
        <v>1807</v>
      </c>
      <c r="H146" s="185" t="s">
        <v>1476</v>
      </c>
    </row>
    <row r="147">
      <c r="A147" s="185" t="s">
        <v>1808</v>
      </c>
      <c r="B147" s="185" t="s">
        <v>67</v>
      </c>
      <c r="E147" s="185">
        <v>4.56300010000379E15</v>
      </c>
      <c r="F147" s="185" t="s">
        <v>1809</v>
      </c>
      <c r="G147" s="185" t="s">
        <v>1656</v>
      </c>
      <c r="H147" s="185" t="s">
        <v>1476</v>
      </c>
    </row>
    <row r="148">
      <c r="A148" s="185" t="s">
        <v>1810</v>
      </c>
      <c r="B148" s="185" t="s">
        <v>67</v>
      </c>
      <c r="E148" s="185" t="s">
        <v>1811</v>
      </c>
      <c r="F148" s="185" t="s">
        <v>1812</v>
      </c>
      <c r="G148" s="185" t="s">
        <v>1813</v>
      </c>
      <c r="H148" s="185" t="s">
        <v>1476</v>
      </c>
    </row>
    <row r="149">
      <c r="A149" s="185" t="s">
        <v>1814</v>
      </c>
      <c r="B149" s="185" t="s">
        <v>1815</v>
      </c>
      <c r="E149" s="185" t="s">
        <v>1816</v>
      </c>
      <c r="F149" s="185" t="s">
        <v>1817</v>
      </c>
      <c r="G149" s="185" t="s">
        <v>1656</v>
      </c>
      <c r="H149" s="185" t="s">
        <v>1476</v>
      </c>
    </row>
    <row r="150">
      <c r="A150" s="185" t="s">
        <v>1818</v>
      </c>
      <c r="B150" s="185" t="s">
        <v>110</v>
      </c>
      <c r="E150" s="185" t="s">
        <v>1819</v>
      </c>
      <c r="F150" s="185" t="s">
        <v>1820</v>
      </c>
      <c r="G150" s="185" t="s">
        <v>1656</v>
      </c>
      <c r="H150" s="185" t="s">
        <v>568</v>
      </c>
    </row>
    <row r="151">
      <c r="A151" s="185" t="s">
        <v>1821</v>
      </c>
      <c r="B151" s="185" t="s">
        <v>110</v>
      </c>
      <c r="E151" s="185" t="s">
        <v>1822</v>
      </c>
      <c r="F151" s="185" t="s">
        <v>1820</v>
      </c>
      <c r="G151" s="185" t="s">
        <v>1656</v>
      </c>
      <c r="H151" s="185" t="s">
        <v>568</v>
      </c>
    </row>
    <row r="152">
      <c r="A152" s="185" t="s">
        <v>1823</v>
      </c>
      <c r="B152" s="185" t="s">
        <v>110</v>
      </c>
      <c r="E152" s="185" t="s">
        <v>1824</v>
      </c>
      <c r="F152" s="185" t="s">
        <v>1820</v>
      </c>
      <c r="G152" s="185" t="s">
        <v>1656</v>
      </c>
      <c r="H152" s="185" t="s">
        <v>568</v>
      </c>
    </row>
    <row r="153">
      <c r="A153" s="185" t="s">
        <v>1825</v>
      </c>
      <c r="B153" s="185" t="s">
        <v>110</v>
      </c>
      <c r="E153" s="185" t="s">
        <v>1826</v>
      </c>
      <c r="F153" s="185" t="s">
        <v>1827</v>
      </c>
      <c r="G153" s="185" t="s">
        <v>1656</v>
      </c>
      <c r="H153" s="185" t="s">
        <v>568</v>
      </c>
    </row>
    <row r="154">
      <c r="A154" s="185" t="s">
        <v>1828</v>
      </c>
      <c r="B154" s="185" t="s">
        <v>118</v>
      </c>
      <c r="E154" s="185" t="s">
        <v>1829</v>
      </c>
      <c r="F154" s="185" t="s">
        <v>1830</v>
      </c>
      <c r="G154" s="185" t="s">
        <v>1674</v>
      </c>
      <c r="H154" s="185" t="s">
        <v>1476</v>
      </c>
    </row>
    <row r="155">
      <c r="A155" s="185" t="s">
        <v>1831</v>
      </c>
      <c r="B155" s="185" t="s">
        <v>55</v>
      </c>
      <c r="E155" s="185" t="s">
        <v>1832</v>
      </c>
      <c r="F155" s="185" t="s">
        <v>1833</v>
      </c>
      <c r="G155" s="185" t="s">
        <v>1656</v>
      </c>
      <c r="H155" s="185" t="s">
        <v>568</v>
      </c>
    </row>
    <row r="156">
      <c r="A156" s="185" t="s">
        <v>1834</v>
      </c>
      <c r="B156" s="185" t="s">
        <v>1528</v>
      </c>
      <c r="E156" s="185" t="s">
        <v>1835</v>
      </c>
      <c r="F156" s="185" t="s">
        <v>1837</v>
      </c>
      <c r="G156" s="185" t="s">
        <v>1838</v>
      </c>
      <c r="H156" s="185" t="s">
        <v>1476</v>
      </c>
    </row>
    <row r="157">
      <c r="A157" s="185" t="s">
        <v>1839</v>
      </c>
      <c r="B157" s="185" t="s">
        <v>55</v>
      </c>
      <c r="E157" s="185" t="s">
        <v>1840</v>
      </c>
      <c r="F157" s="185" t="s">
        <v>1837</v>
      </c>
      <c r="G157" s="185" t="s">
        <v>1838</v>
      </c>
      <c r="H157" s="185" t="s">
        <v>568</v>
      </c>
    </row>
    <row r="158">
      <c r="A158" s="185" t="s">
        <v>1841</v>
      </c>
      <c r="B158" s="185" t="s">
        <v>55</v>
      </c>
      <c r="E158" s="185" t="s">
        <v>1842</v>
      </c>
      <c r="F158" s="185" t="s">
        <v>1837</v>
      </c>
      <c r="G158" s="185" t="s">
        <v>1843</v>
      </c>
      <c r="H158" s="185" t="s">
        <v>1476</v>
      </c>
    </row>
    <row r="159">
      <c r="A159" s="185" t="s">
        <v>1844</v>
      </c>
      <c r="B159" s="185" t="s">
        <v>67</v>
      </c>
      <c r="E159" s="185" t="s">
        <v>1845</v>
      </c>
      <c r="F159" s="185" t="s">
        <v>1846</v>
      </c>
      <c r="G159" s="185" t="s">
        <v>1847</v>
      </c>
      <c r="H159" s="185" t="s">
        <v>1476</v>
      </c>
    </row>
    <row r="160">
      <c r="A160" s="185" t="s">
        <v>1848</v>
      </c>
      <c r="B160" s="185" t="s">
        <v>1515</v>
      </c>
      <c r="E160" s="185" t="s">
        <v>1849</v>
      </c>
      <c r="F160" s="185" t="s">
        <v>1846</v>
      </c>
      <c r="G160" s="185" t="s">
        <v>1656</v>
      </c>
      <c r="H160" s="185" t="s">
        <v>1476</v>
      </c>
    </row>
    <row r="161">
      <c r="A161" s="185" t="s">
        <v>1850</v>
      </c>
      <c r="B161" s="185" t="s">
        <v>110</v>
      </c>
      <c r="E161" s="185" t="s">
        <v>1851</v>
      </c>
      <c r="F161" s="185" t="s">
        <v>1846</v>
      </c>
      <c r="G161" s="185" t="s">
        <v>1656</v>
      </c>
      <c r="H161" s="185" t="s">
        <v>568</v>
      </c>
    </row>
    <row r="162">
      <c r="A162" s="185" t="s">
        <v>1852</v>
      </c>
      <c r="B162" s="185" t="s">
        <v>67</v>
      </c>
      <c r="E162" s="185" t="s">
        <v>1853</v>
      </c>
      <c r="F162" s="185" t="s">
        <v>1746</v>
      </c>
      <c r="G162" s="185" t="s">
        <v>1656</v>
      </c>
      <c r="H162" s="185" t="s">
        <v>1476</v>
      </c>
    </row>
    <row r="163">
      <c r="A163" s="185" t="s">
        <v>1854</v>
      </c>
      <c r="B163" s="185" t="s">
        <v>55</v>
      </c>
      <c r="E163" s="185" t="s">
        <v>1855</v>
      </c>
      <c r="F163" s="185" t="s">
        <v>1856</v>
      </c>
      <c r="G163" s="185" t="s">
        <v>1807</v>
      </c>
      <c r="H163" s="185" t="s">
        <v>1476</v>
      </c>
    </row>
    <row r="164">
      <c r="A164" s="185" t="s">
        <v>1857</v>
      </c>
      <c r="B164" s="185" t="s">
        <v>55</v>
      </c>
      <c r="C164" s="185" t="s">
        <v>85</v>
      </c>
      <c r="E164" s="185" t="s">
        <v>1858</v>
      </c>
      <c r="F164" s="185" t="s">
        <v>1859</v>
      </c>
      <c r="G164" s="185" t="s">
        <v>1807</v>
      </c>
      <c r="H164" s="185" t="s">
        <v>568</v>
      </c>
    </row>
    <row r="165">
      <c r="A165" s="185" t="s">
        <v>1860</v>
      </c>
      <c r="B165" s="185" t="s">
        <v>67</v>
      </c>
      <c r="E165" s="185" t="s">
        <v>1861</v>
      </c>
      <c r="F165" s="185" t="s">
        <v>1862</v>
      </c>
      <c r="G165" s="185" t="s">
        <v>1863</v>
      </c>
      <c r="H165" s="185" t="s">
        <v>1476</v>
      </c>
    </row>
    <row r="166">
      <c r="A166" s="185" t="s">
        <v>1864</v>
      </c>
      <c r="B166" s="185" t="s">
        <v>1528</v>
      </c>
      <c r="E166" s="185" t="s">
        <v>1865</v>
      </c>
      <c r="F166" s="185" t="s">
        <v>1866</v>
      </c>
      <c r="G166" s="185" t="s">
        <v>1867</v>
      </c>
      <c r="H166" s="185" t="s">
        <v>1476</v>
      </c>
    </row>
    <row r="167">
      <c r="A167" s="187" t="s">
        <v>1574</v>
      </c>
      <c r="B167" s="187" t="s">
        <v>1577</v>
      </c>
      <c r="C167" s="188"/>
      <c r="D167" s="188"/>
      <c r="E167" s="187">
        <v>8.748980288E9</v>
      </c>
      <c r="F167" s="187" t="s">
        <v>1581</v>
      </c>
      <c r="G167" s="187" t="s">
        <v>1467</v>
      </c>
      <c r="H167" s="187" t="s">
        <v>1476</v>
      </c>
    </row>
    <row r="168">
      <c r="A168" s="187" t="s">
        <v>1574</v>
      </c>
      <c r="B168" s="187" t="s">
        <v>118</v>
      </c>
      <c r="C168" s="188"/>
      <c r="D168" s="188"/>
      <c r="E168" s="187">
        <v>8.748980288E9</v>
      </c>
      <c r="F168" s="187" t="s">
        <v>1581</v>
      </c>
      <c r="G168" s="187" t="s">
        <v>1467</v>
      </c>
      <c r="H168" s="187" t="s">
        <v>568</v>
      </c>
    </row>
    <row r="169">
      <c r="A169" s="187" t="s">
        <v>1585</v>
      </c>
      <c r="B169" s="187" t="s">
        <v>1553</v>
      </c>
      <c r="C169" s="188"/>
      <c r="D169" s="188"/>
      <c r="E169" s="187">
        <v>3.6011730904E10</v>
      </c>
      <c r="F169" s="187" t="s">
        <v>1540</v>
      </c>
      <c r="G169" s="187" t="s">
        <v>1499</v>
      </c>
      <c r="H169" s="187" t="s">
        <v>1476</v>
      </c>
    </row>
    <row r="170">
      <c r="A170" s="187" t="s">
        <v>1585</v>
      </c>
      <c r="B170" s="187" t="s">
        <v>101</v>
      </c>
      <c r="C170" s="188"/>
      <c r="D170" s="188"/>
      <c r="E170" s="187">
        <v>3.6011730904E10</v>
      </c>
      <c r="F170" s="187" t="s">
        <v>1540</v>
      </c>
      <c r="G170" s="187" t="s">
        <v>1538</v>
      </c>
      <c r="H170" s="187" t="s">
        <v>568</v>
      </c>
    </row>
  </sheetData>
  <autoFilter ref="$A$1:$U$995">
    <sortState ref="A1:U995">
      <sortCondition ref="E1:E995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22.13"/>
    <col customWidth="1" min="2" max="2" width="11.13"/>
    <col customWidth="1" min="3" max="4" width="6.38"/>
    <col customWidth="1" min="5" max="5" width="16.88"/>
    <col customWidth="1" min="6" max="6" width="11.88"/>
    <col customWidth="1" min="7" max="7" width="16.88"/>
    <col customWidth="1" min="8" max="8" width="8.13"/>
  </cols>
  <sheetData>
    <row r="1">
      <c r="A1" s="185" t="s">
        <v>1457</v>
      </c>
      <c r="B1" s="185" t="s">
        <v>1458</v>
      </c>
      <c r="C1" s="185" t="s">
        <v>1459</v>
      </c>
      <c r="D1" s="185" t="s">
        <v>1460</v>
      </c>
      <c r="E1" s="185" t="s">
        <v>1461</v>
      </c>
      <c r="F1" s="185" t="s">
        <v>1462</v>
      </c>
      <c r="G1" s="185" t="s">
        <v>1463</v>
      </c>
      <c r="H1" s="185" t="s">
        <v>1464</v>
      </c>
    </row>
    <row r="2">
      <c r="A2" s="187" t="s">
        <v>1574</v>
      </c>
      <c r="B2" s="187" t="s">
        <v>1577</v>
      </c>
      <c r="C2" s="188"/>
      <c r="D2" s="188"/>
      <c r="E2" s="187">
        <v>8.748980288E9</v>
      </c>
      <c r="F2" s="187" t="s">
        <v>1581</v>
      </c>
      <c r="G2" s="187" t="s">
        <v>1467</v>
      </c>
      <c r="H2" s="187" t="s">
        <v>1476</v>
      </c>
    </row>
    <row r="3">
      <c r="A3" s="187" t="s">
        <v>1574</v>
      </c>
      <c r="B3" s="187" t="s">
        <v>118</v>
      </c>
      <c r="C3" s="188"/>
      <c r="D3" s="188"/>
      <c r="E3" s="187">
        <v>8.748980288E9</v>
      </c>
      <c r="F3" s="187" t="s">
        <v>1581</v>
      </c>
      <c r="G3" s="187" t="s">
        <v>1467</v>
      </c>
      <c r="H3" s="187" t="s">
        <v>568</v>
      </c>
    </row>
    <row r="4">
      <c r="A4" s="187" t="s">
        <v>1585</v>
      </c>
      <c r="B4" s="187" t="s">
        <v>1553</v>
      </c>
      <c r="C4" s="188"/>
      <c r="D4" s="188"/>
      <c r="E4" s="187">
        <v>3.6011730904E10</v>
      </c>
      <c r="F4" s="187" t="s">
        <v>1540</v>
      </c>
      <c r="G4" s="187" t="s">
        <v>1499</v>
      </c>
      <c r="H4" s="187" t="s">
        <v>1476</v>
      </c>
    </row>
    <row r="5">
      <c r="A5" s="187" t="s">
        <v>1585</v>
      </c>
      <c r="B5" s="187" t="s">
        <v>101</v>
      </c>
      <c r="C5" s="188"/>
      <c r="D5" s="188"/>
      <c r="E5" s="187">
        <v>3.6011730904E10</v>
      </c>
      <c r="F5" s="187" t="s">
        <v>1540</v>
      </c>
      <c r="G5" s="187" t="s">
        <v>1538</v>
      </c>
      <c r="H5" s="187" t="s">
        <v>568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